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D:\Excel Dashboard\"/>
    </mc:Choice>
  </mc:AlternateContent>
  <xr:revisionPtr revIDLastSave="0" documentId="13_ncr:1_{8AB93D2C-BB59-4E58-B719-7FCA57103320}" xr6:coauthVersionLast="47" xr6:coauthVersionMax="47" xr10:uidLastSave="{00000000-0000-0000-0000-000000000000}"/>
  <bookViews>
    <workbookView xWindow="-108" yWindow="-108" windowWidth="23256" windowHeight="13896" xr2:uid="{00000000-000D-0000-FFFF-FFFF00000000}"/>
  </bookViews>
  <sheets>
    <sheet name="Dashboard" sheetId="3" r:id="rId1"/>
    <sheet name="Pivot_Table" sheetId="2" r:id="rId2"/>
    <sheet name="Sales Data" sheetId="1" r:id="rId3"/>
  </sheets>
  <definedNames>
    <definedName name="_xlcn.WorksheetConnection_Coffee_Shop.xlsxTable11" hidden="1">Table1[]</definedName>
    <definedName name="Slicer_Day_Name">#N/A</definedName>
    <definedName name="Slicer_Month_Name">#N/A</definedName>
    <definedName name="Slicer_store_location">#N/A</definedName>
  </definedNames>
  <calcPr calcId="191029"/>
  <pivotCaches>
    <pivotCache cacheId="541" r:id="rId4"/>
    <pivotCache cacheId="544" r:id="rId5"/>
    <pivotCache cacheId="547" r:id="rId6"/>
    <pivotCache cacheId="550" r:id="rId7"/>
    <pivotCache cacheId="553" r:id="rId8"/>
    <pivotCache cacheId="556" r:id="rId9"/>
    <pivotCache cacheId="559" r:id="rId10"/>
  </pivotCaches>
  <extLst>
    <ext xmlns:x14="http://schemas.microsoft.com/office/spreadsheetml/2009/9/main" uri="{876F7934-8845-4945-9796-88D515C7AA90}">
      <x14:pivotCaches>
        <pivotCache cacheId="7" r:id="rId11"/>
      </x14:pivotCaches>
    </ex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Coffee_Shop.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416" i="1" l="1"/>
  <c r="S710" i="1"/>
  <c r="S1003" i="1"/>
  <c r="S1230" i="1"/>
  <c r="S1385" i="1"/>
  <c r="S1533" i="1"/>
  <c r="S1693" i="1"/>
  <c r="S1812" i="1"/>
  <c r="S1931"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R1002" i="1"/>
  <c r="R1003" i="1"/>
  <c r="R1004" i="1"/>
  <c r="R1005" i="1"/>
  <c r="R1006" i="1"/>
  <c r="R1007" i="1"/>
  <c r="R1008" i="1"/>
  <c r="R1009" i="1"/>
  <c r="R1010" i="1"/>
  <c r="R1011" i="1"/>
  <c r="R1012" i="1"/>
  <c r="R1013" i="1"/>
  <c r="R1014" i="1"/>
  <c r="R1015" i="1"/>
  <c r="R1016" i="1"/>
  <c r="R1017" i="1"/>
  <c r="R1018" i="1"/>
  <c r="R1019" i="1"/>
  <c r="R1020" i="1"/>
  <c r="R1021" i="1"/>
  <c r="R1022" i="1"/>
  <c r="R1023" i="1"/>
  <c r="R1024" i="1"/>
  <c r="R1025" i="1"/>
  <c r="R1026" i="1"/>
  <c r="R1027" i="1"/>
  <c r="R1028" i="1"/>
  <c r="R1029" i="1"/>
  <c r="R1030" i="1"/>
  <c r="R1031" i="1"/>
  <c r="R1032" i="1"/>
  <c r="R1033" i="1"/>
  <c r="R1034" i="1"/>
  <c r="R1035" i="1"/>
  <c r="R1036" i="1"/>
  <c r="R1037" i="1"/>
  <c r="R1038" i="1"/>
  <c r="R1039" i="1"/>
  <c r="R1040" i="1"/>
  <c r="R1041" i="1"/>
  <c r="R1042" i="1"/>
  <c r="R1043" i="1"/>
  <c r="R1044" i="1"/>
  <c r="R1045" i="1"/>
  <c r="R1046" i="1"/>
  <c r="R1047" i="1"/>
  <c r="R1048" i="1"/>
  <c r="R1049" i="1"/>
  <c r="R1050" i="1"/>
  <c r="R1051" i="1"/>
  <c r="R1052" i="1"/>
  <c r="R1053" i="1"/>
  <c r="R1054" i="1"/>
  <c r="R1055" i="1"/>
  <c r="R1056" i="1"/>
  <c r="R1057" i="1"/>
  <c r="R1058" i="1"/>
  <c r="R1059" i="1"/>
  <c r="R1060" i="1"/>
  <c r="R1061" i="1"/>
  <c r="R1062" i="1"/>
  <c r="R1063" i="1"/>
  <c r="R1064" i="1"/>
  <c r="R1065" i="1"/>
  <c r="R1066" i="1"/>
  <c r="R1067" i="1"/>
  <c r="R1068" i="1"/>
  <c r="R1069" i="1"/>
  <c r="R1070" i="1"/>
  <c r="R1071" i="1"/>
  <c r="R1072" i="1"/>
  <c r="R1073" i="1"/>
  <c r="R1074" i="1"/>
  <c r="R1075" i="1"/>
  <c r="R1076" i="1"/>
  <c r="R1077" i="1"/>
  <c r="R1078" i="1"/>
  <c r="R1079" i="1"/>
  <c r="R1080" i="1"/>
  <c r="R1081" i="1"/>
  <c r="R1082" i="1"/>
  <c r="R1083" i="1"/>
  <c r="R1084" i="1"/>
  <c r="R1085" i="1"/>
  <c r="R1086" i="1"/>
  <c r="R1087" i="1"/>
  <c r="R1088" i="1"/>
  <c r="R1089" i="1"/>
  <c r="R1090" i="1"/>
  <c r="R1091" i="1"/>
  <c r="R1092" i="1"/>
  <c r="R1093" i="1"/>
  <c r="R1094" i="1"/>
  <c r="R1095" i="1"/>
  <c r="R1096" i="1"/>
  <c r="R1097" i="1"/>
  <c r="R1098" i="1"/>
  <c r="R1099" i="1"/>
  <c r="R1100" i="1"/>
  <c r="R1101" i="1"/>
  <c r="R1102" i="1"/>
  <c r="R1103" i="1"/>
  <c r="R1104" i="1"/>
  <c r="R1105" i="1"/>
  <c r="R1106" i="1"/>
  <c r="R1107" i="1"/>
  <c r="R1108" i="1"/>
  <c r="R1109" i="1"/>
  <c r="R1110" i="1"/>
  <c r="R1111" i="1"/>
  <c r="R1112" i="1"/>
  <c r="R1113" i="1"/>
  <c r="R1114" i="1"/>
  <c r="R1115" i="1"/>
  <c r="R1116" i="1"/>
  <c r="R1117" i="1"/>
  <c r="R1118" i="1"/>
  <c r="R1119" i="1"/>
  <c r="R1120" i="1"/>
  <c r="R1121" i="1"/>
  <c r="R1122" i="1"/>
  <c r="R1123" i="1"/>
  <c r="R1124" i="1"/>
  <c r="R1125" i="1"/>
  <c r="R1126" i="1"/>
  <c r="R1127" i="1"/>
  <c r="R1128" i="1"/>
  <c r="R1129" i="1"/>
  <c r="R1130" i="1"/>
  <c r="R1131" i="1"/>
  <c r="R1132" i="1"/>
  <c r="R1133" i="1"/>
  <c r="R1134" i="1"/>
  <c r="R1135" i="1"/>
  <c r="R1136" i="1"/>
  <c r="R1137" i="1"/>
  <c r="R1138" i="1"/>
  <c r="R1139" i="1"/>
  <c r="R1140" i="1"/>
  <c r="R1141" i="1"/>
  <c r="R1142" i="1"/>
  <c r="R1143" i="1"/>
  <c r="R1144" i="1"/>
  <c r="R1145" i="1"/>
  <c r="R1146" i="1"/>
  <c r="R1147" i="1"/>
  <c r="R1148" i="1"/>
  <c r="R1149" i="1"/>
  <c r="R1150" i="1"/>
  <c r="R1151" i="1"/>
  <c r="R1152" i="1"/>
  <c r="R1153" i="1"/>
  <c r="R1154" i="1"/>
  <c r="R1155" i="1"/>
  <c r="R1156" i="1"/>
  <c r="R1157" i="1"/>
  <c r="R1158" i="1"/>
  <c r="R1159" i="1"/>
  <c r="R1160" i="1"/>
  <c r="R1161" i="1"/>
  <c r="R1162" i="1"/>
  <c r="R1163" i="1"/>
  <c r="R1164" i="1"/>
  <c r="R1165" i="1"/>
  <c r="R1166" i="1"/>
  <c r="R1167" i="1"/>
  <c r="R1168" i="1"/>
  <c r="R1169" i="1"/>
  <c r="R1170" i="1"/>
  <c r="R1171" i="1"/>
  <c r="R1172" i="1"/>
  <c r="R1173" i="1"/>
  <c r="R1174" i="1"/>
  <c r="R1175" i="1"/>
  <c r="R1176" i="1"/>
  <c r="R1177" i="1"/>
  <c r="R1178" i="1"/>
  <c r="R1179" i="1"/>
  <c r="R1180" i="1"/>
  <c r="R1181" i="1"/>
  <c r="R1182" i="1"/>
  <c r="R1183" i="1"/>
  <c r="R1184" i="1"/>
  <c r="R1185" i="1"/>
  <c r="R1186" i="1"/>
  <c r="R1187" i="1"/>
  <c r="R1188" i="1"/>
  <c r="R1189" i="1"/>
  <c r="R1190" i="1"/>
  <c r="R1191" i="1"/>
  <c r="R1192" i="1"/>
  <c r="R1193" i="1"/>
  <c r="R1194" i="1"/>
  <c r="R1195" i="1"/>
  <c r="R1196" i="1"/>
  <c r="R1197" i="1"/>
  <c r="R1198" i="1"/>
  <c r="R1199" i="1"/>
  <c r="R1200" i="1"/>
  <c r="R1201" i="1"/>
  <c r="R1202" i="1"/>
  <c r="R1203" i="1"/>
  <c r="R1204" i="1"/>
  <c r="R1205" i="1"/>
  <c r="R1206" i="1"/>
  <c r="R1207" i="1"/>
  <c r="R1208" i="1"/>
  <c r="R1209" i="1"/>
  <c r="R1210" i="1"/>
  <c r="R1211" i="1"/>
  <c r="R1212" i="1"/>
  <c r="R1213" i="1"/>
  <c r="R1214" i="1"/>
  <c r="R1215" i="1"/>
  <c r="R1216" i="1"/>
  <c r="R1217" i="1"/>
  <c r="R1218" i="1"/>
  <c r="R1219" i="1"/>
  <c r="R1220" i="1"/>
  <c r="R1221" i="1"/>
  <c r="R1222" i="1"/>
  <c r="R1223" i="1"/>
  <c r="R1224" i="1"/>
  <c r="R1225" i="1"/>
  <c r="R1226" i="1"/>
  <c r="R1227" i="1"/>
  <c r="R1228" i="1"/>
  <c r="R1229" i="1"/>
  <c r="R1230" i="1"/>
  <c r="R1231" i="1"/>
  <c r="R1232" i="1"/>
  <c r="R1233" i="1"/>
  <c r="R1234" i="1"/>
  <c r="R1235" i="1"/>
  <c r="R1236" i="1"/>
  <c r="R1237" i="1"/>
  <c r="R1238" i="1"/>
  <c r="R1239" i="1"/>
  <c r="R1240" i="1"/>
  <c r="R1241" i="1"/>
  <c r="R1242" i="1"/>
  <c r="R1243" i="1"/>
  <c r="R1244" i="1"/>
  <c r="R1245" i="1"/>
  <c r="R1246" i="1"/>
  <c r="R1247" i="1"/>
  <c r="R1248" i="1"/>
  <c r="R1249" i="1"/>
  <c r="R1250" i="1"/>
  <c r="R1251" i="1"/>
  <c r="R1252" i="1"/>
  <c r="R1253" i="1"/>
  <c r="R1254" i="1"/>
  <c r="R1255" i="1"/>
  <c r="R1256" i="1"/>
  <c r="R1257" i="1"/>
  <c r="R1258" i="1"/>
  <c r="R1259" i="1"/>
  <c r="R1260" i="1"/>
  <c r="R1261" i="1"/>
  <c r="R1262" i="1"/>
  <c r="R1263" i="1"/>
  <c r="R1264" i="1"/>
  <c r="R1265" i="1"/>
  <c r="R1266" i="1"/>
  <c r="R1267" i="1"/>
  <c r="R1268" i="1"/>
  <c r="R1269" i="1"/>
  <c r="R1270" i="1"/>
  <c r="R1271" i="1"/>
  <c r="R1272" i="1"/>
  <c r="R1273" i="1"/>
  <c r="R1274" i="1"/>
  <c r="R1275" i="1"/>
  <c r="R1276" i="1"/>
  <c r="R1277" i="1"/>
  <c r="R1278" i="1"/>
  <c r="R1279" i="1"/>
  <c r="R1280" i="1"/>
  <c r="R1281" i="1"/>
  <c r="R1282" i="1"/>
  <c r="R1283" i="1"/>
  <c r="R1284" i="1"/>
  <c r="R1285" i="1"/>
  <c r="R1286" i="1"/>
  <c r="R1287" i="1"/>
  <c r="R1288" i="1"/>
  <c r="R1289" i="1"/>
  <c r="R1290" i="1"/>
  <c r="R1291" i="1"/>
  <c r="R1292" i="1"/>
  <c r="R1293" i="1"/>
  <c r="R1294" i="1"/>
  <c r="R1295" i="1"/>
  <c r="R1296" i="1"/>
  <c r="R1297" i="1"/>
  <c r="R1298" i="1"/>
  <c r="R1299" i="1"/>
  <c r="R1300" i="1"/>
  <c r="R1301" i="1"/>
  <c r="R1302" i="1"/>
  <c r="R1303" i="1"/>
  <c r="R1304" i="1"/>
  <c r="R1305" i="1"/>
  <c r="R1306" i="1"/>
  <c r="R1307" i="1"/>
  <c r="R1308" i="1"/>
  <c r="R1309" i="1"/>
  <c r="R1310" i="1"/>
  <c r="R1311" i="1"/>
  <c r="R1312" i="1"/>
  <c r="R1313" i="1"/>
  <c r="R1314" i="1"/>
  <c r="R1315" i="1"/>
  <c r="R1316" i="1"/>
  <c r="R1317" i="1"/>
  <c r="R1318" i="1"/>
  <c r="R1319" i="1"/>
  <c r="R1320" i="1"/>
  <c r="R1321" i="1"/>
  <c r="R1322" i="1"/>
  <c r="R1323" i="1"/>
  <c r="R1324" i="1"/>
  <c r="R1325" i="1"/>
  <c r="R1326" i="1"/>
  <c r="R1327" i="1"/>
  <c r="R1328" i="1"/>
  <c r="R1329" i="1"/>
  <c r="R1330" i="1"/>
  <c r="R1331" i="1"/>
  <c r="R1332" i="1"/>
  <c r="R1333" i="1"/>
  <c r="R1334" i="1"/>
  <c r="R1335" i="1"/>
  <c r="R1336" i="1"/>
  <c r="R1337" i="1"/>
  <c r="R1338" i="1"/>
  <c r="R1339" i="1"/>
  <c r="R1340" i="1"/>
  <c r="R1341" i="1"/>
  <c r="R1342" i="1"/>
  <c r="R1343" i="1"/>
  <c r="R1344" i="1"/>
  <c r="R1345" i="1"/>
  <c r="R1346" i="1"/>
  <c r="R1347" i="1"/>
  <c r="R1348" i="1"/>
  <c r="R1349" i="1"/>
  <c r="R1350" i="1"/>
  <c r="R1351" i="1"/>
  <c r="R1352" i="1"/>
  <c r="R1353" i="1"/>
  <c r="R1354" i="1"/>
  <c r="R1355" i="1"/>
  <c r="R1356" i="1"/>
  <c r="R1357" i="1"/>
  <c r="R1358" i="1"/>
  <c r="R1359" i="1"/>
  <c r="R1360" i="1"/>
  <c r="R1361" i="1"/>
  <c r="R1362" i="1"/>
  <c r="R1363" i="1"/>
  <c r="R1364" i="1"/>
  <c r="R1365" i="1"/>
  <c r="R1366" i="1"/>
  <c r="R1367" i="1"/>
  <c r="R1368" i="1"/>
  <c r="R1369" i="1"/>
  <c r="R1370" i="1"/>
  <c r="R1371" i="1"/>
  <c r="R1372" i="1"/>
  <c r="R1373" i="1"/>
  <c r="R1374" i="1"/>
  <c r="R1375" i="1"/>
  <c r="R1376" i="1"/>
  <c r="R1377" i="1"/>
  <c r="R1378" i="1"/>
  <c r="R1379" i="1"/>
  <c r="R1380" i="1"/>
  <c r="R1381" i="1"/>
  <c r="R1382" i="1"/>
  <c r="R1383" i="1"/>
  <c r="R1384" i="1"/>
  <c r="R1385" i="1"/>
  <c r="R1386" i="1"/>
  <c r="R1387" i="1"/>
  <c r="R1388" i="1"/>
  <c r="R1389" i="1"/>
  <c r="R1390" i="1"/>
  <c r="R1391" i="1"/>
  <c r="R1392" i="1"/>
  <c r="R1393" i="1"/>
  <c r="R1394" i="1"/>
  <c r="R1395" i="1"/>
  <c r="R1396" i="1"/>
  <c r="R1397" i="1"/>
  <c r="R1398" i="1"/>
  <c r="R1399" i="1"/>
  <c r="R1400" i="1"/>
  <c r="R1401" i="1"/>
  <c r="R1402" i="1"/>
  <c r="R1403" i="1"/>
  <c r="R1404" i="1"/>
  <c r="R1405" i="1"/>
  <c r="R1406" i="1"/>
  <c r="R1407" i="1"/>
  <c r="R1408" i="1"/>
  <c r="R1409" i="1"/>
  <c r="R1410" i="1"/>
  <c r="R1411" i="1"/>
  <c r="R1412" i="1"/>
  <c r="R1413" i="1"/>
  <c r="R1414" i="1"/>
  <c r="R1415" i="1"/>
  <c r="R1416" i="1"/>
  <c r="R1417" i="1"/>
  <c r="R1418" i="1"/>
  <c r="R1419" i="1"/>
  <c r="R1420" i="1"/>
  <c r="R1421" i="1"/>
  <c r="R1422" i="1"/>
  <c r="R1423" i="1"/>
  <c r="R1424" i="1"/>
  <c r="R1425" i="1"/>
  <c r="R1426" i="1"/>
  <c r="R1427" i="1"/>
  <c r="R1428" i="1"/>
  <c r="R1429" i="1"/>
  <c r="R1430" i="1"/>
  <c r="R1431" i="1"/>
  <c r="R1432" i="1"/>
  <c r="R1433" i="1"/>
  <c r="R1434" i="1"/>
  <c r="R1435" i="1"/>
  <c r="R1436" i="1"/>
  <c r="R1437" i="1"/>
  <c r="R1438" i="1"/>
  <c r="R1439" i="1"/>
  <c r="R1440" i="1"/>
  <c r="R1441" i="1"/>
  <c r="R1442" i="1"/>
  <c r="R1443" i="1"/>
  <c r="R1444" i="1"/>
  <c r="R1445" i="1"/>
  <c r="R1446" i="1"/>
  <c r="R1447" i="1"/>
  <c r="R1448" i="1"/>
  <c r="R1449" i="1"/>
  <c r="R1450" i="1"/>
  <c r="R1451" i="1"/>
  <c r="R1452" i="1"/>
  <c r="R1453" i="1"/>
  <c r="R1454" i="1"/>
  <c r="R1455" i="1"/>
  <c r="R1456" i="1"/>
  <c r="R1457" i="1"/>
  <c r="R1458" i="1"/>
  <c r="R1459" i="1"/>
  <c r="R1460" i="1"/>
  <c r="R1461" i="1"/>
  <c r="R1462" i="1"/>
  <c r="R1463" i="1"/>
  <c r="R1464" i="1"/>
  <c r="R1465" i="1"/>
  <c r="R1466" i="1"/>
  <c r="R1467" i="1"/>
  <c r="R1468" i="1"/>
  <c r="R1469" i="1"/>
  <c r="R1470" i="1"/>
  <c r="R1471" i="1"/>
  <c r="R1472" i="1"/>
  <c r="R1473" i="1"/>
  <c r="R1474" i="1"/>
  <c r="R1475" i="1"/>
  <c r="R1476" i="1"/>
  <c r="R1477" i="1"/>
  <c r="R1478" i="1"/>
  <c r="R1479" i="1"/>
  <c r="R1480" i="1"/>
  <c r="R1481" i="1"/>
  <c r="R1482" i="1"/>
  <c r="R1483" i="1"/>
  <c r="R1484" i="1"/>
  <c r="R1485" i="1"/>
  <c r="R1486" i="1"/>
  <c r="R1487" i="1"/>
  <c r="R1488" i="1"/>
  <c r="R1489" i="1"/>
  <c r="R1490" i="1"/>
  <c r="R1491" i="1"/>
  <c r="R1492" i="1"/>
  <c r="R1493" i="1"/>
  <c r="R1494" i="1"/>
  <c r="R1495" i="1"/>
  <c r="R1496" i="1"/>
  <c r="R1497" i="1"/>
  <c r="R1498" i="1"/>
  <c r="R1499" i="1"/>
  <c r="R1500" i="1"/>
  <c r="R1501" i="1"/>
  <c r="R1502" i="1"/>
  <c r="R1503" i="1"/>
  <c r="R1504" i="1"/>
  <c r="R1505" i="1"/>
  <c r="R1506" i="1"/>
  <c r="R1507" i="1"/>
  <c r="R1508" i="1"/>
  <c r="R1509" i="1"/>
  <c r="R1510" i="1"/>
  <c r="R1511" i="1"/>
  <c r="R1512" i="1"/>
  <c r="R1513" i="1"/>
  <c r="R1514" i="1"/>
  <c r="R1515" i="1"/>
  <c r="R1516" i="1"/>
  <c r="R1517" i="1"/>
  <c r="R1518" i="1"/>
  <c r="R1519" i="1"/>
  <c r="R1520" i="1"/>
  <c r="R1521" i="1"/>
  <c r="R1522" i="1"/>
  <c r="R1523" i="1"/>
  <c r="R1524" i="1"/>
  <c r="R1525" i="1"/>
  <c r="R1526" i="1"/>
  <c r="R1527" i="1"/>
  <c r="R1528" i="1"/>
  <c r="R1529" i="1"/>
  <c r="R1530" i="1"/>
  <c r="R1531" i="1"/>
  <c r="R1532" i="1"/>
  <c r="R1533" i="1"/>
  <c r="R1534" i="1"/>
  <c r="R1535" i="1"/>
  <c r="R1536" i="1"/>
  <c r="R1537" i="1"/>
  <c r="R1538" i="1"/>
  <c r="R1539" i="1"/>
  <c r="R1540" i="1"/>
  <c r="R1541" i="1"/>
  <c r="R1542" i="1"/>
  <c r="R1543" i="1"/>
  <c r="R1544" i="1"/>
  <c r="R1545" i="1"/>
  <c r="R1546" i="1"/>
  <c r="R1547" i="1"/>
  <c r="R1548" i="1"/>
  <c r="R1549" i="1"/>
  <c r="R1550" i="1"/>
  <c r="R1551" i="1"/>
  <c r="R1552" i="1"/>
  <c r="R1553" i="1"/>
  <c r="R1554" i="1"/>
  <c r="R1555" i="1"/>
  <c r="R1556" i="1"/>
  <c r="R1557" i="1"/>
  <c r="R1558" i="1"/>
  <c r="R1559" i="1"/>
  <c r="R1560" i="1"/>
  <c r="R1561" i="1"/>
  <c r="R1562" i="1"/>
  <c r="R1563" i="1"/>
  <c r="R1564" i="1"/>
  <c r="R1565" i="1"/>
  <c r="R1566" i="1"/>
  <c r="R1567" i="1"/>
  <c r="R1568" i="1"/>
  <c r="R1569" i="1"/>
  <c r="R1570" i="1"/>
  <c r="R1571" i="1"/>
  <c r="R1572" i="1"/>
  <c r="R1573" i="1"/>
  <c r="R1574" i="1"/>
  <c r="R1575" i="1"/>
  <c r="R1576" i="1"/>
  <c r="R1577" i="1"/>
  <c r="R1578" i="1"/>
  <c r="R1579" i="1"/>
  <c r="R1580" i="1"/>
  <c r="R1581" i="1"/>
  <c r="R1582" i="1"/>
  <c r="R1583" i="1"/>
  <c r="R1584" i="1"/>
  <c r="R1585" i="1"/>
  <c r="R1586" i="1"/>
  <c r="R1587" i="1"/>
  <c r="R1588" i="1"/>
  <c r="R1589" i="1"/>
  <c r="R1590" i="1"/>
  <c r="R1591" i="1"/>
  <c r="R1592" i="1"/>
  <c r="R1593" i="1"/>
  <c r="R1594" i="1"/>
  <c r="R1595" i="1"/>
  <c r="R1596" i="1"/>
  <c r="R1597" i="1"/>
  <c r="R1598" i="1"/>
  <c r="R1599" i="1"/>
  <c r="R1600" i="1"/>
  <c r="R1601" i="1"/>
  <c r="R1602" i="1"/>
  <c r="R1603" i="1"/>
  <c r="R1604" i="1"/>
  <c r="R1605" i="1"/>
  <c r="R1606" i="1"/>
  <c r="R1607" i="1"/>
  <c r="R1608" i="1"/>
  <c r="R1609" i="1"/>
  <c r="R1610" i="1"/>
  <c r="R1611" i="1"/>
  <c r="R1612" i="1"/>
  <c r="R1613" i="1"/>
  <c r="R1614" i="1"/>
  <c r="R1615" i="1"/>
  <c r="R1616" i="1"/>
  <c r="R1617" i="1"/>
  <c r="R1618" i="1"/>
  <c r="R1619" i="1"/>
  <c r="R1620" i="1"/>
  <c r="R1621" i="1"/>
  <c r="R1622" i="1"/>
  <c r="R1623" i="1"/>
  <c r="R1624" i="1"/>
  <c r="R1625" i="1"/>
  <c r="R1626" i="1"/>
  <c r="R1627" i="1"/>
  <c r="R1628" i="1"/>
  <c r="R1629" i="1"/>
  <c r="R1630" i="1"/>
  <c r="R1631" i="1"/>
  <c r="R1632" i="1"/>
  <c r="R1633" i="1"/>
  <c r="R1634" i="1"/>
  <c r="R1635" i="1"/>
  <c r="R1636" i="1"/>
  <c r="R1637" i="1"/>
  <c r="R1638" i="1"/>
  <c r="R1639" i="1"/>
  <c r="R1640" i="1"/>
  <c r="R1641" i="1"/>
  <c r="R1642" i="1"/>
  <c r="R1643" i="1"/>
  <c r="R1644" i="1"/>
  <c r="R1645" i="1"/>
  <c r="R1646" i="1"/>
  <c r="R1647" i="1"/>
  <c r="R1648" i="1"/>
  <c r="R1649" i="1"/>
  <c r="R1650" i="1"/>
  <c r="R1651" i="1"/>
  <c r="R1652" i="1"/>
  <c r="R1653" i="1"/>
  <c r="R1654" i="1"/>
  <c r="R1655" i="1"/>
  <c r="R1656" i="1"/>
  <c r="R1657" i="1"/>
  <c r="R1658" i="1"/>
  <c r="R1659" i="1"/>
  <c r="R1660" i="1"/>
  <c r="R1661" i="1"/>
  <c r="R1662" i="1"/>
  <c r="R1663" i="1"/>
  <c r="R1664" i="1"/>
  <c r="R1665" i="1"/>
  <c r="R1666" i="1"/>
  <c r="R1667" i="1"/>
  <c r="R1668" i="1"/>
  <c r="R1669" i="1"/>
  <c r="R1670" i="1"/>
  <c r="R1671" i="1"/>
  <c r="R1672" i="1"/>
  <c r="R1673" i="1"/>
  <c r="R1674" i="1"/>
  <c r="R1675" i="1"/>
  <c r="R1676" i="1"/>
  <c r="R1677" i="1"/>
  <c r="R1678" i="1"/>
  <c r="R1679" i="1"/>
  <c r="R1680" i="1"/>
  <c r="R1681" i="1"/>
  <c r="R1682" i="1"/>
  <c r="R1683" i="1"/>
  <c r="R1684" i="1"/>
  <c r="R1685" i="1"/>
  <c r="R1686" i="1"/>
  <c r="R1687" i="1"/>
  <c r="R1688" i="1"/>
  <c r="R1689" i="1"/>
  <c r="R1690" i="1"/>
  <c r="R1691" i="1"/>
  <c r="R1692" i="1"/>
  <c r="R1693" i="1"/>
  <c r="R1694" i="1"/>
  <c r="R1695" i="1"/>
  <c r="R1696" i="1"/>
  <c r="R1697" i="1"/>
  <c r="R1698" i="1"/>
  <c r="R1699" i="1"/>
  <c r="R1700" i="1"/>
  <c r="R1701" i="1"/>
  <c r="R1702" i="1"/>
  <c r="R1703" i="1"/>
  <c r="R1704" i="1"/>
  <c r="R1705" i="1"/>
  <c r="R1706" i="1"/>
  <c r="R1707" i="1"/>
  <c r="R1708" i="1"/>
  <c r="R1709" i="1"/>
  <c r="R1710" i="1"/>
  <c r="R1711" i="1"/>
  <c r="R1712" i="1"/>
  <c r="R1713" i="1"/>
  <c r="R1714" i="1"/>
  <c r="R1715" i="1"/>
  <c r="R1716" i="1"/>
  <c r="R1717" i="1"/>
  <c r="R1718" i="1"/>
  <c r="R1719" i="1"/>
  <c r="R1720" i="1"/>
  <c r="R1721" i="1"/>
  <c r="R1722" i="1"/>
  <c r="R1723" i="1"/>
  <c r="R1724" i="1"/>
  <c r="R1725" i="1"/>
  <c r="R1726" i="1"/>
  <c r="R1727" i="1"/>
  <c r="R1728" i="1"/>
  <c r="R1729" i="1"/>
  <c r="R1730" i="1"/>
  <c r="R1731" i="1"/>
  <c r="R1732" i="1"/>
  <c r="R1733" i="1"/>
  <c r="R1734" i="1"/>
  <c r="R1735" i="1"/>
  <c r="R1736" i="1"/>
  <c r="R1737" i="1"/>
  <c r="R1738" i="1"/>
  <c r="R1739" i="1"/>
  <c r="R1740" i="1"/>
  <c r="R1741" i="1"/>
  <c r="R1742" i="1"/>
  <c r="R1743" i="1"/>
  <c r="R1744" i="1"/>
  <c r="R1745" i="1"/>
  <c r="R1746" i="1"/>
  <c r="R1747" i="1"/>
  <c r="R1748" i="1"/>
  <c r="R1749" i="1"/>
  <c r="R1750" i="1"/>
  <c r="R1751" i="1"/>
  <c r="R1752" i="1"/>
  <c r="R1753" i="1"/>
  <c r="R1754" i="1"/>
  <c r="R1755" i="1"/>
  <c r="R1756" i="1"/>
  <c r="R1757" i="1"/>
  <c r="R1758" i="1"/>
  <c r="R1759" i="1"/>
  <c r="R1760" i="1"/>
  <c r="R1761" i="1"/>
  <c r="R1762" i="1"/>
  <c r="R1763" i="1"/>
  <c r="R1764" i="1"/>
  <c r="R1765" i="1"/>
  <c r="R1766" i="1"/>
  <c r="R1767" i="1"/>
  <c r="R1768" i="1"/>
  <c r="R1769" i="1"/>
  <c r="R1770" i="1"/>
  <c r="R1771" i="1"/>
  <c r="R1772" i="1"/>
  <c r="R1773" i="1"/>
  <c r="R1774" i="1"/>
  <c r="R1775" i="1"/>
  <c r="R1776" i="1"/>
  <c r="R1777" i="1"/>
  <c r="R1778" i="1"/>
  <c r="R1779" i="1"/>
  <c r="R1780" i="1"/>
  <c r="R1781" i="1"/>
  <c r="R1782" i="1"/>
  <c r="R1783" i="1"/>
  <c r="R1784" i="1"/>
  <c r="R1785" i="1"/>
  <c r="R1786" i="1"/>
  <c r="R1787" i="1"/>
  <c r="R1788" i="1"/>
  <c r="R1789" i="1"/>
  <c r="R1790" i="1"/>
  <c r="R1791" i="1"/>
  <c r="R1792" i="1"/>
  <c r="R1793" i="1"/>
  <c r="R1794" i="1"/>
  <c r="R1795" i="1"/>
  <c r="R1796" i="1"/>
  <c r="R1797" i="1"/>
  <c r="R1798" i="1"/>
  <c r="R1799" i="1"/>
  <c r="R1800" i="1"/>
  <c r="R1801" i="1"/>
  <c r="R1802" i="1"/>
  <c r="R1803" i="1"/>
  <c r="R1804" i="1"/>
  <c r="R1805" i="1"/>
  <c r="R1806" i="1"/>
  <c r="R1807" i="1"/>
  <c r="R1808" i="1"/>
  <c r="R1809" i="1"/>
  <c r="R1810" i="1"/>
  <c r="R1811" i="1"/>
  <c r="R1812" i="1"/>
  <c r="R1813" i="1"/>
  <c r="R1814" i="1"/>
  <c r="R1815" i="1"/>
  <c r="R1816" i="1"/>
  <c r="R1817" i="1"/>
  <c r="R1818" i="1"/>
  <c r="R1819" i="1"/>
  <c r="R1820" i="1"/>
  <c r="R1821" i="1"/>
  <c r="R1822" i="1"/>
  <c r="R1823" i="1"/>
  <c r="R1824" i="1"/>
  <c r="R1825" i="1"/>
  <c r="R1826" i="1"/>
  <c r="R1827" i="1"/>
  <c r="R1828" i="1"/>
  <c r="R1829" i="1"/>
  <c r="R1830" i="1"/>
  <c r="R1831" i="1"/>
  <c r="R1832" i="1"/>
  <c r="R1833" i="1"/>
  <c r="R1834" i="1"/>
  <c r="R1835" i="1"/>
  <c r="R1836" i="1"/>
  <c r="R1837" i="1"/>
  <c r="R1838" i="1"/>
  <c r="R1839" i="1"/>
  <c r="R1840" i="1"/>
  <c r="R1841" i="1"/>
  <c r="R1842" i="1"/>
  <c r="R1843" i="1"/>
  <c r="R1844" i="1"/>
  <c r="R1845" i="1"/>
  <c r="R1846" i="1"/>
  <c r="R1847" i="1"/>
  <c r="R1848" i="1"/>
  <c r="R1849" i="1"/>
  <c r="R1850" i="1"/>
  <c r="R1851" i="1"/>
  <c r="R1852" i="1"/>
  <c r="R1853" i="1"/>
  <c r="R1854" i="1"/>
  <c r="R1855" i="1"/>
  <c r="R1856" i="1"/>
  <c r="R1857" i="1"/>
  <c r="R1858" i="1"/>
  <c r="R1859" i="1"/>
  <c r="R1860" i="1"/>
  <c r="R1861" i="1"/>
  <c r="R1862" i="1"/>
  <c r="R1863" i="1"/>
  <c r="R1864" i="1"/>
  <c r="R1865" i="1"/>
  <c r="R1866" i="1"/>
  <c r="R1867" i="1"/>
  <c r="R1868" i="1"/>
  <c r="R1869" i="1"/>
  <c r="R1870" i="1"/>
  <c r="R1871" i="1"/>
  <c r="R1872" i="1"/>
  <c r="R1873" i="1"/>
  <c r="R1874" i="1"/>
  <c r="R1875" i="1"/>
  <c r="R1876" i="1"/>
  <c r="R1877" i="1"/>
  <c r="R1878" i="1"/>
  <c r="R1879" i="1"/>
  <c r="R1880" i="1"/>
  <c r="R1881" i="1"/>
  <c r="R1882" i="1"/>
  <c r="R1883" i="1"/>
  <c r="R1884" i="1"/>
  <c r="R1885" i="1"/>
  <c r="R1886" i="1"/>
  <c r="R1887" i="1"/>
  <c r="R1888" i="1"/>
  <c r="R1889" i="1"/>
  <c r="R1890" i="1"/>
  <c r="R1891" i="1"/>
  <c r="R1892" i="1"/>
  <c r="R1893" i="1"/>
  <c r="R1894" i="1"/>
  <c r="R1895" i="1"/>
  <c r="R1896" i="1"/>
  <c r="R1897" i="1"/>
  <c r="R1898" i="1"/>
  <c r="R1899" i="1"/>
  <c r="R1900" i="1"/>
  <c r="R1901" i="1"/>
  <c r="R1902" i="1"/>
  <c r="R1903" i="1"/>
  <c r="R1904" i="1"/>
  <c r="R1905" i="1"/>
  <c r="R1906" i="1"/>
  <c r="R1907" i="1"/>
  <c r="R1908" i="1"/>
  <c r="R1909" i="1"/>
  <c r="R1910" i="1"/>
  <c r="R1911" i="1"/>
  <c r="R1912" i="1"/>
  <c r="R1913" i="1"/>
  <c r="R1914" i="1"/>
  <c r="R1915" i="1"/>
  <c r="R1916" i="1"/>
  <c r="R1917" i="1"/>
  <c r="R1918" i="1"/>
  <c r="R1919" i="1"/>
  <c r="R1920" i="1"/>
  <c r="R1921" i="1"/>
  <c r="R1922" i="1"/>
  <c r="R1923" i="1"/>
  <c r="R1924" i="1"/>
  <c r="R1925" i="1"/>
  <c r="R1926" i="1"/>
  <c r="R1927" i="1"/>
  <c r="R1928" i="1"/>
  <c r="R1929" i="1"/>
  <c r="R1930" i="1"/>
  <c r="R1931" i="1"/>
  <c r="R1932" i="1"/>
  <c r="R1933" i="1"/>
  <c r="R1934" i="1"/>
  <c r="R1935" i="1"/>
  <c r="R1936" i="1"/>
  <c r="R1937" i="1"/>
  <c r="R1938" i="1"/>
  <c r="R1939" i="1"/>
  <c r="R1940" i="1"/>
  <c r="R1941" i="1"/>
  <c r="R1942" i="1"/>
  <c r="R1943" i="1"/>
  <c r="R1944" i="1"/>
  <c r="R1945" i="1"/>
  <c r="R1946" i="1"/>
  <c r="R1947" i="1"/>
  <c r="R1948" i="1"/>
  <c r="R1949" i="1"/>
  <c r="R1950" i="1"/>
  <c r="R1951" i="1"/>
  <c r="R1952" i="1"/>
  <c r="R1953" i="1"/>
  <c r="R1954" i="1"/>
  <c r="R1955" i="1"/>
  <c r="R1956" i="1"/>
  <c r="R1957" i="1"/>
  <c r="R1958" i="1"/>
  <c r="R1959" i="1"/>
  <c r="R1960" i="1"/>
  <c r="R1961" i="1"/>
  <c r="R1962" i="1"/>
  <c r="R1963" i="1"/>
  <c r="R1964" i="1"/>
  <c r="R1965" i="1"/>
  <c r="R1966" i="1"/>
  <c r="R1967" i="1"/>
  <c r="R1968" i="1"/>
  <c r="R1969" i="1"/>
  <c r="R1970" i="1"/>
  <c r="R1971" i="1"/>
  <c r="R1972" i="1"/>
  <c r="R1973" i="1"/>
  <c r="R1974" i="1"/>
  <c r="R1975" i="1"/>
  <c r="R1976" i="1"/>
  <c r="R1977" i="1"/>
  <c r="R1978" i="1"/>
  <c r="R1979" i="1"/>
  <c r="R1980" i="1"/>
  <c r="R1981" i="1"/>
  <c r="R1982" i="1"/>
  <c r="R1983" i="1"/>
  <c r="R1984" i="1"/>
  <c r="R1985" i="1"/>
  <c r="R1986" i="1"/>
  <c r="R1987" i="1"/>
  <c r="R1988" i="1"/>
  <c r="R1989" i="1"/>
  <c r="R1990" i="1"/>
  <c r="R1991" i="1"/>
  <c r="R1992" i="1"/>
  <c r="R1993" i="1"/>
  <c r="R1994" i="1"/>
  <c r="R1995" i="1"/>
  <c r="R1996" i="1"/>
  <c r="R1997" i="1"/>
  <c r="R1998" i="1"/>
  <c r="R1999" i="1"/>
  <c r="R2000" i="1"/>
  <c r="R2001" i="1"/>
  <c r="R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P1202" i="1"/>
  <c r="P1203" i="1"/>
  <c r="P1204" i="1"/>
  <c r="P1205" i="1"/>
  <c r="P1206" i="1"/>
  <c r="P1207" i="1"/>
  <c r="P1208" i="1"/>
  <c r="P1209" i="1"/>
  <c r="P1210" i="1"/>
  <c r="P1211" i="1"/>
  <c r="P1212" i="1"/>
  <c r="P1213" i="1"/>
  <c r="P1214" i="1"/>
  <c r="P1215" i="1"/>
  <c r="P1216" i="1"/>
  <c r="P1217" i="1"/>
  <c r="P1218" i="1"/>
  <c r="P1219" i="1"/>
  <c r="P1220" i="1"/>
  <c r="P1221" i="1"/>
  <c r="P1222" i="1"/>
  <c r="P1223" i="1"/>
  <c r="P1224" i="1"/>
  <c r="P1225" i="1"/>
  <c r="P1226" i="1"/>
  <c r="P1227" i="1"/>
  <c r="P1228" i="1"/>
  <c r="P1229" i="1"/>
  <c r="P1230" i="1"/>
  <c r="P1231" i="1"/>
  <c r="P1232" i="1"/>
  <c r="P1233" i="1"/>
  <c r="P1234" i="1"/>
  <c r="P1235" i="1"/>
  <c r="P1236" i="1"/>
  <c r="P1237" i="1"/>
  <c r="P1238" i="1"/>
  <c r="P1239" i="1"/>
  <c r="P1240" i="1"/>
  <c r="P1241" i="1"/>
  <c r="P1242" i="1"/>
  <c r="P1243" i="1"/>
  <c r="P1244" i="1"/>
  <c r="P1245" i="1"/>
  <c r="P1246" i="1"/>
  <c r="P1247" i="1"/>
  <c r="P1248" i="1"/>
  <c r="P1249" i="1"/>
  <c r="P1250" i="1"/>
  <c r="P1251" i="1"/>
  <c r="P1252" i="1"/>
  <c r="P1253" i="1"/>
  <c r="P1254" i="1"/>
  <c r="P1255" i="1"/>
  <c r="P1256" i="1"/>
  <c r="P1257" i="1"/>
  <c r="P1258" i="1"/>
  <c r="P1259" i="1"/>
  <c r="P1260" i="1"/>
  <c r="P1261" i="1"/>
  <c r="P1262" i="1"/>
  <c r="P1263" i="1"/>
  <c r="P1264" i="1"/>
  <c r="P1265" i="1"/>
  <c r="P1266" i="1"/>
  <c r="P1267" i="1"/>
  <c r="P1268" i="1"/>
  <c r="P1269" i="1"/>
  <c r="P1270" i="1"/>
  <c r="P1271" i="1"/>
  <c r="P1272" i="1"/>
  <c r="P1273" i="1"/>
  <c r="P1274" i="1"/>
  <c r="P1275" i="1"/>
  <c r="P1276" i="1"/>
  <c r="P1277" i="1"/>
  <c r="P1278" i="1"/>
  <c r="P1279" i="1"/>
  <c r="P1280" i="1"/>
  <c r="P1281" i="1"/>
  <c r="P1282" i="1"/>
  <c r="P1283" i="1"/>
  <c r="P1284" i="1"/>
  <c r="P1285" i="1"/>
  <c r="P1286" i="1"/>
  <c r="P1287" i="1"/>
  <c r="P1288" i="1"/>
  <c r="P1289" i="1"/>
  <c r="P1290" i="1"/>
  <c r="P1291" i="1"/>
  <c r="P1292" i="1"/>
  <c r="P1293" i="1"/>
  <c r="P1294" i="1"/>
  <c r="P1295" i="1"/>
  <c r="P1296" i="1"/>
  <c r="P1297" i="1"/>
  <c r="P1298" i="1"/>
  <c r="P1299" i="1"/>
  <c r="P1300" i="1"/>
  <c r="P1301" i="1"/>
  <c r="P1302" i="1"/>
  <c r="P1303" i="1"/>
  <c r="P1304" i="1"/>
  <c r="P1305" i="1"/>
  <c r="P1306" i="1"/>
  <c r="P1307" i="1"/>
  <c r="P1308" i="1"/>
  <c r="P1309" i="1"/>
  <c r="P1310" i="1"/>
  <c r="P1311" i="1"/>
  <c r="P1312" i="1"/>
  <c r="P1313" i="1"/>
  <c r="P1314" i="1"/>
  <c r="P1315" i="1"/>
  <c r="P1316" i="1"/>
  <c r="P1317" i="1"/>
  <c r="P1318" i="1"/>
  <c r="P1319" i="1"/>
  <c r="P1320" i="1"/>
  <c r="P1321" i="1"/>
  <c r="P1322" i="1"/>
  <c r="P1323" i="1"/>
  <c r="P1324" i="1"/>
  <c r="P1325" i="1"/>
  <c r="P1326" i="1"/>
  <c r="P1327" i="1"/>
  <c r="P1328" i="1"/>
  <c r="P1329" i="1"/>
  <c r="P1330" i="1"/>
  <c r="P1331" i="1"/>
  <c r="P1332" i="1"/>
  <c r="P1333" i="1"/>
  <c r="P1334" i="1"/>
  <c r="P1335" i="1"/>
  <c r="P1336" i="1"/>
  <c r="P1337" i="1"/>
  <c r="P1338" i="1"/>
  <c r="P1339" i="1"/>
  <c r="P1340" i="1"/>
  <c r="P1341" i="1"/>
  <c r="P1342" i="1"/>
  <c r="P1343" i="1"/>
  <c r="P1344" i="1"/>
  <c r="P1345" i="1"/>
  <c r="P1346" i="1"/>
  <c r="P1347" i="1"/>
  <c r="P1348" i="1"/>
  <c r="P1349" i="1"/>
  <c r="P1350" i="1"/>
  <c r="P1351" i="1"/>
  <c r="P1352" i="1"/>
  <c r="P1353" i="1"/>
  <c r="P1354" i="1"/>
  <c r="P1355" i="1"/>
  <c r="P1356" i="1"/>
  <c r="P1357" i="1"/>
  <c r="P1358" i="1"/>
  <c r="P1359" i="1"/>
  <c r="P1360" i="1"/>
  <c r="P1361" i="1"/>
  <c r="P1362" i="1"/>
  <c r="P1363" i="1"/>
  <c r="P1364" i="1"/>
  <c r="P1365" i="1"/>
  <c r="P1366" i="1"/>
  <c r="P1367" i="1"/>
  <c r="P1368" i="1"/>
  <c r="P1369" i="1"/>
  <c r="P1370" i="1"/>
  <c r="P1371" i="1"/>
  <c r="P1372" i="1"/>
  <c r="P1373" i="1"/>
  <c r="P1374" i="1"/>
  <c r="P1375" i="1"/>
  <c r="P1376" i="1"/>
  <c r="P1377" i="1"/>
  <c r="P1378" i="1"/>
  <c r="P1379" i="1"/>
  <c r="P1380" i="1"/>
  <c r="P1381" i="1"/>
  <c r="P1382" i="1"/>
  <c r="P1383" i="1"/>
  <c r="P1384" i="1"/>
  <c r="P1385" i="1"/>
  <c r="P1386" i="1"/>
  <c r="P1387" i="1"/>
  <c r="P1388" i="1"/>
  <c r="P1389" i="1"/>
  <c r="P1390" i="1"/>
  <c r="P1391" i="1"/>
  <c r="P1392" i="1"/>
  <c r="P1393" i="1"/>
  <c r="P1394" i="1"/>
  <c r="P1395" i="1"/>
  <c r="P1396" i="1"/>
  <c r="P1397" i="1"/>
  <c r="P1398" i="1"/>
  <c r="P1399" i="1"/>
  <c r="P1400" i="1"/>
  <c r="P1401" i="1"/>
  <c r="P1402" i="1"/>
  <c r="P1403" i="1"/>
  <c r="P1404" i="1"/>
  <c r="P1405" i="1"/>
  <c r="P1406" i="1"/>
  <c r="P1407" i="1"/>
  <c r="P1408" i="1"/>
  <c r="P1409" i="1"/>
  <c r="P1410" i="1"/>
  <c r="P1411" i="1"/>
  <c r="P1412" i="1"/>
  <c r="P1413" i="1"/>
  <c r="P1414" i="1"/>
  <c r="P1415" i="1"/>
  <c r="P1416" i="1"/>
  <c r="P1417" i="1"/>
  <c r="P1418" i="1"/>
  <c r="P1419" i="1"/>
  <c r="P1420" i="1"/>
  <c r="P1421" i="1"/>
  <c r="P1422" i="1"/>
  <c r="P1423" i="1"/>
  <c r="P1424" i="1"/>
  <c r="P1425" i="1"/>
  <c r="P1426" i="1"/>
  <c r="P1427" i="1"/>
  <c r="P1428" i="1"/>
  <c r="P1429" i="1"/>
  <c r="P1430" i="1"/>
  <c r="P1431" i="1"/>
  <c r="P1432" i="1"/>
  <c r="P1433" i="1"/>
  <c r="P1434" i="1"/>
  <c r="P1435" i="1"/>
  <c r="P1436" i="1"/>
  <c r="P1437" i="1"/>
  <c r="P1438" i="1"/>
  <c r="P1439" i="1"/>
  <c r="P1440" i="1"/>
  <c r="P1441" i="1"/>
  <c r="P1442" i="1"/>
  <c r="P1443" i="1"/>
  <c r="P1444" i="1"/>
  <c r="P1445" i="1"/>
  <c r="P1446" i="1"/>
  <c r="P1447" i="1"/>
  <c r="P1448" i="1"/>
  <c r="P1449" i="1"/>
  <c r="P1450" i="1"/>
  <c r="P1451" i="1"/>
  <c r="P1452" i="1"/>
  <c r="P1453" i="1"/>
  <c r="P1454" i="1"/>
  <c r="P1455" i="1"/>
  <c r="P1456" i="1"/>
  <c r="P1457" i="1"/>
  <c r="P1458" i="1"/>
  <c r="P1459" i="1"/>
  <c r="P1460" i="1"/>
  <c r="P1461" i="1"/>
  <c r="P1462" i="1"/>
  <c r="P1463" i="1"/>
  <c r="P1464" i="1"/>
  <c r="P1465" i="1"/>
  <c r="P1466" i="1"/>
  <c r="P1467" i="1"/>
  <c r="P1468" i="1"/>
  <c r="P1469" i="1"/>
  <c r="P1470" i="1"/>
  <c r="P1471" i="1"/>
  <c r="P1472" i="1"/>
  <c r="P1473" i="1"/>
  <c r="P1474" i="1"/>
  <c r="P1475" i="1"/>
  <c r="P1476" i="1"/>
  <c r="P1477" i="1"/>
  <c r="P1478" i="1"/>
  <c r="P1479" i="1"/>
  <c r="P1480" i="1"/>
  <c r="P1481" i="1"/>
  <c r="P1482" i="1"/>
  <c r="P1483" i="1"/>
  <c r="P1484" i="1"/>
  <c r="P1485" i="1"/>
  <c r="P1486" i="1"/>
  <c r="P1487" i="1"/>
  <c r="P1488" i="1"/>
  <c r="P1489" i="1"/>
  <c r="P1490" i="1"/>
  <c r="P1491" i="1"/>
  <c r="P1492" i="1"/>
  <c r="P1493" i="1"/>
  <c r="P1494" i="1"/>
  <c r="P1495" i="1"/>
  <c r="P1496" i="1"/>
  <c r="P1497" i="1"/>
  <c r="P1498" i="1"/>
  <c r="P1499" i="1"/>
  <c r="P1500" i="1"/>
  <c r="P1501" i="1"/>
  <c r="P1502" i="1"/>
  <c r="P1503" i="1"/>
  <c r="P1504" i="1"/>
  <c r="P1505" i="1"/>
  <c r="P1506" i="1"/>
  <c r="P1507" i="1"/>
  <c r="P1508" i="1"/>
  <c r="P1509" i="1"/>
  <c r="P1510" i="1"/>
  <c r="P1511" i="1"/>
  <c r="P1512" i="1"/>
  <c r="P1513" i="1"/>
  <c r="P1514" i="1"/>
  <c r="P1515" i="1"/>
  <c r="P1516" i="1"/>
  <c r="P1517" i="1"/>
  <c r="P1518" i="1"/>
  <c r="P1519" i="1"/>
  <c r="P1520" i="1"/>
  <c r="P1521" i="1"/>
  <c r="P1522" i="1"/>
  <c r="P1523" i="1"/>
  <c r="P1524" i="1"/>
  <c r="P1525" i="1"/>
  <c r="P1526" i="1"/>
  <c r="P1527" i="1"/>
  <c r="P1528" i="1"/>
  <c r="P1529" i="1"/>
  <c r="P1530" i="1"/>
  <c r="P1531" i="1"/>
  <c r="P1532" i="1"/>
  <c r="P1533" i="1"/>
  <c r="P1534" i="1"/>
  <c r="P1535" i="1"/>
  <c r="P1536" i="1"/>
  <c r="P1537" i="1"/>
  <c r="P1538" i="1"/>
  <c r="P1539" i="1"/>
  <c r="P1540" i="1"/>
  <c r="P1541" i="1"/>
  <c r="P1542" i="1"/>
  <c r="P1543" i="1"/>
  <c r="P1544" i="1"/>
  <c r="P1545" i="1"/>
  <c r="P1546" i="1"/>
  <c r="P1547" i="1"/>
  <c r="P1548" i="1"/>
  <c r="P1549" i="1"/>
  <c r="P1550" i="1"/>
  <c r="P1551" i="1"/>
  <c r="P1552" i="1"/>
  <c r="P1553" i="1"/>
  <c r="P1554" i="1"/>
  <c r="P1555" i="1"/>
  <c r="P1556" i="1"/>
  <c r="P1557" i="1"/>
  <c r="P1558" i="1"/>
  <c r="P1559" i="1"/>
  <c r="P1560" i="1"/>
  <c r="P1561" i="1"/>
  <c r="P1562" i="1"/>
  <c r="P1563" i="1"/>
  <c r="P1564" i="1"/>
  <c r="P1565" i="1"/>
  <c r="P1566" i="1"/>
  <c r="P1567" i="1"/>
  <c r="P1568" i="1"/>
  <c r="P1569" i="1"/>
  <c r="P1570" i="1"/>
  <c r="P1571" i="1"/>
  <c r="P1572" i="1"/>
  <c r="P1573" i="1"/>
  <c r="P1574" i="1"/>
  <c r="P1575" i="1"/>
  <c r="P1576" i="1"/>
  <c r="P1577" i="1"/>
  <c r="P1578" i="1"/>
  <c r="P1579" i="1"/>
  <c r="P1580" i="1"/>
  <c r="P1581" i="1"/>
  <c r="P1582" i="1"/>
  <c r="P1583" i="1"/>
  <c r="P1584" i="1"/>
  <c r="P1585" i="1"/>
  <c r="P1586" i="1"/>
  <c r="P1587" i="1"/>
  <c r="P1588" i="1"/>
  <c r="P1589" i="1"/>
  <c r="P1590" i="1"/>
  <c r="P1591" i="1"/>
  <c r="P1592" i="1"/>
  <c r="P1593" i="1"/>
  <c r="P1594" i="1"/>
  <c r="P1595" i="1"/>
  <c r="P1596" i="1"/>
  <c r="P1597" i="1"/>
  <c r="P1598" i="1"/>
  <c r="P1599" i="1"/>
  <c r="P1600" i="1"/>
  <c r="P1601" i="1"/>
  <c r="P1602" i="1"/>
  <c r="P1603" i="1"/>
  <c r="P1604" i="1"/>
  <c r="P1605" i="1"/>
  <c r="P1606" i="1"/>
  <c r="P1607" i="1"/>
  <c r="P1608" i="1"/>
  <c r="P1609" i="1"/>
  <c r="P1610" i="1"/>
  <c r="P1611" i="1"/>
  <c r="P1612" i="1"/>
  <c r="P1613" i="1"/>
  <c r="P1614" i="1"/>
  <c r="P1615" i="1"/>
  <c r="P1616" i="1"/>
  <c r="P1617" i="1"/>
  <c r="P1618" i="1"/>
  <c r="P1619" i="1"/>
  <c r="P1620" i="1"/>
  <c r="P1621" i="1"/>
  <c r="P1622" i="1"/>
  <c r="P1623" i="1"/>
  <c r="P1624" i="1"/>
  <c r="P1625" i="1"/>
  <c r="P1626" i="1"/>
  <c r="P1627" i="1"/>
  <c r="P1628" i="1"/>
  <c r="P1629" i="1"/>
  <c r="P1630" i="1"/>
  <c r="P1631" i="1"/>
  <c r="P1632" i="1"/>
  <c r="P1633" i="1"/>
  <c r="P1634" i="1"/>
  <c r="P1635" i="1"/>
  <c r="P1636" i="1"/>
  <c r="P1637" i="1"/>
  <c r="P1638" i="1"/>
  <c r="P1639" i="1"/>
  <c r="P1640" i="1"/>
  <c r="P1641" i="1"/>
  <c r="P1642" i="1"/>
  <c r="P1643" i="1"/>
  <c r="P1644" i="1"/>
  <c r="P1645" i="1"/>
  <c r="P1646" i="1"/>
  <c r="P1647" i="1"/>
  <c r="P1648" i="1"/>
  <c r="P1649" i="1"/>
  <c r="P1650" i="1"/>
  <c r="P1651" i="1"/>
  <c r="P1652" i="1"/>
  <c r="P1653" i="1"/>
  <c r="P1654" i="1"/>
  <c r="P1655" i="1"/>
  <c r="P1656" i="1"/>
  <c r="P1657" i="1"/>
  <c r="P1658" i="1"/>
  <c r="P1659" i="1"/>
  <c r="P1660" i="1"/>
  <c r="P1661" i="1"/>
  <c r="P1662" i="1"/>
  <c r="P1663" i="1"/>
  <c r="P1664" i="1"/>
  <c r="P1665" i="1"/>
  <c r="P1666" i="1"/>
  <c r="P1667" i="1"/>
  <c r="P1668" i="1"/>
  <c r="P1669" i="1"/>
  <c r="P1670" i="1"/>
  <c r="P1671" i="1"/>
  <c r="P1672" i="1"/>
  <c r="P1673" i="1"/>
  <c r="P1674" i="1"/>
  <c r="P1675" i="1"/>
  <c r="P1676" i="1"/>
  <c r="P1677" i="1"/>
  <c r="P1678" i="1"/>
  <c r="P1679" i="1"/>
  <c r="P1680" i="1"/>
  <c r="P1681" i="1"/>
  <c r="P1682" i="1"/>
  <c r="P1683" i="1"/>
  <c r="P1684" i="1"/>
  <c r="P1685" i="1"/>
  <c r="P1686" i="1"/>
  <c r="P1687" i="1"/>
  <c r="P1688" i="1"/>
  <c r="P1689" i="1"/>
  <c r="P1690" i="1"/>
  <c r="P1691" i="1"/>
  <c r="P1692" i="1"/>
  <c r="P1693" i="1"/>
  <c r="P1694" i="1"/>
  <c r="P1695" i="1"/>
  <c r="P1696" i="1"/>
  <c r="P1697" i="1"/>
  <c r="P1698" i="1"/>
  <c r="P1699" i="1"/>
  <c r="P1700" i="1"/>
  <c r="P1701" i="1"/>
  <c r="P1702" i="1"/>
  <c r="P1703" i="1"/>
  <c r="P1704" i="1"/>
  <c r="P1705" i="1"/>
  <c r="P1706" i="1"/>
  <c r="P1707" i="1"/>
  <c r="P1708" i="1"/>
  <c r="P1709" i="1"/>
  <c r="P1710" i="1"/>
  <c r="P1711" i="1"/>
  <c r="P1712" i="1"/>
  <c r="P1713" i="1"/>
  <c r="P1714" i="1"/>
  <c r="P1715" i="1"/>
  <c r="P1716" i="1"/>
  <c r="P1717" i="1"/>
  <c r="P1718" i="1"/>
  <c r="P1719" i="1"/>
  <c r="P1720" i="1"/>
  <c r="P1721" i="1"/>
  <c r="P1722" i="1"/>
  <c r="P1723" i="1"/>
  <c r="P1724" i="1"/>
  <c r="P1725" i="1"/>
  <c r="P1726" i="1"/>
  <c r="P1727" i="1"/>
  <c r="P1728" i="1"/>
  <c r="P1729" i="1"/>
  <c r="P1730" i="1"/>
  <c r="P1731" i="1"/>
  <c r="P1732" i="1"/>
  <c r="P1733" i="1"/>
  <c r="P1734" i="1"/>
  <c r="P1735" i="1"/>
  <c r="P1736" i="1"/>
  <c r="P1737" i="1"/>
  <c r="P1738" i="1"/>
  <c r="P1739" i="1"/>
  <c r="P1740" i="1"/>
  <c r="P1741" i="1"/>
  <c r="P1742" i="1"/>
  <c r="P1743" i="1"/>
  <c r="P1744" i="1"/>
  <c r="P1745" i="1"/>
  <c r="P1746" i="1"/>
  <c r="P1747" i="1"/>
  <c r="P1748" i="1"/>
  <c r="P1749" i="1"/>
  <c r="P1750" i="1"/>
  <c r="P1751" i="1"/>
  <c r="P1752" i="1"/>
  <c r="P1753" i="1"/>
  <c r="P1754" i="1"/>
  <c r="P1755" i="1"/>
  <c r="P1756" i="1"/>
  <c r="P1757" i="1"/>
  <c r="P1758" i="1"/>
  <c r="P1759" i="1"/>
  <c r="P1760" i="1"/>
  <c r="P1761" i="1"/>
  <c r="P1762" i="1"/>
  <c r="P1763" i="1"/>
  <c r="P1764" i="1"/>
  <c r="P1765" i="1"/>
  <c r="P1766" i="1"/>
  <c r="P1767" i="1"/>
  <c r="P1768" i="1"/>
  <c r="P1769" i="1"/>
  <c r="P1770" i="1"/>
  <c r="P1771" i="1"/>
  <c r="P1772" i="1"/>
  <c r="P1773" i="1"/>
  <c r="P1774" i="1"/>
  <c r="P1775" i="1"/>
  <c r="P1776" i="1"/>
  <c r="P1777" i="1"/>
  <c r="P1778" i="1"/>
  <c r="P1779" i="1"/>
  <c r="P1780" i="1"/>
  <c r="P1781" i="1"/>
  <c r="P1782" i="1"/>
  <c r="P1783" i="1"/>
  <c r="P1784" i="1"/>
  <c r="P1785" i="1"/>
  <c r="P1786" i="1"/>
  <c r="P1787" i="1"/>
  <c r="P1788" i="1"/>
  <c r="P1789" i="1"/>
  <c r="P1790" i="1"/>
  <c r="P1791" i="1"/>
  <c r="P1792" i="1"/>
  <c r="P1793" i="1"/>
  <c r="P1794" i="1"/>
  <c r="P1795" i="1"/>
  <c r="P1796" i="1"/>
  <c r="P1797" i="1"/>
  <c r="P1798" i="1"/>
  <c r="P1799" i="1"/>
  <c r="P1800" i="1"/>
  <c r="P1801" i="1"/>
  <c r="P1802" i="1"/>
  <c r="P1803" i="1"/>
  <c r="P1804" i="1"/>
  <c r="P1805" i="1"/>
  <c r="P1806" i="1"/>
  <c r="P1807" i="1"/>
  <c r="P1808" i="1"/>
  <c r="P1809" i="1"/>
  <c r="P1810" i="1"/>
  <c r="P1811" i="1"/>
  <c r="P1812" i="1"/>
  <c r="P1813" i="1"/>
  <c r="P1814" i="1"/>
  <c r="P1815" i="1"/>
  <c r="P1816" i="1"/>
  <c r="P1817" i="1"/>
  <c r="P1818" i="1"/>
  <c r="P1819" i="1"/>
  <c r="P1820" i="1"/>
  <c r="P1821" i="1"/>
  <c r="P1822" i="1"/>
  <c r="P1823" i="1"/>
  <c r="P1824" i="1"/>
  <c r="P1825" i="1"/>
  <c r="P1826" i="1"/>
  <c r="P1827" i="1"/>
  <c r="P1828" i="1"/>
  <c r="P1829" i="1"/>
  <c r="P1830" i="1"/>
  <c r="P1831" i="1"/>
  <c r="P1832" i="1"/>
  <c r="P1833" i="1"/>
  <c r="P1834" i="1"/>
  <c r="P1835" i="1"/>
  <c r="P1836" i="1"/>
  <c r="P1837" i="1"/>
  <c r="P1838" i="1"/>
  <c r="P1839" i="1"/>
  <c r="P1840" i="1"/>
  <c r="P1841" i="1"/>
  <c r="P1842" i="1"/>
  <c r="P1843" i="1"/>
  <c r="P1844" i="1"/>
  <c r="P1845" i="1"/>
  <c r="P1846" i="1"/>
  <c r="P1847" i="1"/>
  <c r="P1848" i="1"/>
  <c r="P1849" i="1"/>
  <c r="P1850" i="1"/>
  <c r="P1851" i="1"/>
  <c r="P1852" i="1"/>
  <c r="P1853" i="1"/>
  <c r="P1854" i="1"/>
  <c r="P1855" i="1"/>
  <c r="P1856" i="1"/>
  <c r="P1857" i="1"/>
  <c r="P1858" i="1"/>
  <c r="P1859" i="1"/>
  <c r="P1860" i="1"/>
  <c r="P1861" i="1"/>
  <c r="P1862" i="1"/>
  <c r="P1863" i="1"/>
  <c r="P1864" i="1"/>
  <c r="P1865" i="1"/>
  <c r="P1866" i="1"/>
  <c r="P1867" i="1"/>
  <c r="P1868" i="1"/>
  <c r="P1869" i="1"/>
  <c r="P1870" i="1"/>
  <c r="P1871" i="1"/>
  <c r="P1872" i="1"/>
  <c r="P1873" i="1"/>
  <c r="P1874" i="1"/>
  <c r="P1875" i="1"/>
  <c r="P1876" i="1"/>
  <c r="P1877" i="1"/>
  <c r="P1878" i="1"/>
  <c r="P1879" i="1"/>
  <c r="P1880" i="1"/>
  <c r="P1881" i="1"/>
  <c r="P1882" i="1"/>
  <c r="P1883" i="1"/>
  <c r="P1884" i="1"/>
  <c r="P1885" i="1"/>
  <c r="P1886" i="1"/>
  <c r="P1887" i="1"/>
  <c r="P1888" i="1"/>
  <c r="P1889" i="1"/>
  <c r="P1890" i="1"/>
  <c r="P1891" i="1"/>
  <c r="P1892" i="1"/>
  <c r="P1893" i="1"/>
  <c r="P1894" i="1"/>
  <c r="P1895" i="1"/>
  <c r="P1896" i="1"/>
  <c r="P1897" i="1"/>
  <c r="P1898" i="1"/>
  <c r="P1899" i="1"/>
  <c r="P1900" i="1"/>
  <c r="P1901" i="1"/>
  <c r="P1902" i="1"/>
  <c r="P1903" i="1"/>
  <c r="P1904" i="1"/>
  <c r="P1905" i="1"/>
  <c r="P1906" i="1"/>
  <c r="P1907" i="1"/>
  <c r="P1908" i="1"/>
  <c r="P1909" i="1"/>
  <c r="P1910" i="1"/>
  <c r="P1911" i="1"/>
  <c r="P1912" i="1"/>
  <c r="P1913" i="1"/>
  <c r="P1914" i="1"/>
  <c r="P1915" i="1"/>
  <c r="P1916" i="1"/>
  <c r="P1917" i="1"/>
  <c r="P1918" i="1"/>
  <c r="P1919" i="1"/>
  <c r="P1920" i="1"/>
  <c r="P1921" i="1"/>
  <c r="P1922" i="1"/>
  <c r="P1923" i="1"/>
  <c r="P1924" i="1"/>
  <c r="P1925" i="1"/>
  <c r="P1926" i="1"/>
  <c r="P1927" i="1"/>
  <c r="P1928" i="1"/>
  <c r="P1929" i="1"/>
  <c r="P1930" i="1"/>
  <c r="P1931" i="1"/>
  <c r="P1932" i="1"/>
  <c r="P1933" i="1"/>
  <c r="P1934" i="1"/>
  <c r="P1935" i="1"/>
  <c r="P1936" i="1"/>
  <c r="P1937" i="1"/>
  <c r="P1938" i="1"/>
  <c r="P1939" i="1"/>
  <c r="P1940" i="1"/>
  <c r="P1941" i="1"/>
  <c r="P1942" i="1"/>
  <c r="P1943" i="1"/>
  <c r="P1944" i="1"/>
  <c r="P1945" i="1"/>
  <c r="P1946" i="1"/>
  <c r="P1947" i="1"/>
  <c r="P1948" i="1"/>
  <c r="P1949" i="1"/>
  <c r="P1950" i="1"/>
  <c r="P1951" i="1"/>
  <c r="P1952" i="1"/>
  <c r="P1953" i="1"/>
  <c r="P1954" i="1"/>
  <c r="P1955" i="1"/>
  <c r="P1956" i="1"/>
  <c r="P1957" i="1"/>
  <c r="P1958" i="1"/>
  <c r="P1959" i="1"/>
  <c r="P1960" i="1"/>
  <c r="P1961" i="1"/>
  <c r="P1962" i="1"/>
  <c r="P1963" i="1"/>
  <c r="P1964" i="1"/>
  <c r="P1965" i="1"/>
  <c r="P1966" i="1"/>
  <c r="P1967" i="1"/>
  <c r="P1968" i="1"/>
  <c r="P1969" i="1"/>
  <c r="P1970" i="1"/>
  <c r="P1971" i="1"/>
  <c r="P1972" i="1"/>
  <c r="P1973" i="1"/>
  <c r="P1974" i="1"/>
  <c r="P1975" i="1"/>
  <c r="P1976" i="1"/>
  <c r="P1977" i="1"/>
  <c r="P1978" i="1"/>
  <c r="P1979" i="1"/>
  <c r="P1980" i="1"/>
  <c r="P1981" i="1"/>
  <c r="P1982" i="1"/>
  <c r="P1983" i="1"/>
  <c r="P1984" i="1"/>
  <c r="P1985" i="1"/>
  <c r="P1986" i="1"/>
  <c r="P1987" i="1"/>
  <c r="P1988" i="1"/>
  <c r="P1989" i="1"/>
  <c r="P1990" i="1"/>
  <c r="P1991" i="1"/>
  <c r="P1992" i="1"/>
  <c r="P1993" i="1"/>
  <c r="P1994" i="1"/>
  <c r="P1995" i="1"/>
  <c r="P1996" i="1"/>
  <c r="P1997" i="1"/>
  <c r="P1998" i="1"/>
  <c r="P1999" i="1"/>
  <c r="P2000" i="1"/>
  <c r="P2001" i="1"/>
  <c r="P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Q1002" i="1"/>
  <c r="Q1003" i="1"/>
  <c r="Q1004" i="1"/>
  <c r="Q1005" i="1"/>
  <c r="Q1006" i="1"/>
  <c r="Q1007" i="1"/>
  <c r="Q1008" i="1"/>
  <c r="Q1009" i="1"/>
  <c r="Q1010" i="1"/>
  <c r="Q1011" i="1"/>
  <c r="Q1012" i="1"/>
  <c r="Q1013" i="1"/>
  <c r="Q1014" i="1"/>
  <c r="Q1015" i="1"/>
  <c r="Q1016" i="1"/>
  <c r="Q1017" i="1"/>
  <c r="Q1018" i="1"/>
  <c r="Q1019" i="1"/>
  <c r="Q1020" i="1"/>
  <c r="Q1021" i="1"/>
  <c r="Q1022" i="1"/>
  <c r="Q1023" i="1"/>
  <c r="Q1024" i="1"/>
  <c r="Q1025" i="1"/>
  <c r="Q1026" i="1"/>
  <c r="Q1027" i="1"/>
  <c r="Q1028" i="1"/>
  <c r="Q1029" i="1"/>
  <c r="Q1030" i="1"/>
  <c r="Q1031" i="1"/>
  <c r="Q1032" i="1"/>
  <c r="Q1033" i="1"/>
  <c r="Q1034" i="1"/>
  <c r="Q1035" i="1"/>
  <c r="Q1036" i="1"/>
  <c r="Q1037" i="1"/>
  <c r="Q1038" i="1"/>
  <c r="Q1039" i="1"/>
  <c r="Q1040" i="1"/>
  <c r="Q1041" i="1"/>
  <c r="Q1042" i="1"/>
  <c r="Q1043" i="1"/>
  <c r="Q1044" i="1"/>
  <c r="Q1045" i="1"/>
  <c r="Q1046" i="1"/>
  <c r="Q1047" i="1"/>
  <c r="Q1048" i="1"/>
  <c r="Q1049" i="1"/>
  <c r="Q1050" i="1"/>
  <c r="Q1051" i="1"/>
  <c r="Q1052" i="1"/>
  <c r="Q1053" i="1"/>
  <c r="Q1054" i="1"/>
  <c r="Q1055" i="1"/>
  <c r="Q1056" i="1"/>
  <c r="Q1057" i="1"/>
  <c r="Q1058" i="1"/>
  <c r="Q1059" i="1"/>
  <c r="Q1060" i="1"/>
  <c r="Q1061" i="1"/>
  <c r="Q1062" i="1"/>
  <c r="Q1063" i="1"/>
  <c r="Q1064" i="1"/>
  <c r="Q1065" i="1"/>
  <c r="Q1066" i="1"/>
  <c r="Q1067" i="1"/>
  <c r="Q1068" i="1"/>
  <c r="Q1069" i="1"/>
  <c r="Q1070" i="1"/>
  <c r="Q1071" i="1"/>
  <c r="Q1072" i="1"/>
  <c r="Q1073" i="1"/>
  <c r="Q1074" i="1"/>
  <c r="Q1075" i="1"/>
  <c r="Q1076" i="1"/>
  <c r="Q1077" i="1"/>
  <c r="Q1078" i="1"/>
  <c r="Q1079" i="1"/>
  <c r="Q1080" i="1"/>
  <c r="Q1081" i="1"/>
  <c r="Q1082" i="1"/>
  <c r="Q1083" i="1"/>
  <c r="Q1084" i="1"/>
  <c r="Q1085" i="1"/>
  <c r="Q1086" i="1"/>
  <c r="Q1087" i="1"/>
  <c r="Q1088" i="1"/>
  <c r="Q1089" i="1"/>
  <c r="Q1090" i="1"/>
  <c r="Q1091" i="1"/>
  <c r="Q1092" i="1"/>
  <c r="Q1093" i="1"/>
  <c r="Q1094" i="1"/>
  <c r="Q1095" i="1"/>
  <c r="Q1096" i="1"/>
  <c r="Q1097" i="1"/>
  <c r="Q1098" i="1"/>
  <c r="Q1099" i="1"/>
  <c r="Q1100" i="1"/>
  <c r="Q1101" i="1"/>
  <c r="Q1102" i="1"/>
  <c r="Q1103" i="1"/>
  <c r="Q1104" i="1"/>
  <c r="Q1105" i="1"/>
  <c r="Q1106" i="1"/>
  <c r="Q1107" i="1"/>
  <c r="Q1108" i="1"/>
  <c r="Q1109" i="1"/>
  <c r="Q1110" i="1"/>
  <c r="Q1111" i="1"/>
  <c r="Q1112" i="1"/>
  <c r="Q1113" i="1"/>
  <c r="Q1114" i="1"/>
  <c r="Q1115" i="1"/>
  <c r="Q1116" i="1"/>
  <c r="Q1117" i="1"/>
  <c r="Q1118" i="1"/>
  <c r="Q1119" i="1"/>
  <c r="Q1120" i="1"/>
  <c r="Q1121" i="1"/>
  <c r="Q1122" i="1"/>
  <c r="Q1123" i="1"/>
  <c r="Q1124" i="1"/>
  <c r="Q1125" i="1"/>
  <c r="Q1126" i="1"/>
  <c r="Q1127" i="1"/>
  <c r="Q1128" i="1"/>
  <c r="Q1129" i="1"/>
  <c r="Q1130" i="1"/>
  <c r="Q1131" i="1"/>
  <c r="Q1132" i="1"/>
  <c r="Q1133" i="1"/>
  <c r="Q1134" i="1"/>
  <c r="Q1135" i="1"/>
  <c r="Q1136" i="1"/>
  <c r="Q1137" i="1"/>
  <c r="Q1138" i="1"/>
  <c r="Q1139" i="1"/>
  <c r="Q1140" i="1"/>
  <c r="Q1141" i="1"/>
  <c r="Q1142" i="1"/>
  <c r="Q1143" i="1"/>
  <c r="Q1144" i="1"/>
  <c r="Q1145" i="1"/>
  <c r="Q1146" i="1"/>
  <c r="Q1147" i="1"/>
  <c r="Q1148" i="1"/>
  <c r="Q1149" i="1"/>
  <c r="Q1150" i="1"/>
  <c r="Q1151" i="1"/>
  <c r="Q1152" i="1"/>
  <c r="Q1153" i="1"/>
  <c r="Q1154" i="1"/>
  <c r="Q1155" i="1"/>
  <c r="Q1156" i="1"/>
  <c r="Q1157" i="1"/>
  <c r="Q1158" i="1"/>
  <c r="Q1159" i="1"/>
  <c r="Q1160" i="1"/>
  <c r="Q1161" i="1"/>
  <c r="Q1162" i="1"/>
  <c r="Q1163" i="1"/>
  <c r="Q1164" i="1"/>
  <c r="Q1165" i="1"/>
  <c r="Q1166" i="1"/>
  <c r="Q1167" i="1"/>
  <c r="Q1168" i="1"/>
  <c r="Q1169" i="1"/>
  <c r="Q1170" i="1"/>
  <c r="Q1171" i="1"/>
  <c r="Q1172" i="1"/>
  <c r="Q1173" i="1"/>
  <c r="Q1174" i="1"/>
  <c r="Q1175" i="1"/>
  <c r="Q1176" i="1"/>
  <c r="Q1177" i="1"/>
  <c r="Q1178" i="1"/>
  <c r="Q1179" i="1"/>
  <c r="Q1180" i="1"/>
  <c r="Q1181" i="1"/>
  <c r="Q1182" i="1"/>
  <c r="Q1183" i="1"/>
  <c r="Q1184" i="1"/>
  <c r="Q1185" i="1"/>
  <c r="Q1186" i="1"/>
  <c r="Q1187" i="1"/>
  <c r="Q1188" i="1"/>
  <c r="Q1189" i="1"/>
  <c r="Q1190" i="1"/>
  <c r="Q1191" i="1"/>
  <c r="Q1192" i="1"/>
  <c r="Q1193" i="1"/>
  <c r="Q1194" i="1"/>
  <c r="Q1195" i="1"/>
  <c r="Q1196" i="1"/>
  <c r="Q1197" i="1"/>
  <c r="Q1198" i="1"/>
  <c r="Q1199" i="1"/>
  <c r="Q1200" i="1"/>
  <c r="Q1201" i="1"/>
  <c r="Q1202" i="1"/>
  <c r="Q1203" i="1"/>
  <c r="Q1204" i="1"/>
  <c r="Q1205" i="1"/>
  <c r="Q1206" i="1"/>
  <c r="Q1207" i="1"/>
  <c r="Q1208" i="1"/>
  <c r="Q1209" i="1"/>
  <c r="Q1210" i="1"/>
  <c r="Q1211" i="1"/>
  <c r="Q1212" i="1"/>
  <c r="Q1213" i="1"/>
  <c r="Q1214" i="1"/>
  <c r="Q1215" i="1"/>
  <c r="Q1216" i="1"/>
  <c r="Q1217" i="1"/>
  <c r="Q1218" i="1"/>
  <c r="Q1219" i="1"/>
  <c r="Q1220" i="1"/>
  <c r="Q1221" i="1"/>
  <c r="Q1222" i="1"/>
  <c r="Q1223" i="1"/>
  <c r="Q1224" i="1"/>
  <c r="Q1225" i="1"/>
  <c r="Q1226" i="1"/>
  <c r="Q1227" i="1"/>
  <c r="Q1228" i="1"/>
  <c r="Q1229" i="1"/>
  <c r="Q1230" i="1"/>
  <c r="Q1231" i="1"/>
  <c r="Q1232" i="1"/>
  <c r="Q1233" i="1"/>
  <c r="Q1234" i="1"/>
  <c r="Q1235" i="1"/>
  <c r="Q1236" i="1"/>
  <c r="Q1237" i="1"/>
  <c r="Q1238" i="1"/>
  <c r="Q1239" i="1"/>
  <c r="Q1240" i="1"/>
  <c r="Q1241" i="1"/>
  <c r="Q1242" i="1"/>
  <c r="Q1243" i="1"/>
  <c r="Q1244" i="1"/>
  <c r="Q1245" i="1"/>
  <c r="Q1246" i="1"/>
  <c r="Q1247" i="1"/>
  <c r="Q1248" i="1"/>
  <c r="Q1249" i="1"/>
  <c r="Q1250" i="1"/>
  <c r="Q1251" i="1"/>
  <c r="Q1252" i="1"/>
  <c r="Q1253" i="1"/>
  <c r="Q1254" i="1"/>
  <c r="Q1255" i="1"/>
  <c r="Q1256" i="1"/>
  <c r="Q1257" i="1"/>
  <c r="Q1258" i="1"/>
  <c r="Q1259" i="1"/>
  <c r="Q1260" i="1"/>
  <c r="Q1261" i="1"/>
  <c r="Q1262" i="1"/>
  <c r="Q1263" i="1"/>
  <c r="Q1264" i="1"/>
  <c r="Q1265" i="1"/>
  <c r="Q1266" i="1"/>
  <c r="Q1267" i="1"/>
  <c r="Q1268" i="1"/>
  <c r="Q1269" i="1"/>
  <c r="Q1270" i="1"/>
  <c r="Q1271" i="1"/>
  <c r="Q1272" i="1"/>
  <c r="Q1273" i="1"/>
  <c r="Q1274" i="1"/>
  <c r="Q1275" i="1"/>
  <c r="Q1276" i="1"/>
  <c r="Q1277" i="1"/>
  <c r="Q1278" i="1"/>
  <c r="Q1279" i="1"/>
  <c r="Q1280" i="1"/>
  <c r="Q1281" i="1"/>
  <c r="Q1282" i="1"/>
  <c r="Q1283" i="1"/>
  <c r="Q1284" i="1"/>
  <c r="Q1285" i="1"/>
  <c r="Q1286" i="1"/>
  <c r="Q1287" i="1"/>
  <c r="Q1288" i="1"/>
  <c r="Q1289" i="1"/>
  <c r="Q1290" i="1"/>
  <c r="Q1291" i="1"/>
  <c r="Q1292" i="1"/>
  <c r="Q1293" i="1"/>
  <c r="Q1294" i="1"/>
  <c r="Q1295" i="1"/>
  <c r="Q1296" i="1"/>
  <c r="Q1297" i="1"/>
  <c r="Q1298" i="1"/>
  <c r="Q1299" i="1"/>
  <c r="Q1300" i="1"/>
  <c r="Q1301" i="1"/>
  <c r="Q1302" i="1"/>
  <c r="Q1303" i="1"/>
  <c r="Q1304" i="1"/>
  <c r="Q1305" i="1"/>
  <c r="Q1306" i="1"/>
  <c r="Q1307" i="1"/>
  <c r="Q1308" i="1"/>
  <c r="Q1309" i="1"/>
  <c r="Q1310" i="1"/>
  <c r="Q1311" i="1"/>
  <c r="Q1312" i="1"/>
  <c r="Q1313" i="1"/>
  <c r="Q1314" i="1"/>
  <c r="Q1315" i="1"/>
  <c r="Q1316" i="1"/>
  <c r="Q1317" i="1"/>
  <c r="Q1318" i="1"/>
  <c r="Q1319" i="1"/>
  <c r="Q1320" i="1"/>
  <c r="Q1321" i="1"/>
  <c r="Q1322" i="1"/>
  <c r="Q1323" i="1"/>
  <c r="Q1324" i="1"/>
  <c r="Q1325" i="1"/>
  <c r="Q1326" i="1"/>
  <c r="Q1327" i="1"/>
  <c r="Q1328" i="1"/>
  <c r="Q1329" i="1"/>
  <c r="Q1330" i="1"/>
  <c r="Q1331" i="1"/>
  <c r="Q1332" i="1"/>
  <c r="Q1333" i="1"/>
  <c r="Q1334" i="1"/>
  <c r="Q1335" i="1"/>
  <c r="Q1336" i="1"/>
  <c r="Q1337" i="1"/>
  <c r="Q1338" i="1"/>
  <c r="Q1339" i="1"/>
  <c r="Q1340" i="1"/>
  <c r="Q1341" i="1"/>
  <c r="Q1342" i="1"/>
  <c r="Q1343" i="1"/>
  <c r="Q1344" i="1"/>
  <c r="Q1345" i="1"/>
  <c r="Q1346" i="1"/>
  <c r="Q1347" i="1"/>
  <c r="Q1348" i="1"/>
  <c r="Q1349" i="1"/>
  <c r="Q1350" i="1"/>
  <c r="Q1351" i="1"/>
  <c r="Q1352" i="1"/>
  <c r="Q1353" i="1"/>
  <c r="Q1354" i="1"/>
  <c r="Q1355" i="1"/>
  <c r="Q1356" i="1"/>
  <c r="Q1357" i="1"/>
  <c r="Q1358" i="1"/>
  <c r="Q1359" i="1"/>
  <c r="Q1360" i="1"/>
  <c r="Q1361" i="1"/>
  <c r="Q1362" i="1"/>
  <c r="Q1363" i="1"/>
  <c r="Q1364" i="1"/>
  <c r="Q1365" i="1"/>
  <c r="Q1366" i="1"/>
  <c r="Q1367" i="1"/>
  <c r="Q1368" i="1"/>
  <c r="Q1369" i="1"/>
  <c r="Q1370" i="1"/>
  <c r="Q1371" i="1"/>
  <c r="Q1372" i="1"/>
  <c r="Q1373" i="1"/>
  <c r="Q1374" i="1"/>
  <c r="Q1375" i="1"/>
  <c r="Q1376" i="1"/>
  <c r="Q1377" i="1"/>
  <c r="Q1378" i="1"/>
  <c r="Q1379" i="1"/>
  <c r="Q1380" i="1"/>
  <c r="Q1381" i="1"/>
  <c r="Q1382" i="1"/>
  <c r="Q1383" i="1"/>
  <c r="Q1384" i="1"/>
  <c r="Q1385" i="1"/>
  <c r="Q1386" i="1"/>
  <c r="Q1387" i="1"/>
  <c r="Q1388" i="1"/>
  <c r="Q1389" i="1"/>
  <c r="Q1390" i="1"/>
  <c r="Q1391" i="1"/>
  <c r="Q1392" i="1"/>
  <c r="Q1393" i="1"/>
  <c r="Q1394" i="1"/>
  <c r="Q1395" i="1"/>
  <c r="Q1396" i="1"/>
  <c r="Q1397" i="1"/>
  <c r="Q1398" i="1"/>
  <c r="Q1399" i="1"/>
  <c r="Q1400" i="1"/>
  <c r="Q1401" i="1"/>
  <c r="Q1402" i="1"/>
  <c r="Q1403" i="1"/>
  <c r="Q1404" i="1"/>
  <c r="Q1405" i="1"/>
  <c r="Q1406" i="1"/>
  <c r="Q1407" i="1"/>
  <c r="Q1408" i="1"/>
  <c r="Q1409" i="1"/>
  <c r="Q1410" i="1"/>
  <c r="Q1411" i="1"/>
  <c r="Q1412" i="1"/>
  <c r="Q1413" i="1"/>
  <c r="Q1414" i="1"/>
  <c r="Q1415" i="1"/>
  <c r="Q1416" i="1"/>
  <c r="Q1417" i="1"/>
  <c r="Q1418" i="1"/>
  <c r="Q1419" i="1"/>
  <c r="Q1420" i="1"/>
  <c r="Q1421" i="1"/>
  <c r="Q1422" i="1"/>
  <c r="Q1423" i="1"/>
  <c r="Q1424" i="1"/>
  <c r="Q1425" i="1"/>
  <c r="Q1426" i="1"/>
  <c r="Q1427" i="1"/>
  <c r="Q1428" i="1"/>
  <c r="Q1429" i="1"/>
  <c r="Q1430" i="1"/>
  <c r="Q1431" i="1"/>
  <c r="Q1432" i="1"/>
  <c r="Q1433" i="1"/>
  <c r="Q1434" i="1"/>
  <c r="Q1435" i="1"/>
  <c r="Q1436" i="1"/>
  <c r="Q1437" i="1"/>
  <c r="Q1438" i="1"/>
  <c r="Q1439" i="1"/>
  <c r="Q1440" i="1"/>
  <c r="Q1441" i="1"/>
  <c r="Q1442" i="1"/>
  <c r="Q1443" i="1"/>
  <c r="Q1444" i="1"/>
  <c r="Q1445" i="1"/>
  <c r="Q1446" i="1"/>
  <c r="Q1447" i="1"/>
  <c r="Q1448" i="1"/>
  <c r="Q1449" i="1"/>
  <c r="Q1450" i="1"/>
  <c r="Q1451" i="1"/>
  <c r="Q1452" i="1"/>
  <c r="Q1453" i="1"/>
  <c r="Q1454" i="1"/>
  <c r="Q1455" i="1"/>
  <c r="Q1456" i="1"/>
  <c r="Q1457" i="1"/>
  <c r="Q1458" i="1"/>
  <c r="Q1459" i="1"/>
  <c r="Q1460" i="1"/>
  <c r="Q1461" i="1"/>
  <c r="Q1462" i="1"/>
  <c r="Q1463" i="1"/>
  <c r="Q1464" i="1"/>
  <c r="Q1465" i="1"/>
  <c r="Q1466" i="1"/>
  <c r="Q1467" i="1"/>
  <c r="Q1468" i="1"/>
  <c r="Q1469" i="1"/>
  <c r="Q1470" i="1"/>
  <c r="Q1471" i="1"/>
  <c r="Q1472" i="1"/>
  <c r="Q1473" i="1"/>
  <c r="Q1474" i="1"/>
  <c r="Q1475" i="1"/>
  <c r="Q1476" i="1"/>
  <c r="Q1477" i="1"/>
  <c r="Q1478" i="1"/>
  <c r="Q1479" i="1"/>
  <c r="Q1480" i="1"/>
  <c r="Q1481" i="1"/>
  <c r="Q1482" i="1"/>
  <c r="Q1483" i="1"/>
  <c r="Q1484" i="1"/>
  <c r="Q1485" i="1"/>
  <c r="Q1486" i="1"/>
  <c r="Q1487" i="1"/>
  <c r="Q1488" i="1"/>
  <c r="Q1489" i="1"/>
  <c r="Q1490" i="1"/>
  <c r="Q1491" i="1"/>
  <c r="Q1492" i="1"/>
  <c r="Q1493" i="1"/>
  <c r="Q1494" i="1"/>
  <c r="Q1495" i="1"/>
  <c r="Q1496" i="1"/>
  <c r="Q1497" i="1"/>
  <c r="Q1498" i="1"/>
  <c r="Q1499" i="1"/>
  <c r="Q1500" i="1"/>
  <c r="Q1501" i="1"/>
  <c r="Q1502" i="1"/>
  <c r="Q1503" i="1"/>
  <c r="Q1504" i="1"/>
  <c r="Q1505" i="1"/>
  <c r="Q1506" i="1"/>
  <c r="Q1507" i="1"/>
  <c r="Q1508" i="1"/>
  <c r="Q1509" i="1"/>
  <c r="Q1510" i="1"/>
  <c r="Q1511" i="1"/>
  <c r="Q1512" i="1"/>
  <c r="Q1513" i="1"/>
  <c r="Q1514" i="1"/>
  <c r="Q1515" i="1"/>
  <c r="Q1516" i="1"/>
  <c r="Q1517" i="1"/>
  <c r="Q1518" i="1"/>
  <c r="Q1519" i="1"/>
  <c r="Q1520" i="1"/>
  <c r="Q1521" i="1"/>
  <c r="Q1522" i="1"/>
  <c r="Q1523" i="1"/>
  <c r="Q1524" i="1"/>
  <c r="Q1525" i="1"/>
  <c r="Q1526" i="1"/>
  <c r="Q1527" i="1"/>
  <c r="Q1528" i="1"/>
  <c r="Q1529" i="1"/>
  <c r="Q1530" i="1"/>
  <c r="Q1531" i="1"/>
  <c r="Q1532" i="1"/>
  <c r="Q1533" i="1"/>
  <c r="Q1534" i="1"/>
  <c r="Q1535" i="1"/>
  <c r="Q1536" i="1"/>
  <c r="Q1537" i="1"/>
  <c r="Q1538" i="1"/>
  <c r="Q1539" i="1"/>
  <c r="Q1540" i="1"/>
  <c r="Q1541" i="1"/>
  <c r="Q1542" i="1"/>
  <c r="Q1543" i="1"/>
  <c r="Q1544" i="1"/>
  <c r="Q1545" i="1"/>
  <c r="Q1546" i="1"/>
  <c r="Q1547" i="1"/>
  <c r="Q1548" i="1"/>
  <c r="Q1549" i="1"/>
  <c r="Q1550" i="1"/>
  <c r="Q1551" i="1"/>
  <c r="Q1552" i="1"/>
  <c r="Q1553" i="1"/>
  <c r="Q1554" i="1"/>
  <c r="Q1555" i="1"/>
  <c r="Q1556" i="1"/>
  <c r="Q1557" i="1"/>
  <c r="Q1558" i="1"/>
  <c r="Q1559" i="1"/>
  <c r="Q1560" i="1"/>
  <c r="Q1561" i="1"/>
  <c r="Q1562" i="1"/>
  <c r="Q1563" i="1"/>
  <c r="Q1564" i="1"/>
  <c r="Q1565" i="1"/>
  <c r="Q1566" i="1"/>
  <c r="Q1567" i="1"/>
  <c r="Q1568" i="1"/>
  <c r="Q1569" i="1"/>
  <c r="Q1570" i="1"/>
  <c r="Q1571" i="1"/>
  <c r="Q1572" i="1"/>
  <c r="Q1573" i="1"/>
  <c r="Q1574" i="1"/>
  <c r="Q1575" i="1"/>
  <c r="Q1576" i="1"/>
  <c r="Q1577" i="1"/>
  <c r="Q1578" i="1"/>
  <c r="Q1579" i="1"/>
  <c r="Q1580" i="1"/>
  <c r="Q1581" i="1"/>
  <c r="Q1582" i="1"/>
  <c r="Q1583" i="1"/>
  <c r="Q1584" i="1"/>
  <c r="Q1585" i="1"/>
  <c r="Q1586" i="1"/>
  <c r="Q1587" i="1"/>
  <c r="Q1588" i="1"/>
  <c r="Q1589" i="1"/>
  <c r="Q1590" i="1"/>
  <c r="Q1591" i="1"/>
  <c r="Q1592" i="1"/>
  <c r="Q1593" i="1"/>
  <c r="Q1594" i="1"/>
  <c r="Q1595" i="1"/>
  <c r="Q1596" i="1"/>
  <c r="Q1597" i="1"/>
  <c r="Q1598" i="1"/>
  <c r="Q1599" i="1"/>
  <c r="Q1600" i="1"/>
  <c r="Q1601" i="1"/>
  <c r="Q1602" i="1"/>
  <c r="Q1603" i="1"/>
  <c r="Q1604" i="1"/>
  <c r="Q1605" i="1"/>
  <c r="Q1606" i="1"/>
  <c r="Q1607" i="1"/>
  <c r="Q1608" i="1"/>
  <c r="Q1609" i="1"/>
  <c r="Q1610" i="1"/>
  <c r="Q1611" i="1"/>
  <c r="Q1612" i="1"/>
  <c r="Q1613" i="1"/>
  <c r="Q1614" i="1"/>
  <c r="Q1615" i="1"/>
  <c r="Q1616" i="1"/>
  <c r="Q1617" i="1"/>
  <c r="Q1618" i="1"/>
  <c r="Q1619" i="1"/>
  <c r="Q1620" i="1"/>
  <c r="Q1621" i="1"/>
  <c r="Q1622" i="1"/>
  <c r="Q1623" i="1"/>
  <c r="Q1624" i="1"/>
  <c r="Q1625" i="1"/>
  <c r="Q1626" i="1"/>
  <c r="Q1627" i="1"/>
  <c r="Q1628" i="1"/>
  <c r="Q1629" i="1"/>
  <c r="Q1630" i="1"/>
  <c r="Q1631" i="1"/>
  <c r="Q1632" i="1"/>
  <c r="Q1633" i="1"/>
  <c r="Q1634" i="1"/>
  <c r="Q1635" i="1"/>
  <c r="Q1636" i="1"/>
  <c r="Q1637" i="1"/>
  <c r="Q1638" i="1"/>
  <c r="Q1639" i="1"/>
  <c r="Q1640" i="1"/>
  <c r="Q1641" i="1"/>
  <c r="Q1642" i="1"/>
  <c r="Q1643" i="1"/>
  <c r="Q1644" i="1"/>
  <c r="Q1645" i="1"/>
  <c r="Q1646" i="1"/>
  <c r="Q1647" i="1"/>
  <c r="Q1648" i="1"/>
  <c r="Q1649" i="1"/>
  <c r="Q1650" i="1"/>
  <c r="Q1651" i="1"/>
  <c r="Q1652" i="1"/>
  <c r="Q1653" i="1"/>
  <c r="Q1654" i="1"/>
  <c r="Q1655" i="1"/>
  <c r="Q1656" i="1"/>
  <c r="Q1657" i="1"/>
  <c r="Q1658" i="1"/>
  <c r="Q1659" i="1"/>
  <c r="Q1660" i="1"/>
  <c r="Q1661" i="1"/>
  <c r="Q1662" i="1"/>
  <c r="Q1663" i="1"/>
  <c r="Q1664" i="1"/>
  <c r="Q1665" i="1"/>
  <c r="Q1666" i="1"/>
  <c r="Q1667" i="1"/>
  <c r="Q1668" i="1"/>
  <c r="Q1669" i="1"/>
  <c r="Q1670" i="1"/>
  <c r="Q1671" i="1"/>
  <c r="Q1672" i="1"/>
  <c r="Q1673" i="1"/>
  <c r="Q1674" i="1"/>
  <c r="Q1675" i="1"/>
  <c r="Q1676" i="1"/>
  <c r="Q1677" i="1"/>
  <c r="Q1678" i="1"/>
  <c r="Q1679" i="1"/>
  <c r="Q1680" i="1"/>
  <c r="Q1681" i="1"/>
  <c r="Q1682" i="1"/>
  <c r="Q1683" i="1"/>
  <c r="Q1684" i="1"/>
  <c r="Q1685" i="1"/>
  <c r="Q1686" i="1"/>
  <c r="Q1687" i="1"/>
  <c r="Q1688" i="1"/>
  <c r="Q1689" i="1"/>
  <c r="Q1690" i="1"/>
  <c r="Q1691" i="1"/>
  <c r="Q1692" i="1"/>
  <c r="Q1693" i="1"/>
  <c r="Q1694" i="1"/>
  <c r="Q1695" i="1"/>
  <c r="Q1696" i="1"/>
  <c r="Q1697" i="1"/>
  <c r="Q1698" i="1"/>
  <c r="Q1699" i="1"/>
  <c r="Q1700" i="1"/>
  <c r="Q1701" i="1"/>
  <c r="Q1702" i="1"/>
  <c r="Q1703" i="1"/>
  <c r="Q1704" i="1"/>
  <c r="Q1705" i="1"/>
  <c r="Q1706" i="1"/>
  <c r="Q1707" i="1"/>
  <c r="Q1708" i="1"/>
  <c r="Q1709" i="1"/>
  <c r="Q1710" i="1"/>
  <c r="Q1711" i="1"/>
  <c r="Q1712" i="1"/>
  <c r="Q1713" i="1"/>
  <c r="Q1714" i="1"/>
  <c r="Q1715" i="1"/>
  <c r="Q1716" i="1"/>
  <c r="Q1717" i="1"/>
  <c r="Q1718" i="1"/>
  <c r="Q1719" i="1"/>
  <c r="Q1720" i="1"/>
  <c r="Q1721" i="1"/>
  <c r="Q1722" i="1"/>
  <c r="Q1723" i="1"/>
  <c r="Q1724" i="1"/>
  <c r="Q1725" i="1"/>
  <c r="Q1726" i="1"/>
  <c r="Q1727" i="1"/>
  <c r="Q1728" i="1"/>
  <c r="Q1729" i="1"/>
  <c r="Q1730" i="1"/>
  <c r="Q1731" i="1"/>
  <c r="Q1732" i="1"/>
  <c r="Q1733" i="1"/>
  <c r="Q1734" i="1"/>
  <c r="Q1735" i="1"/>
  <c r="Q1736" i="1"/>
  <c r="Q1737" i="1"/>
  <c r="Q1738" i="1"/>
  <c r="Q1739" i="1"/>
  <c r="Q1740" i="1"/>
  <c r="Q1741" i="1"/>
  <c r="Q1742" i="1"/>
  <c r="Q1743" i="1"/>
  <c r="Q1744" i="1"/>
  <c r="Q1745" i="1"/>
  <c r="Q1746" i="1"/>
  <c r="Q1747" i="1"/>
  <c r="Q1748" i="1"/>
  <c r="Q1749" i="1"/>
  <c r="Q1750" i="1"/>
  <c r="Q1751" i="1"/>
  <c r="Q1752" i="1"/>
  <c r="Q1753" i="1"/>
  <c r="Q1754" i="1"/>
  <c r="Q1755" i="1"/>
  <c r="Q1756" i="1"/>
  <c r="Q1757" i="1"/>
  <c r="Q1758" i="1"/>
  <c r="Q1759" i="1"/>
  <c r="Q1760" i="1"/>
  <c r="Q1761" i="1"/>
  <c r="Q1762" i="1"/>
  <c r="Q1763" i="1"/>
  <c r="Q1764" i="1"/>
  <c r="Q1765" i="1"/>
  <c r="Q1766" i="1"/>
  <c r="Q1767" i="1"/>
  <c r="Q1768" i="1"/>
  <c r="Q1769" i="1"/>
  <c r="Q1770" i="1"/>
  <c r="Q1771" i="1"/>
  <c r="Q1772" i="1"/>
  <c r="Q1773" i="1"/>
  <c r="Q1774" i="1"/>
  <c r="Q1775" i="1"/>
  <c r="Q1776" i="1"/>
  <c r="Q1777" i="1"/>
  <c r="Q1778" i="1"/>
  <c r="Q1779" i="1"/>
  <c r="Q1780" i="1"/>
  <c r="Q1781" i="1"/>
  <c r="Q1782" i="1"/>
  <c r="Q1783" i="1"/>
  <c r="Q1784" i="1"/>
  <c r="Q1785" i="1"/>
  <c r="Q1786" i="1"/>
  <c r="Q1787" i="1"/>
  <c r="Q1788" i="1"/>
  <c r="Q1789" i="1"/>
  <c r="Q1790" i="1"/>
  <c r="Q1791" i="1"/>
  <c r="Q1792" i="1"/>
  <c r="Q1793" i="1"/>
  <c r="Q1794" i="1"/>
  <c r="Q1795" i="1"/>
  <c r="Q1796" i="1"/>
  <c r="Q1797" i="1"/>
  <c r="Q1798" i="1"/>
  <c r="Q1799" i="1"/>
  <c r="Q1800" i="1"/>
  <c r="Q1801" i="1"/>
  <c r="Q1802" i="1"/>
  <c r="Q1803" i="1"/>
  <c r="Q1804" i="1"/>
  <c r="Q1805" i="1"/>
  <c r="Q1806" i="1"/>
  <c r="Q1807" i="1"/>
  <c r="Q1808" i="1"/>
  <c r="Q1809" i="1"/>
  <c r="Q1810" i="1"/>
  <c r="Q1811" i="1"/>
  <c r="Q1812" i="1"/>
  <c r="Q1813" i="1"/>
  <c r="Q1814" i="1"/>
  <c r="Q1815" i="1"/>
  <c r="Q1816" i="1"/>
  <c r="Q1817" i="1"/>
  <c r="Q1818" i="1"/>
  <c r="Q1819" i="1"/>
  <c r="Q1820" i="1"/>
  <c r="Q1821" i="1"/>
  <c r="Q1822" i="1"/>
  <c r="Q1823" i="1"/>
  <c r="Q1824" i="1"/>
  <c r="Q1825" i="1"/>
  <c r="Q1826" i="1"/>
  <c r="Q1827" i="1"/>
  <c r="Q1828" i="1"/>
  <c r="Q1829" i="1"/>
  <c r="Q1830" i="1"/>
  <c r="Q1831" i="1"/>
  <c r="Q1832" i="1"/>
  <c r="Q1833" i="1"/>
  <c r="Q1834" i="1"/>
  <c r="Q1835" i="1"/>
  <c r="Q1836" i="1"/>
  <c r="Q1837" i="1"/>
  <c r="Q1838" i="1"/>
  <c r="Q1839" i="1"/>
  <c r="Q1840" i="1"/>
  <c r="Q1841" i="1"/>
  <c r="Q1842" i="1"/>
  <c r="Q1843" i="1"/>
  <c r="Q1844" i="1"/>
  <c r="Q1845" i="1"/>
  <c r="Q1846" i="1"/>
  <c r="Q1847" i="1"/>
  <c r="Q1848" i="1"/>
  <c r="Q1849" i="1"/>
  <c r="Q1850" i="1"/>
  <c r="Q1851" i="1"/>
  <c r="Q1852" i="1"/>
  <c r="Q1853" i="1"/>
  <c r="Q1854" i="1"/>
  <c r="Q1855" i="1"/>
  <c r="Q1856" i="1"/>
  <c r="Q1857" i="1"/>
  <c r="Q1858" i="1"/>
  <c r="Q1859" i="1"/>
  <c r="Q1860" i="1"/>
  <c r="Q1861" i="1"/>
  <c r="Q1862" i="1"/>
  <c r="Q1863" i="1"/>
  <c r="Q1864" i="1"/>
  <c r="Q1865" i="1"/>
  <c r="Q1866" i="1"/>
  <c r="Q1867" i="1"/>
  <c r="Q1868" i="1"/>
  <c r="Q1869" i="1"/>
  <c r="Q1870" i="1"/>
  <c r="Q1871" i="1"/>
  <c r="Q1872" i="1"/>
  <c r="Q1873" i="1"/>
  <c r="Q1874" i="1"/>
  <c r="Q1875" i="1"/>
  <c r="Q1876" i="1"/>
  <c r="Q1877" i="1"/>
  <c r="Q1878" i="1"/>
  <c r="Q1879" i="1"/>
  <c r="Q1880" i="1"/>
  <c r="Q1881" i="1"/>
  <c r="Q1882" i="1"/>
  <c r="Q1883" i="1"/>
  <c r="Q1884" i="1"/>
  <c r="Q1885" i="1"/>
  <c r="Q1886" i="1"/>
  <c r="Q1887" i="1"/>
  <c r="Q1888" i="1"/>
  <c r="Q1889" i="1"/>
  <c r="Q1890" i="1"/>
  <c r="Q1891" i="1"/>
  <c r="Q1892" i="1"/>
  <c r="Q1893" i="1"/>
  <c r="Q1894" i="1"/>
  <c r="Q1895" i="1"/>
  <c r="Q1896" i="1"/>
  <c r="Q1897" i="1"/>
  <c r="Q1898" i="1"/>
  <c r="Q1899" i="1"/>
  <c r="Q1900" i="1"/>
  <c r="Q1901" i="1"/>
  <c r="Q1902" i="1"/>
  <c r="Q1903" i="1"/>
  <c r="Q1904" i="1"/>
  <c r="Q1905" i="1"/>
  <c r="Q1906" i="1"/>
  <c r="Q1907" i="1"/>
  <c r="Q1908" i="1"/>
  <c r="Q1909" i="1"/>
  <c r="Q1910" i="1"/>
  <c r="Q1911" i="1"/>
  <c r="Q1912" i="1"/>
  <c r="Q1913" i="1"/>
  <c r="Q1914" i="1"/>
  <c r="Q1915" i="1"/>
  <c r="Q1916" i="1"/>
  <c r="Q1917" i="1"/>
  <c r="Q1918" i="1"/>
  <c r="Q1919" i="1"/>
  <c r="Q1920" i="1"/>
  <c r="Q1921" i="1"/>
  <c r="Q1922" i="1"/>
  <c r="Q1923" i="1"/>
  <c r="Q1924" i="1"/>
  <c r="Q1925" i="1"/>
  <c r="Q1926" i="1"/>
  <c r="Q1927" i="1"/>
  <c r="Q1928" i="1"/>
  <c r="Q1929" i="1"/>
  <c r="Q1930" i="1"/>
  <c r="Q1931" i="1"/>
  <c r="Q1932" i="1"/>
  <c r="Q1933" i="1"/>
  <c r="Q1934" i="1"/>
  <c r="Q1935" i="1"/>
  <c r="Q1936" i="1"/>
  <c r="Q1937" i="1"/>
  <c r="Q1938" i="1"/>
  <c r="Q1939" i="1"/>
  <c r="Q1940" i="1"/>
  <c r="Q1941" i="1"/>
  <c r="Q1942" i="1"/>
  <c r="Q1943" i="1"/>
  <c r="Q1944" i="1"/>
  <c r="Q1945" i="1"/>
  <c r="Q1946" i="1"/>
  <c r="Q1947" i="1"/>
  <c r="Q1948" i="1"/>
  <c r="Q1949" i="1"/>
  <c r="Q1950" i="1"/>
  <c r="Q1951" i="1"/>
  <c r="Q1952" i="1"/>
  <c r="Q1953" i="1"/>
  <c r="Q1954" i="1"/>
  <c r="Q1955" i="1"/>
  <c r="Q1956" i="1"/>
  <c r="Q1957" i="1"/>
  <c r="Q1958" i="1"/>
  <c r="Q1959" i="1"/>
  <c r="Q1960" i="1"/>
  <c r="Q1961" i="1"/>
  <c r="Q1962" i="1"/>
  <c r="Q1963" i="1"/>
  <c r="Q1964" i="1"/>
  <c r="Q1965" i="1"/>
  <c r="Q1966" i="1"/>
  <c r="Q1967" i="1"/>
  <c r="Q1968" i="1"/>
  <c r="Q1969" i="1"/>
  <c r="Q1970" i="1"/>
  <c r="Q1971" i="1"/>
  <c r="Q1972" i="1"/>
  <c r="Q1973" i="1"/>
  <c r="Q1974" i="1"/>
  <c r="Q1975" i="1"/>
  <c r="Q1976" i="1"/>
  <c r="Q1977" i="1"/>
  <c r="Q1978" i="1"/>
  <c r="Q1979" i="1"/>
  <c r="Q1980" i="1"/>
  <c r="Q1981" i="1"/>
  <c r="Q1982" i="1"/>
  <c r="Q1983" i="1"/>
  <c r="Q1984" i="1"/>
  <c r="Q1985" i="1"/>
  <c r="Q1986" i="1"/>
  <c r="Q1987" i="1"/>
  <c r="Q1988" i="1"/>
  <c r="Q1989" i="1"/>
  <c r="Q1990" i="1"/>
  <c r="Q1991" i="1"/>
  <c r="Q1992" i="1"/>
  <c r="Q1993" i="1"/>
  <c r="Q1994" i="1"/>
  <c r="Q1995" i="1"/>
  <c r="Q1996" i="1"/>
  <c r="Q1997" i="1"/>
  <c r="Q1998" i="1"/>
  <c r="Q1999" i="1"/>
  <c r="Q2000" i="1"/>
  <c r="Q2001" i="1"/>
  <c r="Q2" i="1"/>
  <c r="M3" i="1"/>
  <c r="M4" i="1"/>
  <c r="M5" i="1"/>
  <c r="M6" i="1"/>
  <c r="M7" i="1"/>
  <c r="M8" i="1"/>
  <c r="M9" i="1"/>
  <c r="M10" i="1"/>
  <c r="S152" i="1" s="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S1470" i="1" s="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 i="1"/>
  <c r="B5" i="2"/>
  <c r="A5" i="2"/>
  <c r="D5" i="2"/>
  <c r="C5" i="2"/>
  <c r="S1809" i="1" l="1"/>
  <c r="S387" i="1"/>
  <c r="S1792" i="1"/>
  <c r="S342" i="1"/>
  <c r="S1791" i="1"/>
  <c r="S1199" i="1"/>
  <c r="S1177" i="1"/>
  <c r="S1789" i="1"/>
  <c r="S1176" i="1"/>
  <c r="S1770" i="1"/>
  <c r="S1638" i="1"/>
  <c r="S1769" i="1"/>
  <c r="S1637" i="1"/>
  <c r="S1979" i="1"/>
  <c r="S1881" i="1"/>
  <c r="S1752" i="1"/>
  <c r="S1615" i="1"/>
  <c r="S1469" i="1"/>
  <c r="S1302" i="1"/>
  <c r="S1131" i="1"/>
  <c r="S861" i="1"/>
  <c r="S534" i="1"/>
  <c r="S220" i="1"/>
  <c r="S1229" i="1"/>
  <c r="S651" i="1"/>
  <c r="S339" i="1"/>
  <c r="S297" i="1"/>
  <c r="S296" i="1"/>
  <c r="S268" i="1"/>
  <c r="S1323" i="1"/>
  <c r="S1978" i="1"/>
  <c r="S1880" i="1"/>
  <c r="S1751" i="1"/>
  <c r="S1614" i="1"/>
  <c r="S1468" i="1"/>
  <c r="S1298" i="1"/>
  <c r="S1129" i="1"/>
  <c r="S860" i="1"/>
  <c r="S531" i="1"/>
  <c r="S219" i="1"/>
  <c r="S1930" i="1"/>
  <c r="S1000" i="1"/>
  <c r="S1531" i="1"/>
  <c r="S1912" i="1"/>
  <c r="S974" i="1"/>
  <c r="S1911" i="1"/>
  <c r="S930" i="1"/>
  <c r="S1493" i="1"/>
  <c r="S1995" i="1"/>
  <c r="S1324" i="1"/>
  <c r="S1980" i="1"/>
  <c r="S1174" i="1"/>
  <c r="S1863" i="1"/>
  <c r="S1592" i="1"/>
  <c r="S1297" i="1"/>
  <c r="S1097" i="1"/>
  <c r="S825" i="1"/>
  <c r="S182" i="1"/>
  <c r="S1966" i="1"/>
  <c r="S1862" i="1"/>
  <c r="S1737" i="1"/>
  <c r="S1591" i="1"/>
  <c r="S1446" i="1"/>
  <c r="S1296" i="1"/>
  <c r="S1096" i="1"/>
  <c r="S824" i="1"/>
  <c r="S529" i="1"/>
  <c r="S155" i="1"/>
  <c r="S1532" i="1"/>
  <c r="S1929" i="1"/>
  <c r="S998" i="1"/>
  <c r="S1364" i="1"/>
  <c r="S1363" i="1"/>
  <c r="S1996" i="1"/>
  <c r="S1639" i="1"/>
  <c r="S897" i="1"/>
  <c r="S267" i="1"/>
  <c r="S1977" i="1"/>
  <c r="S1738" i="1"/>
  <c r="S1447" i="1"/>
  <c r="S530" i="1"/>
  <c r="S1950" i="1"/>
  <c r="S1846" i="1"/>
  <c r="S1717" i="1"/>
  <c r="S1578" i="1"/>
  <c r="S1427" i="1"/>
  <c r="S1271" i="1"/>
  <c r="S1094" i="1"/>
  <c r="S782" i="1"/>
  <c r="S457" i="1"/>
  <c r="S153" i="1"/>
  <c r="S1384" i="1"/>
  <c r="S1365" i="1"/>
  <c r="S1530" i="1"/>
  <c r="S1495" i="1"/>
  <c r="S1895" i="1"/>
  <c r="S638" i="1"/>
  <c r="S1175" i="1"/>
  <c r="S576" i="1"/>
  <c r="S1949" i="1"/>
  <c r="S1845" i="1"/>
  <c r="S1716" i="1"/>
  <c r="S1575" i="1"/>
  <c r="S1424" i="1"/>
  <c r="S1270" i="1"/>
  <c r="S1091" i="1"/>
  <c r="S755" i="1"/>
  <c r="S456" i="1"/>
  <c r="S684" i="1"/>
  <c r="S1200" i="1"/>
  <c r="S649" i="1"/>
  <c r="S1790" i="1"/>
  <c r="S648" i="1"/>
  <c r="S1361" i="1"/>
  <c r="S1894" i="1"/>
  <c r="S1471" i="1"/>
  <c r="S1882" i="1"/>
  <c r="S896" i="1"/>
  <c r="S265" i="1"/>
  <c r="S502" i="1"/>
  <c r="S752" i="1"/>
  <c r="S859" i="1"/>
  <c r="S1155" i="1"/>
  <c r="S1295" i="1"/>
  <c r="S1407" i="1"/>
  <c r="S1515" i="1"/>
  <c r="S1574" i="1"/>
  <c r="S1636" i="1"/>
  <c r="S1736" i="1"/>
  <c r="S1830" i="1"/>
  <c r="S150" i="1"/>
  <c r="S380" i="1"/>
  <c r="S637" i="1"/>
  <c r="S973" i="1"/>
  <c r="S1070" i="1"/>
  <c r="S1228" i="1"/>
  <c r="S1346" i="1"/>
  <c r="S1467" i="1"/>
  <c r="S1680" i="1"/>
  <c r="S1788" i="1"/>
  <c r="S1933" i="1"/>
  <c r="S1844" i="1"/>
  <c r="S1697" i="1"/>
  <c r="S1553" i="1"/>
  <c r="S1411" i="1"/>
  <c r="S1248" i="1"/>
  <c r="S1039" i="1"/>
  <c r="S754" i="1"/>
  <c r="S418" i="1"/>
  <c r="S104" i="1"/>
  <c r="S1692" i="1"/>
  <c r="S1659" i="1"/>
  <c r="S1658" i="1"/>
  <c r="S1640" i="1"/>
  <c r="S108" i="1"/>
  <c r="S929" i="1"/>
  <c r="S577" i="1"/>
  <c r="S1932" i="1"/>
  <c r="S1841" i="1"/>
  <c r="S1694" i="1"/>
  <c r="S1552" i="1"/>
  <c r="S1409" i="1"/>
  <c r="S1247" i="1"/>
  <c r="S1038" i="1"/>
  <c r="S753" i="1"/>
  <c r="S417" i="1"/>
  <c r="S70" i="1"/>
  <c r="S1965" i="1"/>
  <c r="S1928" i="1"/>
  <c r="S1879" i="1"/>
  <c r="S1829" i="1"/>
  <c r="S1787" i="1"/>
  <c r="S1735" i="1"/>
  <c r="S1677" i="1"/>
  <c r="S1635" i="1"/>
  <c r="S1573" i="1"/>
  <c r="S1514" i="1"/>
  <c r="S1466" i="1"/>
  <c r="S1404" i="1"/>
  <c r="S1344" i="1"/>
  <c r="S1293" i="1"/>
  <c r="S1227" i="1"/>
  <c r="S1154" i="1"/>
  <c r="S1069" i="1"/>
  <c r="S972" i="1"/>
  <c r="S857" i="1"/>
  <c r="S750" i="1"/>
  <c r="S610" i="1"/>
  <c r="S499" i="1"/>
  <c r="S379" i="1"/>
  <c r="S264" i="1"/>
  <c r="S139" i="1"/>
  <c r="S1964" i="1"/>
  <c r="S1916" i="1"/>
  <c r="S1878" i="1"/>
  <c r="S1828" i="1"/>
  <c r="S1774" i="1"/>
  <c r="S1734" i="1"/>
  <c r="S1676" i="1"/>
  <c r="S1620" i="1"/>
  <c r="S1572" i="1"/>
  <c r="S1513" i="1"/>
  <c r="S1451" i="1"/>
  <c r="S1403" i="1"/>
  <c r="S1343" i="1"/>
  <c r="S1277" i="1"/>
  <c r="S1224" i="1"/>
  <c r="S1153" i="1"/>
  <c r="S1068" i="1"/>
  <c r="S971" i="1"/>
  <c r="S856" i="1"/>
  <c r="S722" i="1"/>
  <c r="S609" i="1"/>
  <c r="S498" i="1"/>
  <c r="S377" i="1"/>
  <c r="S262" i="1"/>
  <c r="S109" i="1"/>
  <c r="S1963" i="1"/>
  <c r="S1915" i="1"/>
  <c r="S1877" i="1"/>
  <c r="S1825" i="1"/>
  <c r="S1773" i="1"/>
  <c r="S1733" i="1"/>
  <c r="S1675" i="1"/>
  <c r="S1619" i="1"/>
  <c r="S1571" i="1"/>
  <c r="S1512" i="1"/>
  <c r="S1450" i="1"/>
  <c r="S1402" i="1"/>
  <c r="S1342" i="1"/>
  <c r="S1275" i="1"/>
  <c r="S1219" i="1"/>
  <c r="S1152" i="1"/>
  <c r="S1067" i="1"/>
  <c r="S961" i="1"/>
  <c r="S829" i="1"/>
  <c r="S721" i="1"/>
  <c r="S606" i="1"/>
  <c r="S497" i="1"/>
  <c r="S371" i="1"/>
  <c r="S232" i="1"/>
  <c r="S2" i="1"/>
  <c r="S3" i="1"/>
  <c r="S19" i="1"/>
  <c r="S35" i="1"/>
  <c r="S51" i="1"/>
  <c r="S67" i="1"/>
  <c r="S4" i="1"/>
  <c r="S20" i="1"/>
  <c r="S36" i="1"/>
  <c r="S52" i="1"/>
  <c r="S68" i="1"/>
  <c r="S84" i="1"/>
  <c r="S100" i="1"/>
  <c r="S116" i="1"/>
  <c r="S132" i="1"/>
  <c r="S148" i="1"/>
  <c r="S164" i="1"/>
  <c r="S180" i="1"/>
  <c r="S196" i="1"/>
  <c r="S212" i="1"/>
  <c r="S228" i="1"/>
  <c r="S244" i="1"/>
  <c r="S260" i="1"/>
  <c r="S276" i="1"/>
  <c r="S292" i="1"/>
  <c r="S308" i="1"/>
  <c r="S324" i="1"/>
  <c r="S340" i="1"/>
  <c r="S356" i="1"/>
  <c r="S372" i="1"/>
  <c r="S388" i="1"/>
  <c r="S404" i="1"/>
  <c r="S420" i="1"/>
  <c r="S436" i="1"/>
  <c r="S452" i="1"/>
  <c r="S468" i="1"/>
  <c r="S484" i="1"/>
  <c r="S500" i="1"/>
  <c r="S516" i="1"/>
  <c r="S532" i="1"/>
  <c r="S548" i="1"/>
  <c r="S564" i="1"/>
  <c r="S580" i="1"/>
  <c r="S596" i="1"/>
  <c r="S612" i="1"/>
  <c r="S628" i="1"/>
  <c r="S644" i="1"/>
  <c r="S660" i="1"/>
  <c r="S676" i="1"/>
  <c r="S692" i="1"/>
  <c r="S708" i="1"/>
  <c r="S724" i="1"/>
  <c r="S740" i="1"/>
  <c r="S756" i="1"/>
  <c r="S772" i="1"/>
  <c r="S788" i="1"/>
  <c r="S804" i="1"/>
  <c r="S820" i="1"/>
  <c r="S836" i="1"/>
  <c r="S852" i="1"/>
  <c r="S868" i="1"/>
  <c r="S884" i="1"/>
  <c r="S900" i="1"/>
  <c r="S916" i="1"/>
  <c r="S932" i="1"/>
  <c r="S948" i="1"/>
  <c r="S964" i="1"/>
  <c r="S980" i="1"/>
  <c r="S996" i="1"/>
  <c r="S1012" i="1"/>
  <c r="S1028" i="1"/>
  <c r="S1044" i="1"/>
  <c r="S1060" i="1"/>
  <c r="S1076" i="1"/>
  <c r="S1092" i="1"/>
  <c r="S1108" i="1"/>
  <c r="S1124" i="1"/>
  <c r="S1140" i="1"/>
  <c r="S1156" i="1"/>
  <c r="S5" i="1"/>
  <c r="S21" i="1"/>
  <c r="S37" i="1"/>
  <c r="S53" i="1"/>
  <c r="S69" i="1"/>
  <c r="S85" i="1"/>
  <c r="S101" i="1"/>
  <c r="S117" i="1"/>
  <c r="S133" i="1"/>
  <c r="S149" i="1"/>
  <c r="S165" i="1"/>
  <c r="S181" i="1"/>
  <c r="S197" i="1"/>
  <c r="S213" i="1"/>
  <c r="S229" i="1"/>
  <c r="S245" i="1"/>
  <c r="S261" i="1"/>
  <c r="S277" i="1"/>
  <c r="S293" i="1"/>
  <c r="S309" i="1"/>
  <c r="S325" i="1"/>
  <c r="S341" i="1"/>
  <c r="S357" i="1"/>
  <c r="S373" i="1"/>
  <c r="S389" i="1"/>
  <c r="S405" i="1"/>
  <c r="S421" i="1"/>
  <c r="S437" i="1"/>
  <c r="S453" i="1"/>
  <c r="S469" i="1"/>
  <c r="S485" i="1"/>
  <c r="S501" i="1"/>
  <c r="S517" i="1"/>
  <c r="S533" i="1"/>
  <c r="S549" i="1"/>
  <c r="S565" i="1"/>
  <c r="S581" i="1"/>
  <c r="S597" i="1"/>
  <c r="S613" i="1"/>
  <c r="S629" i="1"/>
  <c r="S645" i="1"/>
  <c r="S661" i="1"/>
  <c r="S677" i="1"/>
  <c r="S693" i="1"/>
  <c r="S709" i="1"/>
  <c r="S725" i="1"/>
  <c r="S741" i="1"/>
  <c r="S757" i="1"/>
  <c r="S773" i="1"/>
  <c r="S789" i="1"/>
  <c r="S805" i="1"/>
  <c r="S821" i="1"/>
  <c r="S837" i="1"/>
  <c r="S853" i="1"/>
  <c r="S869" i="1"/>
  <c r="S885" i="1"/>
  <c r="S901" i="1"/>
  <c r="S917" i="1"/>
  <c r="S933" i="1"/>
  <c r="S949" i="1"/>
  <c r="S965" i="1"/>
  <c r="S981" i="1"/>
  <c r="S997" i="1"/>
  <c r="S1013" i="1"/>
  <c r="S1029" i="1"/>
  <c r="S1045" i="1"/>
  <c r="S1061" i="1"/>
  <c r="S1077" i="1"/>
  <c r="S1093" i="1"/>
  <c r="S1109" i="1"/>
  <c r="S1125" i="1"/>
  <c r="S1141" i="1"/>
  <c r="S1157" i="1"/>
  <c r="S1173" i="1"/>
  <c r="S1189" i="1"/>
  <c r="S1205" i="1"/>
  <c r="S1221" i="1"/>
  <c r="S1237" i="1"/>
  <c r="S1253" i="1"/>
  <c r="S1269" i="1"/>
  <c r="S1285" i="1"/>
  <c r="S1301" i="1"/>
  <c r="S1317" i="1"/>
  <c r="S1333" i="1"/>
  <c r="S1349" i="1"/>
  <c r="S6" i="1"/>
  <c r="S7" i="1"/>
  <c r="S23" i="1"/>
  <c r="S39" i="1"/>
  <c r="S55" i="1"/>
  <c r="S71" i="1"/>
  <c r="S87" i="1"/>
  <c r="S103" i="1"/>
  <c r="S119" i="1"/>
  <c r="S135" i="1"/>
  <c r="S151" i="1"/>
  <c r="S167" i="1"/>
  <c r="S183" i="1"/>
  <c r="S199" i="1"/>
  <c r="S215" i="1"/>
  <c r="S231" i="1"/>
  <c r="S247" i="1"/>
  <c r="S263" i="1"/>
  <c r="S279" i="1"/>
  <c r="S295" i="1"/>
  <c r="S311" i="1"/>
  <c r="S327" i="1"/>
  <c r="S343" i="1"/>
  <c r="S359" i="1"/>
  <c r="S375" i="1"/>
  <c r="S391" i="1"/>
  <c r="S407" i="1"/>
  <c r="S423" i="1"/>
  <c r="S439" i="1"/>
  <c r="S455" i="1"/>
  <c r="S471" i="1"/>
  <c r="S487" i="1"/>
  <c r="S503" i="1"/>
  <c r="S519" i="1"/>
  <c r="S535" i="1"/>
  <c r="S551" i="1"/>
  <c r="S567" i="1"/>
  <c r="S583" i="1"/>
  <c r="S599" i="1"/>
  <c r="S615" i="1"/>
  <c r="S631" i="1"/>
  <c r="S647" i="1"/>
  <c r="S663" i="1"/>
  <c r="S679" i="1"/>
  <c r="S695" i="1"/>
  <c r="S711" i="1"/>
  <c r="S727" i="1"/>
  <c r="S743" i="1"/>
  <c r="S759" i="1"/>
  <c r="S775" i="1"/>
  <c r="S791" i="1"/>
  <c r="S807" i="1"/>
  <c r="S823" i="1"/>
  <c r="S839" i="1"/>
  <c r="S855" i="1"/>
  <c r="S871" i="1"/>
  <c r="S887" i="1"/>
  <c r="S903" i="1"/>
  <c r="S919" i="1"/>
  <c r="S935" i="1"/>
  <c r="S951" i="1"/>
  <c r="S967" i="1"/>
  <c r="S983" i="1"/>
  <c r="S999" i="1"/>
  <c r="S1015" i="1"/>
  <c r="S1031" i="1"/>
  <c r="S1047" i="1"/>
  <c r="S1063" i="1"/>
  <c r="S1079" i="1"/>
  <c r="S1095" i="1"/>
  <c r="S8" i="1"/>
  <c r="S9" i="1"/>
  <c r="S10" i="1"/>
  <c r="S26" i="1"/>
  <c r="S42" i="1"/>
  <c r="S58" i="1"/>
  <c r="S74" i="1"/>
  <c r="S90" i="1"/>
  <c r="S106" i="1"/>
  <c r="S122" i="1"/>
  <c r="S138" i="1"/>
  <c r="S154" i="1"/>
  <c r="S170" i="1"/>
  <c r="S186" i="1"/>
  <c r="S202" i="1"/>
  <c r="S218" i="1"/>
  <c r="S234" i="1"/>
  <c r="S250" i="1"/>
  <c r="S266" i="1"/>
  <c r="S282" i="1"/>
  <c r="S298" i="1"/>
  <c r="S314" i="1"/>
  <c r="S330" i="1"/>
  <c r="S346" i="1"/>
  <c r="S362" i="1"/>
  <c r="S378" i="1"/>
  <c r="S394" i="1"/>
  <c r="S410" i="1"/>
  <c r="S426" i="1"/>
  <c r="S442" i="1"/>
  <c r="S458" i="1"/>
  <c r="S474" i="1"/>
  <c r="S490" i="1"/>
  <c r="S506" i="1"/>
  <c r="S522" i="1"/>
  <c r="S538" i="1"/>
  <c r="S554" i="1"/>
  <c r="S570" i="1"/>
  <c r="S586" i="1"/>
  <c r="S602" i="1"/>
  <c r="S618" i="1"/>
  <c r="S634" i="1"/>
  <c r="S650" i="1"/>
  <c r="S666" i="1"/>
  <c r="S682" i="1"/>
  <c r="S698" i="1"/>
  <c r="S714" i="1"/>
  <c r="S730" i="1"/>
  <c r="S746" i="1"/>
  <c r="S762" i="1"/>
  <c r="S778" i="1"/>
  <c r="S794" i="1"/>
  <c r="S810" i="1"/>
  <c r="S826" i="1"/>
  <c r="S842" i="1"/>
  <c r="S858" i="1"/>
  <c r="S874" i="1"/>
  <c r="S890" i="1"/>
  <c r="S906" i="1"/>
  <c r="S922" i="1"/>
  <c r="S938" i="1"/>
  <c r="S954" i="1"/>
  <c r="S970" i="1"/>
  <c r="S986" i="1"/>
  <c r="S1002" i="1"/>
  <c r="S1018" i="1"/>
  <c r="S1034" i="1"/>
  <c r="S1050" i="1"/>
  <c r="S1066" i="1"/>
  <c r="S1082" i="1"/>
  <c r="S1098" i="1"/>
  <c r="S1114" i="1"/>
  <c r="S1130" i="1"/>
  <c r="S1146" i="1"/>
  <c r="S1162" i="1"/>
  <c r="S1178" i="1"/>
  <c r="S1194" i="1"/>
  <c r="S1210" i="1"/>
  <c r="S1226" i="1"/>
  <c r="S1242" i="1"/>
  <c r="S1258" i="1"/>
  <c r="S1274" i="1"/>
  <c r="S1290" i="1"/>
  <c r="S11" i="1"/>
  <c r="S12" i="1"/>
  <c r="S13" i="1"/>
  <c r="S14" i="1"/>
  <c r="S15" i="1"/>
  <c r="S31" i="1"/>
  <c r="S47" i="1"/>
  <c r="S63" i="1"/>
  <c r="S79" i="1"/>
  <c r="S95" i="1"/>
  <c r="S111" i="1"/>
  <c r="S127" i="1"/>
  <c r="S143" i="1"/>
  <c r="S159" i="1"/>
  <c r="S175" i="1"/>
  <c r="S191" i="1"/>
  <c r="S207" i="1"/>
  <c r="S223" i="1"/>
  <c r="S239" i="1"/>
  <c r="S255" i="1"/>
  <c r="S271" i="1"/>
  <c r="S287" i="1"/>
  <c r="S303" i="1"/>
  <c r="S319" i="1"/>
  <c r="S335" i="1"/>
  <c r="S351" i="1"/>
  <c r="S367" i="1"/>
  <c r="S383" i="1"/>
  <c r="S399" i="1"/>
  <c r="S415" i="1"/>
  <c r="S431" i="1"/>
  <c r="S447" i="1"/>
  <c r="S463" i="1"/>
  <c r="S479" i="1"/>
  <c r="S495" i="1"/>
  <c r="S511" i="1"/>
  <c r="S527" i="1"/>
  <c r="S543" i="1"/>
  <c r="S559" i="1"/>
  <c r="S575" i="1"/>
  <c r="S591" i="1"/>
  <c r="S607" i="1"/>
  <c r="S623" i="1"/>
  <c r="S639" i="1"/>
  <c r="S655" i="1"/>
  <c r="S671" i="1"/>
  <c r="S687" i="1"/>
  <c r="S703" i="1"/>
  <c r="S719" i="1"/>
  <c r="S735" i="1"/>
  <c r="S751" i="1"/>
  <c r="S767" i="1"/>
  <c r="S783" i="1"/>
  <c r="S799" i="1"/>
  <c r="S815" i="1"/>
  <c r="S831" i="1"/>
  <c r="S847" i="1"/>
  <c r="S863" i="1"/>
  <c r="S879" i="1"/>
  <c r="S895" i="1"/>
  <c r="S911" i="1"/>
  <c r="S927" i="1"/>
  <c r="S943" i="1"/>
  <c r="S959" i="1"/>
  <c r="S16" i="1"/>
  <c r="S17" i="1"/>
  <c r="S18" i="1"/>
  <c r="S45" i="1"/>
  <c r="S72" i="1"/>
  <c r="S94" i="1"/>
  <c r="S118" i="1"/>
  <c r="S141" i="1"/>
  <c r="S163" i="1"/>
  <c r="S188" i="1"/>
  <c r="S210" i="1"/>
  <c r="S235" i="1"/>
  <c r="S257" i="1"/>
  <c r="S281" i="1"/>
  <c r="S304" i="1"/>
  <c r="S328" i="1"/>
  <c r="S350" i="1"/>
  <c r="S374" i="1"/>
  <c r="S397" i="1"/>
  <c r="S419" i="1"/>
  <c r="S444" i="1"/>
  <c r="S466" i="1"/>
  <c r="S491" i="1"/>
  <c r="S513" i="1"/>
  <c r="S537" i="1"/>
  <c r="S22" i="1"/>
  <c r="S46" i="1"/>
  <c r="S73" i="1"/>
  <c r="S96" i="1"/>
  <c r="S120" i="1"/>
  <c r="S142" i="1"/>
  <c r="S166" i="1"/>
  <c r="S189" i="1"/>
  <c r="S211" i="1"/>
  <c r="S236" i="1"/>
  <c r="S258" i="1"/>
  <c r="S283" i="1"/>
  <c r="S305" i="1"/>
  <c r="S329" i="1"/>
  <c r="S352" i="1"/>
  <c r="S376" i="1"/>
  <c r="S398" i="1"/>
  <c r="S422" i="1"/>
  <c r="S445" i="1"/>
  <c r="S467" i="1"/>
  <c r="S492" i="1"/>
  <c r="S514" i="1"/>
  <c r="S539" i="1"/>
  <c r="S561" i="1"/>
  <c r="S585" i="1"/>
  <c r="S608" i="1"/>
  <c r="S632" i="1"/>
  <c r="S654" i="1"/>
  <c r="S678" i="1"/>
  <c r="S701" i="1"/>
  <c r="S723" i="1"/>
  <c r="S748" i="1"/>
  <c r="S770" i="1"/>
  <c r="S795" i="1"/>
  <c r="S817" i="1"/>
  <c r="S841" i="1"/>
  <c r="S864" i="1"/>
  <c r="S888" i="1"/>
  <c r="S910" i="1"/>
  <c r="S934" i="1"/>
  <c r="S957" i="1"/>
  <c r="S978" i="1"/>
  <c r="S1001" i="1"/>
  <c r="S1022" i="1"/>
  <c r="S1042" i="1"/>
  <c r="S1065" i="1"/>
  <c r="S1086" i="1"/>
  <c r="S1106" i="1"/>
  <c r="S1127" i="1"/>
  <c r="S1147" i="1"/>
  <c r="S1166" i="1"/>
  <c r="S1184" i="1"/>
  <c r="S1202" i="1"/>
  <c r="S1220" i="1"/>
  <c r="S1239" i="1"/>
  <c r="S1257" i="1"/>
  <c r="S1276" i="1"/>
  <c r="S1294" i="1"/>
  <c r="S1311" i="1"/>
  <c r="S1328" i="1"/>
  <c r="S1345" i="1"/>
  <c r="S1362" i="1"/>
  <c r="S1378" i="1"/>
  <c r="S1394" i="1"/>
  <c r="S1410" i="1"/>
  <c r="S1426" i="1"/>
  <c r="S1442" i="1"/>
  <c r="S1458" i="1"/>
  <c r="S1474" i="1"/>
  <c r="S1490" i="1"/>
  <c r="S1506" i="1"/>
  <c r="S1522" i="1"/>
  <c r="S1538" i="1"/>
  <c r="S1554" i="1"/>
  <c r="S1570" i="1"/>
  <c r="S1586" i="1"/>
  <c r="S1602" i="1"/>
  <c r="S1618" i="1"/>
  <c r="S1634" i="1"/>
  <c r="S1650" i="1"/>
  <c r="S1666" i="1"/>
  <c r="S1682" i="1"/>
  <c r="S1698" i="1"/>
  <c r="S1714" i="1"/>
  <c r="S1730" i="1"/>
  <c r="S24" i="1"/>
  <c r="S48" i="1"/>
  <c r="S75" i="1"/>
  <c r="S97" i="1"/>
  <c r="S121" i="1"/>
  <c r="S25" i="1"/>
  <c r="S56" i="1"/>
  <c r="S83" i="1"/>
  <c r="S112" i="1"/>
  <c r="S140" i="1"/>
  <c r="S169" i="1"/>
  <c r="S194" i="1"/>
  <c r="S221" i="1"/>
  <c r="S248" i="1"/>
  <c r="S273" i="1"/>
  <c r="S300" i="1"/>
  <c r="S326" i="1"/>
  <c r="S354" i="1"/>
  <c r="S381" i="1"/>
  <c r="S408" i="1"/>
  <c r="S433" i="1"/>
  <c r="S460" i="1"/>
  <c r="S486" i="1"/>
  <c r="S512" i="1"/>
  <c r="S541" i="1"/>
  <c r="S566" i="1"/>
  <c r="S590" i="1"/>
  <c r="S616" i="1"/>
  <c r="S640" i="1"/>
  <c r="S665" i="1"/>
  <c r="S689" i="1"/>
  <c r="S715" i="1"/>
  <c r="S738" i="1"/>
  <c r="S764" i="1"/>
  <c r="S787" i="1"/>
  <c r="S813" i="1"/>
  <c r="S838" i="1"/>
  <c r="S862" i="1"/>
  <c r="S889" i="1"/>
  <c r="S913" i="1"/>
  <c r="S939" i="1"/>
  <c r="S962" i="1"/>
  <c r="S987" i="1"/>
  <c r="S1008" i="1"/>
  <c r="S1032" i="1"/>
  <c r="S1054" i="1"/>
  <c r="S1075" i="1"/>
  <c r="S1100" i="1"/>
  <c r="S1120" i="1"/>
  <c r="S1142" i="1"/>
  <c r="S1163" i="1"/>
  <c r="S1182" i="1"/>
  <c r="S1201" i="1"/>
  <c r="S1222" i="1"/>
  <c r="S1241" i="1"/>
  <c r="S1261" i="1"/>
  <c r="S1280" i="1"/>
  <c r="S1299" i="1"/>
  <c r="S1318" i="1"/>
  <c r="S1336" i="1"/>
  <c r="S1354" i="1"/>
  <c r="S1371" i="1"/>
  <c r="S1388" i="1"/>
  <c r="S1405" i="1"/>
  <c r="S1422" i="1"/>
  <c r="S1439" i="1"/>
  <c r="S1456" i="1"/>
  <c r="S1473" i="1"/>
  <c r="S1491" i="1"/>
  <c r="S1508" i="1"/>
  <c r="S1525" i="1"/>
  <c r="S1542" i="1"/>
  <c r="S1559" i="1"/>
  <c r="S1576" i="1"/>
  <c r="S1593" i="1"/>
  <c r="S1610" i="1"/>
  <c r="S1627" i="1"/>
  <c r="S1644" i="1"/>
  <c r="S1661" i="1"/>
  <c r="S1678" i="1"/>
  <c r="S1695" i="1"/>
  <c r="S1712" i="1"/>
  <c r="S1729" i="1"/>
  <c r="S1746" i="1"/>
  <c r="S1762" i="1"/>
  <c r="S1778" i="1"/>
  <c r="S1794" i="1"/>
  <c r="S1810" i="1"/>
  <c r="S1826" i="1"/>
  <c r="S1842" i="1"/>
  <c r="S27" i="1"/>
  <c r="S57" i="1"/>
  <c r="S86" i="1"/>
  <c r="S113" i="1"/>
  <c r="S144" i="1"/>
  <c r="S171" i="1"/>
  <c r="S195" i="1"/>
  <c r="S222" i="1"/>
  <c r="S249" i="1"/>
  <c r="S274" i="1"/>
  <c r="S301" i="1"/>
  <c r="S331" i="1"/>
  <c r="S355" i="1"/>
  <c r="S382" i="1"/>
  <c r="S409" i="1"/>
  <c r="S434" i="1"/>
  <c r="S461" i="1"/>
  <c r="S488" i="1"/>
  <c r="S515" i="1"/>
  <c r="S542" i="1"/>
  <c r="S568" i="1"/>
  <c r="S592" i="1"/>
  <c r="S617" i="1"/>
  <c r="S641" i="1"/>
  <c r="S667" i="1"/>
  <c r="S690" i="1"/>
  <c r="S716" i="1"/>
  <c r="S739" i="1"/>
  <c r="S765" i="1"/>
  <c r="S790" i="1"/>
  <c r="S814" i="1"/>
  <c r="S840" i="1"/>
  <c r="S865" i="1"/>
  <c r="S891" i="1"/>
  <c r="S914" i="1"/>
  <c r="S940" i="1"/>
  <c r="S963" i="1"/>
  <c r="S988" i="1"/>
  <c r="S1009" i="1"/>
  <c r="S1033" i="1"/>
  <c r="S1055" i="1"/>
  <c r="S1078" i="1"/>
  <c r="S1101" i="1"/>
  <c r="S1121" i="1"/>
  <c r="S1143" i="1"/>
  <c r="S1164" i="1"/>
  <c r="S1183" i="1"/>
  <c r="S1203" i="1"/>
  <c r="S1223" i="1"/>
  <c r="S1243" i="1"/>
  <c r="S1262" i="1"/>
  <c r="S1281" i="1"/>
  <c r="S1300" i="1"/>
  <c r="S1319" i="1"/>
  <c r="S1337" i="1"/>
  <c r="S1355" i="1"/>
  <c r="S1372" i="1"/>
  <c r="S1389" i="1"/>
  <c r="S1406" i="1"/>
  <c r="S1423" i="1"/>
  <c r="S1440" i="1"/>
  <c r="S1457" i="1"/>
  <c r="S1475" i="1"/>
  <c r="S1492" i="1"/>
  <c r="S1509" i="1"/>
  <c r="S1526" i="1"/>
  <c r="S1543" i="1"/>
  <c r="S1560" i="1"/>
  <c r="S1577" i="1"/>
  <c r="S1594" i="1"/>
  <c r="S1611" i="1"/>
  <c r="S1628" i="1"/>
  <c r="S1645" i="1"/>
  <c r="S1662" i="1"/>
  <c r="S1679" i="1"/>
  <c r="S1696" i="1"/>
  <c r="S1713" i="1"/>
  <c r="S1731" i="1"/>
  <c r="S1747" i="1"/>
  <c r="S1763" i="1"/>
  <c r="S1779" i="1"/>
  <c r="S1795" i="1"/>
  <c r="S1811" i="1"/>
  <c r="S1827" i="1"/>
  <c r="S1843" i="1"/>
  <c r="S1859" i="1"/>
  <c r="S1875" i="1"/>
  <c r="S1891" i="1"/>
  <c r="S1907" i="1"/>
  <c r="S1923" i="1"/>
  <c r="S1939" i="1"/>
  <c r="S28" i="1"/>
  <c r="S59" i="1"/>
  <c r="S88" i="1"/>
  <c r="S114" i="1"/>
  <c r="S145" i="1"/>
  <c r="S172" i="1"/>
  <c r="S198" i="1"/>
  <c r="S224" i="1"/>
  <c r="S251" i="1"/>
  <c r="S275" i="1"/>
  <c r="S302" i="1"/>
  <c r="S332" i="1"/>
  <c r="S358" i="1"/>
  <c r="S384" i="1"/>
  <c r="S411" i="1"/>
  <c r="S435" i="1"/>
  <c r="S462" i="1"/>
  <c r="S489" i="1"/>
  <c r="S518" i="1"/>
  <c r="S544" i="1"/>
  <c r="S569" i="1"/>
  <c r="S593" i="1"/>
  <c r="S619" i="1"/>
  <c r="S642" i="1"/>
  <c r="S668" i="1"/>
  <c r="S691" i="1"/>
  <c r="S717" i="1"/>
  <c r="S742" i="1"/>
  <c r="S766" i="1"/>
  <c r="S792" i="1"/>
  <c r="S816" i="1"/>
  <c r="S843" i="1"/>
  <c r="S866" i="1"/>
  <c r="S892" i="1"/>
  <c r="S915" i="1"/>
  <c r="S941" i="1"/>
  <c r="S966" i="1"/>
  <c r="S989" i="1"/>
  <c r="S1010" i="1"/>
  <c r="S1035" i="1"/>
  <c r="S29" i="1"/>
  <c r="S60" i="1"/>
  <c r="S89" i="1"/>
  <c r="S115" i="1"/>
  <c r="S146" i="1"/>
  <c r="S173" i="1"/>
  <c r="S200" i="1"/>
  <c r="S225" i="1"/>
  <c r="S252" i="1"/>
  <c r="S278" i="1"/>
  <c r="S306" i="1"/>
  <c r="S333" i="1"/>
  <c r="S360" i="1"/>
  <c r="S385" i="1"/>
  <c r="S412" i="1"/>
  <c r="S438" i="1"/>
  <c r="S464" i="1"/>
  <c r="S493" i="1"/>
  <c r="S520" i="1"/>
  <c r="S545" i="1"/>
  <c r="S571" i="1"/>
  <c r="S594" i="1"/>
  <c r="S620" i="1"/>
  <c r="S643" i="1"/>
  <c r="S669" i="1"/>
  <c r="S694" i="1"/>
  <c r="S718" i="1"/>
  <c r="S744" i="1"/>
  <c r="S768" i="1"/>
  <c r="S793" i="1"/>
  <c r="S818" i="1"/>
  <c r="S844" i="1"/>
  <c r="S867" i="1"/>
  <c r="S893" i="1"/>
  <c r="S918" i="1"/>
  <c r="S942" i="1"/>
  <c r="S968" i="1"/>
  <c r="S990" i="1"/>
  <c r="S1011" i="1"/>
  <c r="S1036" i="1"/>
  <c r="S1057" i="1"/>
  <c r="S1081" i="1"/>
  <c r="S1103" i="1"/>
  <c r="S1123" i="1"/>
  <c r="S1145" i="1"/>
  <c r="S1167" i="1"/>
  <c r="S1186" i="1"/>
  <c r="S1206" i="1"/>
  <c r="S1225" i="1"/>
  <c r="S1245" i="1"/>
  <c r="S1264" i="1"/>
  <c r="S1283" i="1"/>
  <c r="S1303" i="1"/>
  <c r="S1321" i="1"/>
  <c r="S1339" i="1"/>
  <c r="S1357" i="1"/>
  <c r="S1374" i="1"/>
  <c r="S1391" i="1"/>
  <c r="S1408" i="1"/>
  <c r="S1425" i="1"/>
  <c r="S1443" i="1"/>
  <c r="S1460" i="1"/>
  <c r="S1477" i="1"/>
  <c r="S1494" i="1"/>
  <c r="S1511" i="1"/>
  <c r="S1528" i="1"/>
  <c r="S1545" i="1"/>
  <c r="S1562" i="1"/>
  <c r="S1579" i="1"/>
  <c r="S1596" i="1"/>
  <c r="S1613" i="1"/>
  <c r="S1630" i="1"/>
  <c r="S30" i="1"/>
  <c r="S61" i="1"/>
  <c r="S91" i="1"/>
  <c r="S123" i="1"/>
  <c r="S147" i="1"/>
  <c r="S174" i="1"/>
  <c r="S201" i="1"/>
  <c r="S226" i="1"/>
  <c r="S253" i="1"/>
  <c r="S280" i="1"/>
  <c r="S307" i="1"/>
  <c r="S334" i="1"/>
  <c r="S361" i="1"/>
  <c r="S386" i="1"/>
  <c r="S413" i="1"/>
  <c r="S440" i="1"/>
  <c r="S465" i="1"/>
  <c r="S494" i="1"/>
  <c r="S521" i="1"/>
  <c r="S546" i="1"/>
  <c r="S572" i="1"/>
  <c r="S595" i="1"/>
  <c r="S621" i="1"/>
  <c r="S646" i="1"/>
  <c r="S670" i="1"/>
  <c r="S696" i="1"/>
  <c r="S720" i="1"/>
  <c r="S745" i="1"/>
  <c r="S769" i="1"/>
  <c r="S796" i="1"/>
  <c r="S819" i="1"/>
  <c r="S845" i="1"/>
  <c r="S870" i="1"/>
  <c r="S894" i="1"/>
  <c r="S920" i="1"/>
  <c r="S944" i="1"/>
  <c r="S969" i="1"/>
  <c r="S991" i="1"/>
  <c r="S1014" i="1"/>
  <c r="S1037" i="1"/>
  <c r="S1058" i="1"/>
  <c r="S1083" i="1"/>
  <c r="S1104" i="1"/>
  <c r="S1126" i="1"/>
  <c r="S1148" i="1"/>
  <c r="S32" i="1"/>
  <c r="S76" i="1"/>
  <c r="S110" i="1"/>
  <c r="S156" i="1"/>
  <c r="S192" i="1"/>
  <c r="S233" i="1"/>
  <c r="S269" i="1"/>
  <c r="S313" i="1"/>
  <c r="S347" i="1"/>
  <c r="S390" i="1"/>
  <c r="S427" i="1"/>
  <c r="S470" i="1"/>
  <c r="S504" i="1"/>
  <c r="S540" i="1"/>
  <c r="S578" i="1"/>
  <c r="S611" i="1"/>
  <c r="S652" i="1"/>
  <c r="S685" i="1"/>
  <c r="S726" i="1"/>
  <c r="S758" i="1"/>
  <c r="S798" i="1"/>
  <c r="S830" i="1"/>
  <c r="S872" i="1"/>
  <c r="S904" i="1"/>
  <c r="S937" i="1"/>
  <c r="S975" i="1"/>
  <c r="S1006" i="1"/>
  <c r="S1041" i="1"/>
  <c r="S1071" i="1"/>
  <c r="S1102" i="1"/>
  <c r="S1132" i="1"/>
  <c r="S1158" i="1"/>
  <c r="S1181" i="1"/>
  <c r="S1208" i="1"/>
  <c r="S1231" i="1"/>
  <c r="S1254" i="1"/>
  <c r="S1278" i="1"/>
  <c r="S1304" i="1"/>
  <c r="S1325" i="1"/>
  <c r="S1347" i="1"/>
  <c r="S1368" i="1"/>
  <c r="S1390" i="1"/>
  <c r="S1412" i="1"/>
  <c r="S1432" i="1"/>
  <c r="S1452" i="1"/>
  <c r="S1472" i="1"/>
  <c r="S1496" i="1"/>
  <c r="S1516" i="1"/>
  <c r="S1536" i="1"/>
  <c r="S1557" i="1"/>
  <c r="S1580" i="1"/>
  <c r="S1600" i="1"/>
  <c r="S1621" i="1"/>
  <c r="S1641" i="1"/>
  <c r="S1660" i="1"/>
  <c r="S1681" i="1"/>
  <c r="S1701" i="1"/>
  <c r="S1720" i="1"/>
  <c r="S1739" i="1"/>
  <c r="S1757" i="1"/>
  <c r="S1775" i="1"/>
  <c r="S1793" i="1"/>
  <c r="S1813" i="1"/>
  <c r="S1831" i="1"/>
  <c r="S1849" i="1"/>
  <c r="S1866" i="1"/>
  <c r="S1883" i="1"/>
  <c r="S1900" i="1"/>
  <c r="S1917" i="1"/>
  <c r="S1934" i="1"/>
  <c r="S1951" i="1"/>
  <c r="S1967" i="1"/>
  <c r="S1983" i="1"/>
  <c r="S1999" i="1"/>
  <c r="S33" i="1"/>
  <c r="S77" i="1"/>
  <c r="S124" i="1"/>
  <c r="S157" i="1"/>
  <c r="S193" i="1"/>
  <c r="S237" i="1"/>
  <c r="S270" i="1"/>
  <c r="S315" i="1"/>
  <c r="S348" i="1"/>
  <c r="S392" i="1"/>
  <c r="S428" i="1"/>
  <c r="S472" i="1"/>
  <c r="S505" i="1"/>
  <c r="S547" i="1"/>
  <c r="S579" i="1"/>
  <c r="S614" i="1"/>
  <c r="S653" i="1"/>
  <c r="S686" i="1"/>
  <c r="S728" i="1"/>
  <c r="S760" i="1"/>
  <c r="S800" i="1"/>
  <c r="S832" i="1"/>
  <c r="S873" i="1"/>
  <c r="S905" i="1"/>
  <c r="S945" i="1"/>
  <c r="S976" i="1"/>
  <c r="S1007" i="1"/>
  <c r="S1043" i="1"/>
  <c r="S1072" i="1"/>
  <c r="S1105" i="1"/>
  <c r="S1133" i="1"/>
  <c r="S1159" i="1"/>
  <c r="S1185" i="1"/>
  <c r="S1209" i="1"/>
  <c r="S1232" i="1"/>
  <c r="S1255" i="1"/>
  <c r="S1279" i="1"/>
  <c r="S1305" i="1"/>
  <c r="S1326" i="1"/>
  <c r="S1348" i="1"/>
  <c r="S1369" i="1"/>
  <c r="S1392" i="1"/>
  <c r="S1413" i="1"/>
  <c r="S1433" i="1"/>
  <c r="S1453" i="1"/>
  <c r="S1476" i="1"/>
  <c r="S1497" i="1"/>
  <c r="S1517" i="1"/>
  <c r="S1537" i="1"/>
  <c r="S1558" i="1"/>
  <c r="S1581" i="1"/>
  <c r="S1601" i="1"/>
  <c r="S1622" i="1"/>
  <c r="S1642" i="1"/>
  <c r="S1663" i="1"/>
  <c r="S1683" i="1"/>
  <c r="S1702" i="1"/>
  <c r="S1721" i="1"/>
  <c r="S1740" i="1"/>
  <c r="S1758" i="1"/>
  <c r="S1776" i="1"/>
  <c r="S1796" i="1"/>
  <c r="S1814" i="1"/>
  <c r="S1832" i="1"/>
  <c r="S1850" i="1"/>
  <c r="S1867" i="1"/>
  <c r="S1884" i="1"/>
  <c r="S1901" i="1"/>
  <c r="S1918" i="1"/>
  <c r="S1935" i="1"/>
  <c r="S1952" i="1"/>
  <c r="S1968" i="1"/>
  <c r="S1984" i="1"/>
  <c r="S2000" i="1"/>
  <c r="S34" i="1"/>
  <c r="S78" i="1"/>
  <c r="S125" i="1"/>
  <c r="S158" i="1"/>
  <c r="S203" i="1"/>
  <c r="S238" i="1"/>
  <c r="S272" i="1"/>
  <c r="S316" i="1"/>
  <c r="S349" i="1"/>
  <c r="S393" i="1"/>
  <c r="S429" i="1"/>
  <c r="S473" i="1"/>
  <c r="S507" i="1"/>
  <c r="S550" i="1"/>
  <c r="S582" i="1"/>
  <c r="S622" i="1"/>
  <c r="S656" i="1"/>
  <c r="S688" i="1"/>
  <c r="S729" i="1"/>
  <c r="S761" i="1"/>
  <c r="S801" i="1"/>
  <c r="S833" i="1"/>
  <c r="S875" i="1"/>
  <c r="S907" i="1"/>
  <c r="S946" i="1"/>
  <c r="S977" i="1"/>
  <c r="S1016" i="1"/>
  <c r="S1046" i="1"/>
  <c r="S1073" i="1"/>
  <c r="S1107" i="1"/>
  <c r="S1134" i="1"/>
  <c r="S1160" i="1"/>
  <c r="S1187" i="1"/>
  <c r="S1211" i="1"/>
  <c r="S1233" i="1"/>
  <c r="S1256" i="1"/>
  <c r="S1282" i="1"/>
  <c r="S1306" i="1"/>
  <c r="S1327" i="1"/>
  <c r="S1350" i="1"/>
  <c r="S1370" i="1"/>
  <c r="S1393" i="1"/>
  <c r="S1414" i="1"/>
  <c r="S1434" i="1"/>
  <c r="S1454" i="1"/>
  <c r="S1478" i="1"/>
  <c r="S1498" i="1"/>
  <c r="S1518" i="1"/>
  <c r="S1539" i="1"/>
  <c r="S1561" i="1"/>
  <c r="S1582" i="1"/>
  <c r="S1603" i="1"/>
  <c r="S1623" i="1"/>
  <c r="S1643" i="1"/>
  <c r="S1664" i="1"/>
  <c r="S1684" i="1"/>
  <c r="S1703" i="1"/>
  <c r="S1722" i="1"/>
  <c r="S1741" i="1"/>
  <c r="S1759" i="1"/>
  <c r="S1777" i="1"/>
  <c r="S1797" i="1"/>
  <c r="S1815" i="1"/>
  <c r="S1833" i="1"/>
  <c r="S1851" i="1"/>
  <c r="S1868" i="1"/>
  <c r="S1885" i="1"/>
  <c r="S1902" i="1"/>
  <c r="S1919" i="1"/>
  <c r="S1936" i="1"/>
  <c r="S1953" i="1"/>
  <c r="S1969" i="1"/>
  <c r="S1985" i="1"/>
  <c r="S2001" i="1"/>
  <c r="S38" i="1"/>
  <c r="S80" i="1"/>
  <c r="S126" i="1"/>
  <c r="S160" i="1"/>
  <c r="S204" i="1"/>
  <c r="S240" i="1"/>
  <c r="S284" i="1"/>
  <c r="S317" i="1"/>
  <c r="S353" i="1"/>
  <c r="S395" i="1"/>
  <c r="S430" i="1"/>
  <c r="S475" i="1"/>
  <c r="S508" i="1"/>
  <c r="S552" i="1"/>
  <c r="S584" i="1"/>
  <c r="S624" i="1"/>
  <c r="S657" i="1"/>
  <c r="S697" i="1"/>
  <c r="S731" i="1"/>
  <c r="S763" i="1"/>
  <c r="S802" i="1"/>
  <c r="S834" i="1"/>
  <c r="S876" i="1"/>
  <c r="S908" i="1"/>
  <c r="S947" i="1"/>
  <c r="S979" i="1"/>
  <c r="S1017" i="1"/>
  <c r="S1048" i="1"/>
  <c r="S1074" i="1"/>
  <c r="S1110" i="1"/>
  <c r="S1135" i="1"/>
  <c r="S1161" i="1"/>
  <c r="S1188" i="1"/>
  <c r="S1212" i="1"/>
  <c r="S1234" i="1"/>
  <c r="S1259" i="1"/>
  <c r="S1284" i="1"/>
  <c r="S1307" i="1"/>
  <c r="S1329" i="1"/>
  <c r="S1351" i="1"/>
  <c r="S1373" i="1"/>
  <c r="S1395" i="1"/>
  <c r="S1415" i="1"/>
  <c r="S1435" i="1"/>
  <c r="S1455" i="1"/>
  <c r="S1479" i="1"/>
  <c r="S1499" i="1"/>
  <c r="S1519" i="1"/>
  <c r="S1540" i="1"/>
  <c r="S1563" i="1"/>
  <c r="S1583" i="1"/>
  <c r="S1604" i="1"/>
  <c r="S1624" i="1"/>
  <c r="S1646" i="1"/>
  <c r="S1665" i="1"/>
  <c r="S1685" i="1"/>
  <c r="S1704" i="1"/>
  <c r="S1723" i="1"/>
  <c r="S1742" i="1"/>
  <c r="S1760" i="1"/>
  <c r="S1780" i="1"/>
  <c r="S1798" i="1"/>
  <c r="S1816" i="1"/>
  <c r="S1834" i="1"/>
  <c r="S1852" i="1"/>
  <c r="S1869" i="1"/>
  <c r="S1886" i="1"/>
  <c r="S1903" i="1"/>
  <c r="S1920" i="1"/>
  <c r="S1937" i="1"/>
  <c r="S1954" i="1"/>
  <c r="S1970" i="1"/>
  <c r="S1986" i="1"/>
  <c r="S40" i="1"/>
  <c r="S81" i="1"/>
  <c r="S128" i="1"/>
  <c r="S161" i="1"/>
  <c r="S205" i="1"/>
  <c r="S241" i="1"/>
  <c r="S285" i="1"/>
  <c r="S318" i="1"/>
  <c r="S363" i="1"/>
  <c r="S396" i="1"/>
  <c r="S432" i="1"/>
  <c r="S476" i="1"/>
  <c r="S509" i="1"/>
  <c r="S553" i="1"/>
  <c r="S587" i="1"/>
  <c r="S625" i="1"/>
  <c r="S658" i="1"/>
  <c r="S699" i="1"/>
  <c r="S732" i="1"/>
  <c r="S771" i="1"/>
  <c r="S803" i="1"/>
  <c r="S835" i="1"/>
  <c r="S877" i="1"/>
  <c r="S909" i="1"/>
  <c r="S950" i="1"/>
  <c r="S982" i="1"/>
  <c r="S1019" i="1"/>
  <c r="S1049" i="1"/>
  <c r="S1080" i="1"/>
  <c r="S1111" i="1"/>
  <c r="S1136" i="1"/>
  <c r="S1165" i="1"/>
  <c r="S1190" i="1"/>
  <c r="S1213" i="1"/>
  <c r="S1235" i="1"/>
  <c r="S1260" i="1"/>
  <c r="S1286" i="1"/>
  <c r="S1308" i="1"/>
  <c r="S1330" i="1"/>
  <c r="S1352" i="1"/>
  <c r="S1375" i="1"/>
  <c r="S1396" i="1"/>
  <c r="S1416" i="1"/>
  <c r="S1436" i="1"/>
  <c r="S1459" i="1"/>
  <c r="S1480" i="1"/>
  <c r="S1500" i="1"/>
  <c r="S1520" i="1"/>
  <c r="S1541" i="1"/>
  <c r="S1564" i="1"/>
  <c r="S1584" i="1"/>
  <c r="S1605" i="1"/>
  <c r="S1625" i="1"/>
  <c r="S1647" i="1"/>
  <c r="S1667" i="1"/>
  <c r="S1686" i="1"/>
  <c r="S1705" i="1"/>
  <c r="S1724" i="1"/>
  <c r="S1743" i="1"/>
  <c r="S1761" i="1"/>
  <c r="S1781" i="1"/>
  <c r="S1799" i="1"/>
  <c r="S1817" i="1"/>
  <c r="S1835" i="1"/>
  <c r="S1853" i="1"/>
  <c r="S1870" i="1"/>
  <c r="S1887" i="1"/>
  <c r="S1904" i="1"/>
  <c r="S1921" i="1"/>
  <c r="S1938" i="1"/>
  <c r="S1955" i="1"/>
  <c r="S1971" i="1"/>
  <c r="S1987" i="1"/>
  <c r="S41" i="1"/>
  <c r="S82" i="1"/>
  <c r="S129" i="1"/>
  <c r="S162" i="1"/>
  <c r="S206" i="1"/>
  <c r="S242" i="1"/>
  <c r="S286" i="1"/>
  <c r="S320" i="1"/>
  <c r="S364" i="1"/>
  <c r="S400" i="1"/>
  <c r="S441" i="1"/>
  <c r="S477" i="1"/>
  <c r="S510" i="1"/>
  <c r="S555" i="1"/>
  <c r="S588" i="1"/>
  <c r="S626" i="1"/>
  <c r="S659" i="1"/>
  <c r="S700" i="1"/>
  <c r="S733" i="1"/>
  <c r="S774" i="1"/>
  <c r="S806" i="1"/>
  <c r="S846" i="1"/>
  <c r="S878" i="1"/>
  <c r="S912" i="1"/>
  <c r="S952" i="1"/>
  <c r="S984" i="1"/>
  <c r="S1020" i="1"/>
  <c r="S1051" i="1"/>
  <c r="S1084" i="1"/>
  <c r="S1112" i="1"/>
  <c r="S1137" i="1"/>
  <c r="S1168" i="1"/>
  <c r="S1191" i="1"/>
  <c r="S1214" i="1"/>
  <c r="S1236" i="1"/>
  <c r="S1263" i="1"/>
  <c r="S1287" i="1"/>
  <c r="S1309" i="1"/>
  <c r="S1331" i="1"/>
  <c r="S1353" i="1"/>
  <c r="S1376" i="1"/>
  <c r="S1397" i="1"/>
  <c r="S1417" i="1"/>
  <c r="S1437" i="1"/>
  <c r="S1461" i="1"/>
  <c r="S1481" i="1"/>
  <c r="S1501" i="1"/>
  <c r="S1521" i="1"/>
  <c r="S1544" i="1"/>
  <c r="S1565" i="1"/>
  <c r="S1585" i="1"/>
  <c r="S1606" i="1"/>
  <c r="S1626" i="1"/>
  <c r="S1648" i="1"/>
  <c r="S1668" i="1"/>
  <c r="S1687" i="1"/>
  <c r="S1706" i="1"/>
  <c r="S1725" i="1"/>
  <c r="S1744" i="1"/>
  <c r="S1764" i="1"/>
  <c r="S1782" i="1"/>
  <c r="S1800" i="1"/>
  <c r="S1818" i="1"/>
  <c r="S1836" i="1"/>
  <c r="S1854" i="1"/>
  <c r="S1871" i="1"/>
  <c r="S1888" i="1"/>
  <c r="S1905" i="1"/>
  <c r="S1922" i="1"/>
  <c r="S1940" i="1"/>
  <c r="S1956" i="1"/>
  <c r="S1972" i="1"/>
  <c r="S1988" i="1"/>
  <c r="S43" i="1"/>
  <c r="S92" i="1"/>
  <c r="S130" i="1"/>
  <c r="S168" i="1"/>
  <c r="S208" i="1"/>
  <c r="S243" i="1"/>
  <c r="S288" i="1"/>
  <c r="S321" i="1"/>
  <c r="S365" i="1"/>
  <c r="S401" i="1"/>
  <c r="S443" i="1"/>
  <c r="S478" i="1"/>
  <c r="S523" i="1"/>
  <c r="S556" i="1"/>
  <c r="S589" i="1"/>
  <c r="S627" i="1"/>
  <c r="S662" i="1"/>
  <c r="S702" i="1"/>
  <c r="S734" i="1"/>
  <c r="S776" i="1"/>
  <c r="S808" i="1"/>
  <c r="S848" i="1"/>
  <c r="S880" i="1"/>
  <c r="S921" i="1"/>
  <c r="S953" i="1"/>
  <c r="S985" i="1"/>
  <c r="S1021" i="1"/>
  <c r="S1052" i="1"/>
  <c r="S1085" i="1"/>
  <c r="S1113" i="1"/>
  <c r="S1138" i="1"/>
  <c r="S1169" i="1"/>
  <c r="S1192" i="1"/>
  <c r="S1215" i="1"/>
  <c r="S1238" i="1"/>
  <c r="S1265" i="1"/>
  <c r="S1288" i="1"/>
  <c r="S1310" i="1"/>
  <c r="S1332" i="1"/>
  <c r="S1356" i="1"/>
  <c r="S1377" i="1"/>
  <c r="S1398" i="1"/>
  <c r="S1418" i="1"/>
  <c r="S1438" i="1"/>
  <c r="S1462" i="1"/>
  <c r="S1482" i="1"/>
  <c r="S1502" i="1"/>
  <c r="S1523" i="1"/>
  <c r="S1546" i="1"/>
  <c r="S1566" i="1"/>
  <c r="S1587" i="1"/>
  <c r="S1607" i="1"/>
  <c r="S1629" i="1"/>
  <c r="S1649" i="1"/>
  <c r="S1669" i="1"/>
  <c r="S1688" i="1"/>
  <c r="S1707" i="1"/>
  <c r="S1726" i="1"/>
  <c r="S1745" i="1"/>
  <c r="S1765" i="1"/>
  <c r="S1783" i="1"/>
  <c r="S1801" i="1"/>
  <c r="S1819" i="1"/>
  <c r="S1837" i="1"/>
  <c r="S1855" i="1"/>
  <c r="S1872" i="1"/>
  <c r="S1889" i="1"/>
  <c r="S1906" i="1"/>
  <c r="S1924" i="1"/>
  <c r="S1941" i="1"/>
  <c r="S1957" i="1"/>
  <c r="S1973" i="1"/>
  <c r="S1989" i="1"/>
  <c r="S44" i="1"/>
  <c r="S93" i="1"/>
  <c r="S131" i="1"/>
  <c r="S176" i="1"/>
  <c r="S209" i="1"/>
  <c r="S246" i="1"/>
  <c r="S289" i="1"/>
  <c r="S322" i="1"/>
  <c r="S366" i="1"/>
  <c r="S402" i="1"/>
  <c r="S446" i="1"/>
  <c r="S480" i="1"/>
  <c r="S524" i="1"/>
  <c r="S557" i="1"/>
  <c r="S598" i="1"/>
  <c r="S630" i="1"/>
  <c r="S664" i="1"/>
  <c r="S704" i="1"/>
  <c r="S736" i="1"/>
  <c r="S777" i="1"/>
  <c r="S809" i="1"/>
  <c r="S849" i="1"/>
  <c r="S881" i="1"/>
  <c r="S923" i="1"/>
  <c r="S955" i="1"/>
  <c r="S992" i="1"/>
  <c r="S1023" i="1"/>
  <c r="S1053" i="1"/>
  <c r="S1087" i="1"/>
  <c r="S1115" i="1"/>
  <c r="S1139" i="1"/>
  <c r="S1170" i="1"/>
  <c r="S1193" i="1"/>
  <c r="S1216" i="1"/>
  <c r="S1240" i="1"/>
  <c r="S1266" i="1"/>
  <c r="S1289" i="1"/>
  <c r="S1312" i="1"/>
  <c r="S1334" i="1"/>
  <c r="S1358" i="1"/>
  <c r="S1379" i="1"/>
  <c r="S1399" i="1"/>
  <c r="S1419" i="1"/>
  <c r="S1441" i="1"/>
  <c r="S1463" i="1"/>
  <c r="S1483" i="1"/>
  <c r="S1503" i="1"/>
  <c r="S1524" i="1"/>
  <c r="S1547" i="1"/>
  <c r="S1567" i="1"/>
  <c r="S1588" i="1"/>
  <c r="S1608" i="1"/>
  <c r="S1631" i="1"/>
  <c r="S1651" i="1"/>
  <c r="S1670" i="1"/>
  <c r="S1689" i="1"/>
  <c r="S1708" i="1"/>
  <c r="S1727" i="1"/>
  <c r="S1748" i="1"/>
  <c r="S1766" i="1"/>
  <c r="S1784" i="1"/>
  <c r="S1802" i="1"/>
  <c r="S1820" i="1"/>
  <c r="S1838" i="1"/>
  <c r="S1856" i="1"/>
  <c r="S1873" i="1"/>
  <c r="S1890" i="1"/>
  <c r="S1908" i="1"/>
  <c r="S1925" i="1"/>
  <c r="S1942" i="1"/>
  <c r="S1958" i="1"/>
  <c r="S1974" i="1"/>
  <c r="S1990" i="1"/>
  <c r="S54" i="1"/>
  <c r="S179" i="1"/>
  <c r="S294" i="1"/>
  <c r="S370" i="1"/>
  <c r="S450" i="1"/>
  <c r="S562" i="1"/>
  <c r="S674" i="1"/>
  <c r="S707" i="1"/>
  <c r="S822" i="1"/>
  <c r="S926" i="1"/>
  <c r="S995" i="1"/>
  <c r="S1090" i="1"/>
  <c r="S49" i="1"/>
  <c r="S98" i="1"/>
  <c r="S134" i="1"/>
  <c r="S177" i="1"/>
  <c r="S214" i="1"/>
  <c r="S254" i="1"/>
  <c r="S290" i="1"/>
  <c r="S323" i="1"/>
  <c r="S368" i="1"/>
  <c r="S403" i="1"/>
  <c r="S448" i="1"/>
  <c r="S481" i="1"/>
  <c r="S525" i="1"/>
  <c r="S558" i="1"/>
  <c r="S600" i="1"/>
  <c r="S633" i="1"/>
  <c r="S672" i="1"/>
  <c r="S705" i="1"/>
  <c r="S737" i="1"/>
  <c r="S779" i="1"/>
  <c r="S811" i="1"/>
  <c r="S850" i="1"/>
  <c r="S882" i="1"/>
  <c r="S924" i="1"/>
  <c r="S956" i="1"/>
  <c r="S993" i="1"/>
  <c r="S1024" i="1"/>
  <c r="S1056" i="1"/>
  <c r="S1088" i="1"/>
  <c r="S1116" i="1"/>
  <c r="S1144" i="1"/>
  <c r="S1171" i="1"/>
  <c r="S1195" i="1"/>
  <c r="S1217" i="1"/>
  <c r="S1244" i="1"/>
  <c r="S1267" i="1"/>
  <c r="S1291" i="1"/>
  <c r="S1313" i="1"/>
  <c r="S1335" i="1"/>
  <c r="S1359" i="1"/>
  <c r="S1380" i="1"/>
  <c r="S1400" i="1"/>
  <c r="S1420" i="1"/>
  <c r="S1444" i="1"/>
  <c r="S1464" i="1"/>
  <c r="S1484" i="1"/>
  <c r="S1504" i="1"/>
  <c r="S1527" i="1"/>
  <c r="S1548" i="1"/>
  <c r="S1568" i="1"/>
  <c r="S1589" i="1"/>
  <c r="S1609" i="1"/>
  <c r="S1632" i="1"/>
  <c r="S1652" i="1"/>
  <c r="S1671" i="1"/>
  <c r="S1690" i="1"/>
  <c r="S1709" i="1"/>
  <c r="S1728" i="1"/>
  <c r="S1749" i="1"/>
  <c r="S1767" i="1"/>
  <c r="S1785" i="1"/>
  <c r="S1803" i="1"/>
  <c r="S1821" i="1"/>
  <c r="S1839" i="1"/>
  <c r="S1857" i="1"/>
  <c r="S1874" i="1"/>
  <c r="S1892" i="1"/>
  <c r="S1909" i="1"/>
  <c r="S1926" i="1"/>
  <c r="S1943" i="1"/>
  <c r="S1959" i="1"/>
  <c r="S1975" i="1"/>
  <c r="S1991" i="1"/>
  <c r="S102" i="1"/>
  <c r="S217" i="1"/>
  <c r="S337" i="1"/>
  <c r="S483" i="1"/>
  <c r="S603" i="1"/>
  <c r="S749" i="1"/>
  <c r="S886" i="1"/>
  <c r="S1026" i="1"/>
  <c r="S1118" i="1"/>
  <c r="S50" i="1"/>
  <c r="S99" i="1"/>
  <c r="S136" i="1"/>
  <c r="S178" i="1"/>
  <c r="S216" i="1"/>
  <c r="S256" i="1"/>
  <c r="S291" i="1"/>
  <c r="S336" i="1"/>
  <c r="S369" i="1"/>
  <c r="S406" i="1"/>
  <c r="S449" i="1"/>
  <c r="S482" i="1"/>
  <c r="S526" i="1"/>
  <c r="S560" i="1"/>
  <c r="S601" i="1"/>
  <c r="S635" i="1"/>
  <c r="S673" i="1"/>
  <c r="S706" i="1"/>
  <c r="S747" i="1"/>
  <c r="S780" i="1"/>
  <c r="S812" i="1"/>
  <c r="S851" i="1"/>
  <c r="S883" i="1"/>
  <c r="S925" i="1"/>
  <c r="S958" i="1"/>
  <c r="S994" i="1"/>
  <c r="S1025" i="1"/>
  <c r="S1059" i="1"/>
  <c r="S1089" i="1"/>
  <c r="S1117" i="1"/>
  <c r="S1149" i="1"/>
  <c r="S1172" i="1"/>
  <c r="S1196" i="1"/>
  <c r="S1218" i="1"/>
  <c r="S1246" i="1"/>
  <c r="S1268" i="1"/>
  <c r="S1292" i="1"/>
  <c r="S1314" i="1"/>
  <c r="S1338" i="1"/>
  <c r="S1360" i="1"/>
  <c r="S1381" i="1"/>
  <c r="S1401" i="1"/>
  <c r="S1421" i="1"/>
  <c r="S1445" i="1"/>
  <c r="S1465" i="1"/>
  <c r="S1485" i="1"/>
  <c r="S1505" i="1"/>
  <c r="S1529" i="1"/>
  <c r="S1549" i="1"/>
  <c r="S1569" i="1"/>
  <c r="S1590" i="1"/>
  <c r="S1612" i="1"/>
  <c r="S1633" i="1"/>
  <c r="S1653" i="1"/>
  <c r="S1672" i="1"/>
  <c r="S1691" i="1"/>
  <c r="S1710" i="1"/>
  <c r="S1732" i="1"/>
  <c r="S1750" i="1"/>
  <c r="S1768" i="1"/>
  <c r="S1786" i="1"/>
  <c r="S1804" i="1"/>
  <c r="S1822" i="1"/>
  <c r="S1840" i="1"/>
  <c r="S1858" i="1"/>
  <c r="S1876" i="1"/>
  <c r="S1893" i="1"/>
  <c r="S1910" i="1"/>
  <c r="S1927" i="1"/>
  <c r="S1944" i="1"/>
  <c r="S1960" i="1"/>
  <c r="S1976" i="1"/>
  <c r="S1992" i="1"/>
  <c r="S137" i="1"/>
  <c r="S259" i="1"/>
  <c r="S414" i="1"/>
  <c r="S528" i="1"/>
  <c r="S636" i="1"/>
  <c r="S781" i="1"/>
  <c r="S854" i="1"/>
  <c r="S960" i="1"/>
  <c r="S1062" i="1"/>
  <c r="S1998" i="1"/>
  <c r="S1962" i="1"/>
  <c r="S1914" i="1"/>
  <c r="S1865" i="1"/>
  <c r="S1824" i="1"/>
  <c r="S1772" i="1"/>
  <c r="S1719" i="1"/>
  <c r="S1674" i="1"/>
  <c r="S1617" i="1"/>
  <c r="S1556" i="1"/>
  <c r="S1510" i="1"/>
  <c r="S1449" i="1"/>
  <c r="S1387" i="1"/>
  <c r="S1341" i="1"/>
  <c r="S1273" i="1"/>
  <c r="S1207" i="1"/>
  <c r="S1151" i="1"/>
  <c r="S1064" i="1"/>
  <c r="S936" i="1"/>
  <c r="S828" i="1"/>
  <c r="S713" i="1"/>
  <c r="S605" i="1"/>
  <c r="S496" i="1"/>
  <c r="S345" i="1"/>
  <c r="S230" i="1"/>
  <c r="S107" i="1"/>
  <c r="S1997" i="1"/>
  <c r="S1961" i="1"/>
  <c r="S1913" i="1"/>
  <c r="S1864" i="1"/>
  <c r="S1823" i="1"/>
  <c r="S1771" i="1"/>
  <c r="S1718" i="1"/>
  <c r="S1673" i="1"/>
  <c r="S1616" i="1"/>
  <c r="S1555" i="1"/>
  <c r="S1507" i="1"/>
  <c r="S1448" i="1"/>
  <c r="S1386" i="1"/>
  <c r="S1340" i="1"/>
  <c r="S1272" i="1"/>
  <c r="S1204" i="1"/>
  <c r="S1150" i="1"/>
  <c r="S1040" i="1"/>
  <c r="S931" i="1"/>
  <c r="S827" i="1"/>
  <c r="S712" i="1"/>
  <c r="S604" i="1"/>
  <c r="S459" i="1"/>
  <c r="S344" i="1"/>
  <c r="S227" i="1"/>
  <c r="S105" i="1"/>
  <c r="S1994" i="1"/>
  <c r="S1948" i="1"/>
  <c r="S1899" i="1"/>
  <c r="S1861" i="1"/>
  <c r="S1808" i="1"/>
  <c r="S1756" i="1"/>
  <c r="S1715" i="1"/>
  <c r="S1657" i="1"/>
  <c r="S1599" i="1"/>
  <c r="S1551" i="1"/>
  <c r="S1489" i="1"/>
  <c r="S1431" i="1"/>
  <c r="S1383" i="1"/>
  <c r="S1322" i="1"/>
  <c r="S1252" i="1"/>
  <c r="S1198" i="1"/>
  <c r="S1128" i="1"/>
  <c r="S1030" i="1"/>
  <c r="S928" i="1"/>
  <c r="S797" i="1"/>
  <c r="S683" i="1"/>
  <c r="S574" i="1"/>
  <c r="S454" i="1"/>
  <c r="S338" i="1"/>
  <c r="S190" i="1"/>
  <c r="S66" i="1"/>
  <c r="S1993" i="1"/>
  <c r="S1947" i="1"/>
  <c r="S1898" i="1"/>
  <c r="S1860" i="1"/>
  <c r="S1807" i="1"/>
  <c r="S1755" i="1"/>
  <c r="S1711" i="1"/>
  <c r="S1656" i="1"/>
  <c r="S1598" i="1"/>
  <c r="S1550" i="1"/>
  <c r="S1488" i="1"/>
  <c r="S1430" i="1"/>
  <c r="S1382" i="1"/>
  <c r="S1320" i="1"/>
  <c r="S1251" i="1"/>
  <c r="S1197" i="1"/>
  <c r="S1122" i="1"/>
  <c r="S1027" i="1"/>
  <c r="S902" i="1"/>
  <c r="S786" i="1"/>
  <c r="S681" i="1"/>
  <c r="S573" i="1"/>
  <c r="S451" i="1"/>
  <c r="S312" i="1"/>
  <c r="S187" i="1"/>
  <c r="S65" i="1"/>
  <c r="S1982" i="1"/>
  <c r="S1946" i="1"/>
  <c r="S1897" i="1"/>
  <c r="S1848" i="1"/>
  <c r="S1806" i="1"/>
  <c r="S1754" i="1"/>
  <c r="S1700" i="1"/>
  <c r="S1655" i="1"/>
  <c r="S1597" i="1"/>
  <c r="S1535" i="1"/>
  <c r="S1487" i="1"/>
  <c r="S1429" i="1"/>
  <c r="S1367" i="1"/>
  <c r="S1316" i="1"/>
  <c r="S1250" i="1"/>
  <c r="S1180" i="1"/>
  <c r="S1119" i="1"/>
  <c r="S1005" i="1"/>
  <c r="S899" i="1"/>
  <c r="S785" i="1"/>
  <c r="S680" i="1"/>
  <c r="S563" i="1"/>
  <c r="S425" i="1"/>
  <c r="S310" i="1"/>
  <c r="S185" i="1"/>
  <c r="S64" i="1"/>
  <c r="S1981" i="1"/>
  <c r="S1945" i="1"/>
  <c r="S1896" i="1"/>
  <c r="S1847" i="1"/>
  <c r="S1805" i="1"/>
  <c r="S1753" i="1"/>
  <c r="S1699" i="1"/>
  <c r="S1654" i="1"/>
  <c r="S1595" i="1"/>
  <c r="S1534" i="1"/>
  <c r="S1486" i="1"/>
  <c r="S1428" i="1"/>
  <c r="S1366" i="1"/>
  <c r="S1315" i="1"/>
  <c r="S1249" i="1"/>
  <c r="S1179" i="1"/>
  <c r="S1099" i="1"/>
  <c r="S1004" i="1"/>
  <c r="S898" i="1"/>
  <c r="S784" i="1"/>
  <c r="S675" i="1"/>
  <c r="S536" i="1"/>
  <c r="S424" i="1"/>
  <c r="S299" i="1"/>
  <c r="S184" i="1"/>
  <c r="S6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3C2E5AE-1B00-46B9-A580-4472AEF2246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8273A736-68CD-4D1C-A67B-F8776B06E85E}" name="WorksheetConnection_Coffee_Shop.xlsx!Table1" type="102" refreshedVersion="8" minRefreshableVersion="5">
    <extLst>
      <ext xmlns:x15="http://schemas.microsoft.com/office/spreadsheetml/2010/11/main" uri="{DE250136-89BD-433C-8126-D09CA5730AF9}">
        <x15:connection id="Table1" autoDelete="1">
          <x15:rangePr sourceName="_xlcn.WorksheetConnection_Coffee_Shop.xlsxTable11"/>
        </x15:connection>
      </ext>
    </extLst>
  </connection>
</connections>
</file>

<file path=xl/sharedStrings.xml><?xml version="1.0" encoding="utf-8"?>
<sst xmlns="http://schemas.openxmlformats.org/spreadsheetml/2006/main" count="16075" uniqueCount="2150">
  <si>
    <t>transaction_id</t>
  </si>
  <si>
    <t>transaction_date</t>
  </si>
  <si>
    <t>transaction_time</t>
  </si>
  <si>
    <t>store_id</t>
  </si>
  <si>
    <t>store_location</t>
  </si>
  <si>
    <t>product_id</t>
  </si>
  <si>
    <t>transaction_qty</t>
  </si>
  <si>
    <t>unit_price</t>
  </si>
  <si>
    <t>product_category</t>
  </si>
  <si>
    <t>product_type</t>
  </si>
  <si>
    <t>product_detail</t>
  </si>
  <si>
    <t>Total_bill</t>
  </si>
  <si>
    <t>Month Name</t>
  </si>
  <si>
    <t>Day Name</t>
  </si>
  <si>
    <t>Hour</t>
  </si>
  <si>
    <t>Day of Week</t>
  </si>
  <si>
    <t>Month</t>
  </si>
  <si>
    <t>10:07:01</t>
  </si>
  <si>
    <t>LM</t>
  </si>
  <si>
    <t>Lower Manhattan</t>
  </si>
  <si>
    <t>P001</t>
  </si>
  <si>
    <t>Bakery</t>
  </si>
  <si>
    <t>Scone</t>
  </si>
  <si>
    <t>Cranberry Scone</t>
  </si>
  <si>
    <t>20:08:47</t>
  </si>
  <si>
    <t>AST</t>
  </si>
  <si>
    <t>Astoria</t>
  </si>
  <si>
    <t>P002</t>
  </si>
  <si>
    <t>Packaged Chocolate</t>
  </si>
  <si>
    <t>Ouro Brasileiro shot</t>
  </si>
  <si>
    <t>15:27:02</t>
  </si>
  <si>
    <t>P003</t>
  </si>
  <si>
    <t>Coffee</t>
  </si>
  <si>
    <t>Cappuccino</t>
  </si>
  <si>
    <t>13:38:01</t>
  </si>
  <si>
    <t>P004</t>
  </si>
  <si>
    <t>Tea</t>
  </si>
  <si>
    <t>Brewed Tea</t>
  </si>
  <si>
    <t>Green Tea</t>
  </si>
  <si>
    <t>07:28:37</t>
  </si>
  <si>
    <t>HK</t>
  </si>
  <si>
    <t>Hell's Kitchen</t>
  </si>
  <si>
    <t>P005</t>
  </si>
  <si>
    <t>Barista Espresso</t>
  </si>
  <si>
    <t>Espresso shot</t>
  </si>
  <si>
    <t>07:17:09</t>
  </si>
  <si>
    <t>P006</t>
  </si>
  <si>
    <t>Cookie</t>
  </si>
  <si>
    <t>Chocolate Chip Cookie</t>
  </si>
  <si>
    <t>06:24:06</t>
  </si>
  <si>
    <t>P007</t>
  </si>
  <si>
    <t>Bagel</t>
  </si>
  <si>
    <t>Everything Bagel</t>
  </si>
  <si>
    <t>17:46:29</t>
  </si>
  <si>
    <t>P008</t>
  </si>
  <si>
    <t>Cortado</t>
  </si>
  <si>
    <t>13:18:53</t>
  </si>
  <si>
    <t>P009</t>
  </si>
  <si>
    <t>Cake Pop</t>
  </si>
  <si>
    <t>Birthday Cake Pop</t>
  </si>
  <si>
    <t>14:04:02</t>
  </si>
  <si>
    <t>P010</t>
  </si>
  <si>
    <t>English Breakfast</t>
  </si>
  <si>
    <t>06:55:06</t>
  </si>
  <si>
    <t>P011</t>
  </si>
  <si>
    <t>20:53:23</t>
  </si>
  <si>
    <t>P012</t>
  </si>
  <si>
    <t>16:42:17</t>
  </si>
  <si>
    <t>P013</t>
  </si>
  <si>
    <t>Latte</t>
  </si>
  <si>
    <t>08:46:15</t>
  </si>
  <si>
    <t>P014</t>
  </si>
  <si>
    <t>Loose Tea</t>
  </si>
  <si>
    <t>Peppermint Loose Tea</t>
  </si>
  <si>
    <t>08:59:40</t>
  </si>
  <si>
    <t>P015</t>
  </si>
  <si>
    <t>70% Dark Chocolate</t>
  </si>
  <si>
    <t>08:20:53</t>
  </si>
  <si>
    <t>P016</t>
  </si>
  <si>
    <t>09:17:04</t>
  </si>
  <si>
    <t>P017</t>
  </si>
  <si>
    <t>Muffin</t>
  </si>
  <si>
    <t>Chocolate Muffin</t>
  </si>
  <si>
    <t>12:31:25</t>
  </si>
  <si>
    <t>P018</t>
  </si>
  <si>
    <t>11:08:15</t>
  </si>
  <si>
    <t>P019</t>
  </si>
  <si>
    <t>09:27:57</t>
  </si>
  <si>
    <t>P020</t>
  </si>
  <si>
    <t>Drinking Chocolate</t>
  </si>
  <si>
    <t>Dark Chocolate</t>
  </si>
  <si>
    <t>Dark Chocolate Lg</t>
  </si>
  <si>
    <t>13:32:31</t>
  </si>
  <si>
    <t>P021</t>
  </si>
  <si>
    <t>Gourmet brewed coffee</t>
  </si>
  <si>
    <t>Ethiopia</t>
  </si>
  <si>
    <t>07:10:50</t>
  </si>
  <si>
    <t>P022</t>
  </si>
  <si>
    <t>Coffee Beans</t>
  </si>
  <si>
    <t>09:24:38</t>
  </si>
  <si>
    <t>P023</t>
  </si>
  <si>
    <t>Branded</t>
  </si>
  <si>
    <t>Clothing</t>
  </si>
  <si>
    <t>Branded Logo Tee Shirt</t>
  </si>
  <si>
    <t>10:55:00</t>
  </si>
  <si>
    <t>P024</t>
  </si>
  <si>
    <t>11:21:07</t>
  </si>
  <si>
    <t>P025</t>
  </si>
  <si>
    <t>16:00:46</t>
  </si>
  <si>
    <t>P026</t>
  </si>
  <si>
    <t>Matcha Latte</t>
  </si>
  <si>
    <t>08:58:06</t>
  </si>
  <si>
    <t>P027</t>
  </si>
  <si>
    <t>Blueberry Muffin</t>
  </si>
  <si>
    <t>12:23:48</t>
  </si>
  <si>
    <t>P028</t>
  </si>
  <si>
    <t>13:20:31</t>
  </si>
  <si>
    <t>P029</t>
  </si>
  <si>
    <t>06:03:15</t>
  </si>
  <si>
    <t>P030</t>
  </si>
  <si>
    <t>13:48:34</t>
  </si>
  <si>
    <t>P031</t>
  </si>
  <si>
    <t>Cold Brew</t>
  </si>
  <si>
    <t>08:33:55</t>
  </si>
  <si>
    <t>P032</t>
  </si>
  <si>
    <t>07:48:46</t>
  </si>
  <si>
    <t>P033</t>
  </si>
  <si>
    <t>19:42:41</t>
  </si>
  <si>
    <t>P034</t>
  </si>
  <si>
    <t>Guatemala Casi Cielo</t>
  </si>
  <si>
    <t>20:15:14</t>
  </si>
  <si>
    <t>P035</t>
  </si>
  <si>
    <t>16:35:14</t>
  </si>
  <si>
    <t>P036</t>
  </si>
  <si>
    <t>09:40:03</t>
  </si>
  <si>
    <t>P037</t>
  </si>
  <si>
    <t>07:32:15</t>
  </si>
  <si>
    <t>P038</t>
  </si>
  <si>
    <t>Green Loose Tea</t>
  </si>
  <si>
    <t>14:08:46</t>
  </si>
  <si>
    <t>P039</t>
  </si>
  <si>
    <t>Chamomile Loose Tea</t>
  </si>
  <si>
    <t>11:51:26</t>
  </si>
  <si>
    <t>P040</t>
  </si>
  <si>
    <t>Americano</t>
  </si>
  <si>
    <t>07:27:26</t>
  </si>
  <si>
    <t>P041</t>
  </si>
  <si>
    <t>11:25:46</t>
  </si>
  <si>
    <t>P042</t>
  </si>
  <si>
    <t>06:34:28</t>
  </si>
  <si>
    <t>P043</t>
  </si>
  <si>
    <t>18:29:15</t>
  </si>
  <si>
    <t>P044</t>
  </si>
  <si>
    <t>08:41:34</t>
  </si>
  <si>
    <t>P045</t>
  </si>
  <si>
    <t>14:31:30</t>
  </si>
  <si>
    <t>P046</t>
  </si>
  <si>
    <t>09:00:24</t>
  </si>
  <si>
    <t>P047</t>
  </si>
  <si>
    <t>12:44:46</t>
  </si>
  <si>
    <t>P048</t>
  </si>
  <si>
    <t>12:18:13</t>
  </si>
  <si>
    <t>P049</t>
  </si>
  <si>
    <t>08:03:03</t>
  </si>
  <si>
    <t>P050</t>
  </si>
  <si>
    <t>20:32:05</t>
  </si>
  <si>
    <t>P051</t>
  </si>
  <si>
    <t>15:55:15</t>
  </si>
  <si>
    <t>P052</t>
  </si>
  <si>
    <t>19:38:02</t>
  </si>
  <si>
    <t>P053</t>
  </si>
  <si>
    <t>18:13:42</t>
  </si>
  <si>
    <t>P054</t>
  </si>
  <si>
    <t>13:25:08</t>
  </si>
  <si>
    <t>P055</t>
  </si>
  <si>
    <t>18:59:48</t>
  </si>
  <si>
    <t>P056</t>
  </si>
  <si>
    <t>07:34:13</t>
  </si>
  <si>
    <t>P057</t>
  </si>
  <si>
    <t>08:56:15</t>
  </si>
  <si>
    <t>P058</t>
  </si>
  <si>
    <t>Pastry</t>
  </si>
  <si>
    <t>Croissant</t>
  </si>
  <si>
    <t>06:53:34</t>
  </si>
  <si>
    <t>P059</t>
  </si>
  <si>
    <t>09:52:35</t>
  </si>
  <si>
    <t>P060</t>
  </si>
  <si>
    <t>10:56:06</t>
  </si>
  <si>
    <t>P061</t>
  </si>
  <si>
    <t>09:18:38</t>
  </si>
  <si>
    <t>P062</t>
  </si>
  <si>
    <t>16:40:54</t>
  </si>
  <si>
    <t>P063</t>
  </si>
  <si>
    <t>Branded Logo Mug</t>
  </si>
  <si>
    <t>10:57:58</t>
  </si>
  <si>
    <t>P064</t>
  </si>
  <si>
    <t>09:02:00</t>
  </si>
  <si>
    <t>P065</t>
  </si>
  <si>
    <t>12:35:45</t>
  </si>
  <si>
    <t>P066</t>
  </si>
  <si>
    <t>07:04:56</t>
  </si>
  <si>
    <t>P067</t>
  </si>
  <si>
    <t>Iced Latte</t>
  </si>
  <si>
    <t>16:35:09</t>
  </si>
  <si>
    <t>P068</t>
  </si>
  <si>
    <t>07:57:59</t>
  </si>
  <si>
    <t>P069</t>
  </si>
  <si>
    <t>20:15:42</t>
  </si>
  <si>
    <t>P070</t>
  </si>
  <si>
    <t>15:47:09</t>
  </si>
  <si>
    <t>P071</t>
  </si>
  <si>
    <t>Brewed Chai</t>
  </si>
  <si>
    <t>Chai Latte</t>
  </si>
  <si>
    <t>08:11:47</t>
  </si>
  <si>
    <t>P072</t>
  </si>
  <si>
    <t>Our Old Time Diner Blend</t>
  </si>
  <si>
    <t>06:10:50</t>
  </si>
  <si>
    <t>P073</t>
  </si>
  <si>
    <t>16:14:12</t>
  </si>
  <si>
    <t>P074</t>
  </si>
  <si>
    <t>14:14:01</t>
  </si>
  <si>
    <t>P075</t>
  </si>
  <si>
    <t>15:55:04</t>
  </si>
  <si>
    <t>P076</t>
  </si>
  <si>
    <t>15:53:34</t>
  </si>
  <si>
    <t>P077</t>
  </si>
  <si>
    <t>Brewed Coffee</t>
  </si>
  <si>
    <t>House blend Lg</t>
  </si>
  <si>
    <t>07:37:16</t>
  </si>
  <si>
    <t>P078</t>
  </si>
  <si>
    <t>10:46:50</t>
  </si>
  <si>
    <t>P079</t>
  </si>
  <si>
    <t>07:57:36</t>
  </si>
  <si>
    <t>P080</t>
  </si>
  <si>
    <t>17:33:59</t>
  </si>
  <si>
    <t>13:42:58</t>
  </si>
  <si>
    <t>09:32:19</t>
  </si>
  <si>
    <t>07:44:18</t>
  </si>
  <si>
    <t>09:24:43</t>
  </si>
  <si>
    <t>Spiced Eye Opener Chai</t>
  </si>
  <si>
    <t>09:35:53</t>
  </si>
  <si>
    <t>15:27:50</t>
  </si>
  <si>
    <t>13:28:43</t>
  </si>
  <si>
    <t>17:42:05</t>
  </si>
  <si>
    <t>11:52:48</t>
  </si>
  <si>
    <t>07:09:01</t>
  </si>
  <si>
    <t>Iced Tea</t>
  </si>
  <si>
    <t>Iced Peach Tea</t>
  </si>
  <si>
    <t>15:26:56</t>
  </si>
  <si>
    <t>15:25:15</t>
  </si>
  <si>
    <t>12:11:51</t>
  </si>
  <si>
    <t>15:35:15</t>
  </si>
  <si>
    <t>11:42:33</t>
  </si>
  <si>
    <t>12:52:46</t>
  </si>
  <si>
    <t>10:47:55</t>
  </si>
  <si>
    <t>06:53:40</t>
  </si>
  <si>
    <t>07:15:17</t>
  </si>
  <si>
    <t>06:17:21</t>
  </si>
  <si>
    <t>13:09:14</t>
  </si>
  <si>
    <t>09:26:21</t>
  </si>
  <si>
    <t>12:13:53</t>
  </si>
  <si>
    <t>Hot Chocolate</t>
  </si>
  <si>
    <t>18:24:30</t>
  </si>
  <si>
    <t>08:54:57</t>
  </si>
  <si>
    <t>10:14:17</t>
  </si>
  <si>
    <t>15:21:42</t>
  </si>
  <si>
    <t>08:58:08</t>
  </si>
  <si>
    <t>07:37:36</t>
  </si>
  <si>
    <t>09:55:29</t>
  </si>
  <si>
    <t>08:13:29</t>
  </si>
  <si>
    <t>18:48:53</t>
  </si>
  <si>
    <t>16:47:34</t>
  </si>
  <si>
    <t>13:04:49</t>
  </si>
  <si>
    <t>Morning sunrise chai</t>
  </si>
  <si>
    <t>17:53:01</t>
  </si>
  <si>
    <t>16:42:07</t>
  </si>
  <si>
    <t>Peppermint Tea</t>
  </si>
  <si>
    <t>08:10:38</t>
  </si>
  <si>
    <t>18:37:01</t>
  </si>
  <si>
    <t>12:37:44</t>
  </si>
  <si>
    <t>16:38:51</t>
  </si>
  <si>
    <t>18:23:04</t>
  </si>
  <si>
    <t>09:52:31</t>
  </si>
  <si>
    <t>07:57:53</t>
  </si>
  <si>
    <t>08:41:17</t>
  </si>
  <si>
    <t>10:27:52</t>
  </si>
  <si>
    <t>16:53:59</t>
  </si>
  <si>
    <t>17:48:29</t>
  </si>
  <si>
    <t>06:54:20</t>
  </si>
  <si>
    <t>12:51:16</t>
  </si>
  <si>
    <t>10:00:33</t>
  </si>
  <si>
    <t>08:35:48</t>
  </si>
  <si>
    <t>07:50:01</t>
  </si>
  <si>
    <t>09:44:15</t>
  </si>
  <si>
    <t>19:33:22</t>
  </si>
  <si>
    <t>09:44:29</t>
  </si>
  <si>
    <t>12:07:46</t>
  </si>
  <si>
    <t>14:48:44</t>
  </si>
  <si>
    <t>10:46:37</t>
  </si>
  <si>
    <t>20:18:14</t>
  </si>
  <si>
    <t>20:34:08</t>
  </si>
  <si>
    <t>08:08:40</t>
  </si>
  <si>
    <t>11:30:28</t>
  </si>
  <si>
    <t>09:07:52</t>
  </si>
  <si>
    <t>09:40:43</t>
  </si>
  <si>
    <t>06:15:07</t>
  </si>
  <si>
    <t>13:24:28</t>
  </si>
  <si>
    <t>12:36:39</t>
  </si>
  <si>
    <t>06:42:05</t>
  </si>
  <si>
    <t>09:00:26</t>
  </si>
  <si>
    <t>18:14:18</t>
  </si>
  <si>
    <t>08:43:14</t>
  </si>
  <si>
    <t>07:14:41</t>
  </si>
  <si>
    <t>11:03:10</t>
  </si>
  <si>
    <t>20:29:44</t>
  </si>
  <si>
    <t>08:05:38</t>
  </si>
  <si>
    <t>14:16:01</t>
  </si>
  <si>
    <t>15:52:17</t>
  </si>
  <si>
    <t>08:41:28</t>
  </si>
  <si>
    <t>15:52:31</t>
  </si>
  <si>
    <t>10:21:20</t>
  </si>
  <si>
    <t>13:44:31</t>
  </si>
  <si>
    <t>13:05:20</t>
  </si>
  <si>
    <t>12:55:32</t>
  </si>
  <si>
    <t>07:03:12</t>
  </si>
  <si>
    <t>16:28:48</t>
  </si>
  <si>
    <t>09:28:56</t>
  </si>
  <si>
    <t>08:40:38</t>
  </si>
  <si>
    <t>06:26:05</t>
  </si>
  <si>
    <t>13:53:09</t>
  </si>
  <si>
    <t>14:53:30</t>
  </si>
  <si>
    <t>06:12:58</t>
  </si>
  <si>
    <t>12:17:49</t>
  </si>
  <si>
    <t>08:18:46</t>
  </si>
  <si>
    <t>14:34:30</t>
  </si>
  <si>
    <t>08:59:20</t>
  </si>
  <si>
    <t>14:02:20</t>
  </si>
  <si>
    <t>10:42:50</t>
  </si>
  <si>
    <t>19:32:37</t>
  </si>
  <si>
    <t>07:58:29</t>
  </si>
  <si>
    <t>09:30:50</t>
  </si>
  <si>
    <t>07:05:54</t>
  </si>
  <si>
    <t>18:40:45</t>
  </si>
  <si>
    <t>17:04:15</t>
  </si>
  <si>
    <t>08:27:06</t>
  </si>
  <si>
    <t>14:19:57</t>
  </si>
  <si>
    <t>16:22:23</t>
  </si>
  <si>
    <t>12:43:50</t>
  </si>
  <si>
    <t>12:55:24</t>
  </si>
  <si>
    <t>08:29:40</t>
  </si>
  <si>
    <t>07:00:57</t>
  </si>
  <si>
    <t>18:28:22</t>
  </si>
  <si>
    <t>18:16:29</t>
  </si>
  <si>
    <t>13:15:24</t>
  </si>
  <si>
    <t>09:18:01</t>
  </si>
  <si>
    <t>09:55:43</t>
  </si>
  <si>
    <t>15:49:51</t>
  </si>
  <si>
    <t>18:12:39</t>
  </si>
  <si>
    <t>17:50:28</t>
  </si>
  <si>
    <t>15:58:18</t>
  </si>
  <si>
    <t>14:08:50</t>
  </si>
  <si>
    <t>07:16:58</t>
  </si>
  <si>
    <t>08:29:04</t>
  </si>
  <si>
    <t>18:23:05</t>
  </si>
  <si>
    <t>13:23:43</t>
  </si>
  <si>
    <t>06:23:06</t>
  </si>
  <si>
    <t>07:56:35</t>
  </si>
  <si>
    <t>14:52:29</t>
  </si>
  <si>
    <t>06:08:02</t>
  </si>
  <si>
    <t>08:06:15</t>
  </si>
  <si>
    <t>12:42:47</t>
  </si>
  <si>
    <t>14:47:46</t>
  </si>
  <si>
    <t>14:39:26</t>
  </si>
  <si>
    <t>08:28:28</t>
  </si>
  <si>
    <t>15:23:34</t>
  </si>
  <si>
    <t>08:17:12</t>
  </si>
  <si>
    <t>09:13:41</t>
  </si>
  <si>
    <t>15:08:50</t>
  </si>
  <si>
    <t>14:13:52</t>
  </si>
  <si>
    <t>17:00:17</t>
  </si>
  <si>
    <t>14:42:55</t>
  </si>
  <si>
    <t>12:37:20</t>
  </si>
  <si>
    <t>07:47:26</t>
  </si>
  <si>
    <t>10:28:49</t>
  </si>
  <si>
    <t>09:32:14</t>
  </si>
  <si>
    <t>08:41:01</t>
  </si>
  <si>
    <t>20:43:06</t>
  </si>
  <si>
    <t>10:20:38</t>
  </si>
  <si>
    <t>18:40:37</t>
  </si>
  <si>
    <t>13:33:18</t>
  </si>
  <si>
    <t>16:50:44</t>
  </si>
  <si>
    <t>12:28:56</t>
  </si>
  <si>
    <t>13:25:26</t>
  </si>
  <si>
    <t>11:42:16</t>
  </si>
  <si>
    <t>08:53:05</t>
  </si>
  <si>
    <t>15:51:08</t>
  </si>
  <si>
    <t>09:07:26</t>
  </si>
  <si>
    <t>06:38:19</t>
  </si>
  <si>
    <t>14:42:30</t>
  </si>
  <si>
    <t>08:48:17</t>
  </si>
  <si>
    <t>19:59:42</t>
  </si>
  <si>
    <t>20:17:44</t>
  </si>
  <si>
    <t>18:11:55</t>
  </si>
  <si>
    <t>10:01:05</t>
  </si>
  <si>
    <t>06:26:29</t>
  </si>
  <si>
    <t>18:49:36</t>
  </si>
  <si>
    <t>10:48:39</t>
  </si>
  <si>
    <t>20:27:31</t>
  </si>
  <si>
    <t>20:13:48</t>
  </si>
  <si>
    <t>17:18:43</t>
  </si>
  <si>
    <t>09:14:25</t>
  </si>
  <si>
    <t>10:13:49</t>
  </si>
  <si>
    <t>17:00:31</t>
  </si>
  <si>
    <t>09:24:34</t>
  </si>
  <si>
    <t>08:25:55</t>
  </si>
  <si>
    <t>12:58:04</t>
  </si>
  <si>
    <t>19:40:26</t>
  </si>
  <si>
    <t>14:10:51</t>
  </si>
  <si>
    <t>13:27:54</t>
  </si>
  <si>
    <t>07:05:25</t>
  </si>
  <si>
    <t>13:49:10</t>
  </si>
  <si>
    <t>20:32:12</t>
  </si>
  <si>
    <t>07:06:09</t>
  </si>
  <si>
    <t>12:04:11</t>
  </si>
  <si>
    <t>17:48:37</t>
  </si>
  <si>
    <t>15:28:04</t>
  </si>
  <si>
    <t>14:37:03</t>
  </si>
  <si>
    <t>14:29:28</t>
  </si>
  <si>
    <t>10:41:55</t>
  </si>
  <si>
    <t>09:37:35</t>
  </si>
  <si>
    <t>16:38:30</t>
  </si>
  <si>
    <t>16:51:57</t>
  </si>
  <si>
    <t>17:15:45</t>
  </si>
  <si>
    <t>18:23:58</t>
  </si>
  <si>
    <t>12:38:03</t>
  </si>
  <si>
    <t>12:06:35</t>
  </si>
  <si>
    <t>16:58:38</t>
  </si>
  <si>
    <t>14:42:09</t>
  </si>
  <si>
    <t>14:38:45</t>
  </si>
  <si>
    <t>16:50:21</t>
  </si>
  <si>
    <t>18:42:27</t>
  </si>
  <si>
    <t>09:19:11</t>
  </si>
  <si>
    <t>10:14:08</t>
  </si>
  <si>
    <t>07:49:34</t>
  </si>
  <si>
    <t>13:21:56</t>
  </si>
  <si>
    <t>06:11:53</t>
  </si>
  <si>
    <t>11:26:23</t>
  </si>
  <si>
    <t>12:14:34</t>
  </si>
  <si>
    <t>09:23:43</t>
  </si>
  <si>
    <t>13:49:24</t>
  </si>
  <si>
    <t>06:52:12</t>
  </si>
  <si>
    <t>06:30:55</t>
  </si>
  <si>
    <t>16:54:07</t>
  </si>
  <si>
    <t>10:57:32</t>
  </si>
  <si>
    <t>07:52:28</t>
  </si>
  <si>
    <t>12:32:23</t>
  </si>
  <si>
    <t>15:01:20</t>
  </si>
  <si>
    <t>08:02:18</t>
  </si>
  <si>
    <t>13:00:57</t>
  </si>
  <si>
    <t>07:35:46</t>
  </si>
  <si>
    <t>06:49:18</t>
  </si>
  <si>
    <t>12:15:26</t>
  </si>
  <si>
    <t>12:53:57</t>
  </si>
  <si>
    <t>13:32:36</t>
  </si>
  <si>
    <t>15:39:22</t>
  </si>
  <si>
    <t>20:42:05</t>
  </si>
  <si>
    <t>12:34:32</t>
  </si>
  <si>
    <t>09:55:30</t>
  </si>
  <si>
    <t>16:22:50</t>
  </si>
  <si>
    <t>09:40:06</t>
  </si>
  <si>
    <t>11:22:34</t>
  </si>
  <si>
    <t>07:30:40</t>
  </si>
  <si>
    <t>06:18:12</t>
  </si>
  <si>
    <t>20:32:25</t>
  </si>
  <si>
    <t>16:48:41</t>
  </si>
  <si>
    <t>14:55:41</t>
  </si>
  <si>
    <t>10:27:56</t>
  </si>
  <si>
    <t>08:11:31</t>
  </si>
  <si>
    <t>07:17:51</t>
  </si>
  <si>
    <t>08:38:52</t>
  </si>
  <si>
    <t>12:06:05</t>
  </si>
  <si>
    <t>15:38:45</t>
  </si>
  <si>
    <t>14:28:02</t>
  </si>
  <si>
    <t>09:40:50</t>
  </si>
  <si>
    <t>20:32:51</t>
  </si>
  <si>
    <t>15:43:50</t>
  </si>
  <si>
    <t>12:49:41</t>
  </si>
  <si>
    <t>13:02:38</t>
  </si>
  <si>
    <t>10:28:48</t>
  </si>
  <si>
    <t>10:33:24</t>
  </si>
  <si>
    <t>15:28:13</t>
  </si>
  <si>
    <t>06:07:08</t>
  </si>
  <si>
    <t>07:05:51</t>
  </si>
  <si>
    <t>06:04:35</t>
  </si>
  <si>
    <t>06:45:45</t>
  </si>
  <si>
    <t>17:12:50</t>
  </si>
  <si>
    <t>14:35:36</t>
  </si>
  <si>
    <t>11:56:05</t>
  </si>
  <si>
    <t>07:33:26</t>
  </si>
  <si>
    <t>11:04:28</t>
  </si>
  <si>
    <t>11:56:53</t>
  </si>
  <si>
    <t>08:58:55</t>
  </si>
  <si>
    <t>11:10:10</t>
  </si>
  <si>
    <t>10:16:12</t>
  </si>
  <si>
    <t>13:40:19</t>
  </si>
  <si>
    <t>13:41:10</t>
  </si>
  <si>
    <t>06:02:52</t>
  </si>
  <si>
    <t>13:56:40</t>
  </si>
  <si>
    <t>12:15:51</t>
  </si>
  <si>
    <t>17:44:03</t>
  </si>
  <si>
    <t>14:29:13</t>
  </si>
  <si>
    <t>08:25:08</t>
  </si>
  <si>
    <t>07:15:29</t>
  </si>
  <si>
    <t>14:09:06</t>
  </si>
  <si>
    <t>06:26:15</t>
  </si>
  <si>
    <t>13:48:10</t>
  </si>
  <si>
    <t>19:56:19</t>
  </si>
  <si>
    <t>13:29:15</t>
  </si>
  <si>
    <t>10:18:31</t>
  </si>
  <si>
    <t>14:00:54</t>
  </si>
  <si>
    <t>11:46:23</t>
  </si>
  <si>
    <t>12:03:36</t>
  </si>
  <si>
    <t>19:24:32</t>
  </si>
  <si>
    <t>10:43:39</t>
  </si>
  <si>
    <t>20:50:21</t>
  </si>
  <si>
    <t>18:38:32</t>
  </si>
  <si>
    <t>08:02:08</t>
  </si>
  <si>
    <t>07:29:09</t>
  </si>
  <si>
    <t>07:59:39</t>
  </si>
  <si>
    <t>06:21:32</t>
  </si>
  <si>
    <t>07:36:19</t>
  </si>
  <si>
    <t>14:07:26</t>
  </si>
  <si>
    <t>07:30:16</t>
  </si>
  <si>
    <t>09:30:10</t>
  </si>
  <si>
    <t>17:36:44</t>
  </si>
  <si>
    <t>06:26:09</t>
  </si>
  <si>
    <t>16:45:08</t>
  </si>
  <si>
    <t>09:30:33</t>
  </si>
  <si>
    <t>07:58:34</t>
  </si>
  <si>
    <t>14:49:55</t>
  </si>
  <si>
    <t>13:15:17</t>
  </si>
  <si>
    <t>17:49:18</t>
  </si>
  <si>
    <t>15:30:22</t>
  </si>
  <si>
    <t>16:36:43</t>
  </si>
  <si>
    <t>09:18:02</t>
  </si>
  <si>
    <t>08:16:47</t>
  </si>
  <si>
    <t>15:44:17</t>
  </si>
  <si>
    <t>16:03:42</t>
  </si>
  <si>
    <t>20:06:26</t>
  </si>
  <si>
    <t>10:49:08</t>
  </si>
  <si>
    <t>10:41:59</t>
  </si>
  <si>
    <t>15:20:18</t>
  </si>
  <si>
    <t>09:47:46</t>
  </si>
  <si>
    <t>19:53:25</t>
  </si>
  <si>
    <t>17:00:19</t>
  </si>
  <si>
    <t>10:41:34</t>
  </si>
  <si>
    <t>15:29:17</t>
  </si>
  <si>
    <t>15:41:16</t>
  </si>
  <si>
    <t>07:36:43</t>
  </si>
  <si>
    <t>18:32:20</t>
  </si>
  <si>
    <t>12:08:30</t>
  </si>
  <si>
    <t>16:15:28</t>
  </si>
  <si>
    <t>09:46:36</t>
  </si>
  <si>
    <t>18:15:03</t>
  </si>
  <si>
    <t>10:25:43</t>
  </si>
  <si>
    <t>06:58:18</t>
  </si>
  <si>
    <t>18:09:29</t>
  </si>
  <si>
    <t>07:35:58</t>
  </si>
  <si>
    <t>09:43:48</t>
  </si>
  <si>
    <t>20:45:23</t>
  </si>
  <si>
    <t>20:34:09</t>
  </si>
  <si>
    <t>13:43:13</t>
  </si>
  <si>
    <t>13:28:51</t>
  </si>
  <si>
    <t>11:26:29</t>
  </si>
  <si>
    <t>09:51:19</t>
  </si>
  <si>
    <t>09:47:13</t>
  </si>
  <si>
    <t>14:44:04</t>
  </si>
  <si>
    <t>15:18:26</t>
  </si>
  <si>
    <t>16:28:55</t>
  </si>
  <si>
    <t>16:55:22</t>
  </si>
  <si>
    <t>07:08:46</t>
  </si>
  <si>
    <t>11:43:46</t>
  </si>
  <si>
    <t>06:15:29</t>
  </si>
  <si>
    <t>12:02:51</t>
  </si>
  <si>
    <t>11:13:04</t>
  </si>
  <si>
    <t>17:47:02</t>
  </si>
  <si>
    <t>10:13:48</t>
  </si>
  <si>
    <t>07:20:36</t>
  </si>
  <si>
    <t>07:56:09</t>
  </si>
  <si>
    <t>15:19:17</t>
  </si>
  <si>
    <t>13:43:27</t>
  </si>
  <si>
    <t>07:41:42</t>
  </si>
  <si>
    <t>07:26:26</t>
  </si>
  <si>
    <t>14:48:34</t>
  </si>
  <si>
    <t>07:09:51</t>
  </si>
  <si>
    <t>16:35:33</t>
  </si>
  <si>
    <t>14:21:41</t>
  </si>
  <si>
    <t>07:34:46</t>
  </si>
  <si>
    <t>07:38:38</t>
  </si>
  <si>
    <t>20:13:55</t>
  </si>
  <si>
    <t>10:59:12</t>
  </si>
  <si>
    <t>10:44:38</t>
  </si>
  <si>
    <t>16:20:49</t>
  </si>
  <si>
    <t>19:16:23</t>
  </si>
  <si>
    <t>20:51:46</t>
  </si>
  <si>
    <t>15:20:26</t>
  </si>
  <si>
    <t>10:16:35</t>
  </si>
  <si>
    <t>07:12:21</t>
  </si>
  <si>
    <t>15:35:41</t>
  </si>
  <si>
    <t>12:46:41</t>
  </si>
  <si>
    <t>18:58:56</t>
  </si>
  <si>
    <t>07:52:42</t>
  </si>
  <si>
    <t>11:14:04</t>
  </si>
  <si>
    <t>06:29:23</t>
  </si>
  <si>
    <t>11:00:34</t>
  </si>
  <si>
    <t>06:33:46</t>
  </si>
  <si>
    <t>07:32:52</t>
  </si>
  <si>
    <t>07:58:06</t>
  </si>
  <si>
    <t>14:33:16</t>
  </si>
  <si>
    <t>15:23:25</t>
  </si>
  <si>
    <t>13:52:54</t>
  </si>
  <si>
    <t>20:24:35</t>
  </si>
  <si>
    <t>10:10:05</t>
  </si>
  <si>
    <t>09:54:06</t>
  </si>
  <si>
    <t>17:56:36</t>
  </si>
  <si>
    <t>08:43:59</t>
  </si>
  <si>
    <t>20:59:54</t>
  </si>
  <si>
    <t>06:59:04</t>
  </si>
  <si>
    <t>20:53:54</t>
  </si>
  <si>
    <t>06:48:47</t>
  </si>
  <si>
    <t>18:06:27</t>
  </si>
  <si>
    <t>12:01:40</t>
  </si>
  <si>
    <t>20:22:35</t>
  </si>
  <si>
    <t>07:37:42</t>
  </si>
  <si>
    <t>12:45:04</t>
  </si>
  <si>
    <t>20:45:50</t>
  </si>
  <si>
    <t>13:48:17</t>
  </si>
  <si>
    <t>14:28:35</t>
  </si>
  <si>
    <t>11:01:05</t>
  </si>
  <si>
    <t>13:38:50</t>
  </si>
  <si>
    <t>13:24:49</t>
  </si>
  <si>
    <t>18:33:10</t>
  </si>
  <si>
    <t>06:19:17</t>
  </si>
  <si>
    <t>09:17:26</t>
  </si>
  <si>
    <t>20:16:15</t>
  </si>
  <si>
    <t>18:06:08</t>
  </si>
  <si>
    <t>11:24:51</t>
  </si>
  <si>
    <t>13:52:52</t>
  </si>
  <si>
    <t>09:44:12</t>
  </si>
  <si>
    <t>08:20:18</t>
  </si>
  <si>
    <t>11:24:17</t>
  </si>
  <si>
    <t>10:12:37</t>
  </si>
  <si>
    <t>13:45:13</t>
  </si>
  <si>
    <t>07:43:31</t>
  </si>
  <si>
    <t>20:42:09</t>
  </si>
  <si>
    <t>20:28:38</t>
  </si>
  <si>
    <t>14:02:50</t>
  </si>
  <si>
    <t>12:49:15</t>
  </si>
  <si>
    <t>09:39:02</t>
  </si>
  <si>
    <t>16:00:06</t>
  </si>
  <si>
    <t>14:23:25</t>
  </si>
  <si>
    <t>08:01:30</t>
  </si>
  <si>
    <t>18:07:53</t>
  </si>
  <si>
    <t>16:29:50</t>
  </si>
  <si>
    <t>19:30:06</t>
  </si>
  <si>
    <t>15:19:02</t>
  </si>
  <si>
    <t>13:06:43</t>
  </si>
  <si>
    <t>10:35:27</t>
  </si>
  <si>
    <t>19:40:42</t>
  </si>
  <si>
    <t>17:37:27</t>
  </si>
  <si>
    <t>06:17:48</t>
  </si>
  <si>
    <t>06:11:23</t>
  </si>
  <si>
    <t>10:42:55</t>
  </si>
  <si>
    <t>16:24:39</t>
  </si>
  <si>
    <t>20:39:11</t>
  </si>
  <si>
    <t>07:08:20</t>
  </si>
  <si>
    <t>13:23:44</t>
  </si>
  <si>
    <t>10:38:08</t>
  </si>
  <si>
    <t>20:40:34</t>
  </si>
  <si>
    <t>17:18:08</t>
  </si>
  <si>
    <t>16:03:55</t>
  </si>
  <si>
    <t>11:52:24</t>
  </si>
  <si>
    <t>10:43:31</t>
  </si>
  <si>
    <t>09:05:36</t>
  </si>
  <si>
    <t>06:14:34</t>
  </si>
  <si>
    <t>17:32:07</t>
  </si>
  <si>
    <t>16:52:48</t>
  </si>
  <si>
    <t>20:06:47</t>
  </si>
  <si>
    <t>20:16:22</t>
  </si>
  <si>
    <t>12:13:51</t>
  </si>
  <si>
    <t>15:39:08</t>
  </si>
  <si>
    <t>19:17:38</t>
  </si>
  <si>
    <t>17:36:17</t>
  </si>
  <si>
    <t>08:17:55</t>
  </si>
  <si>
    <t>11:45:20</t>
  </si>
  <si>
    <t>07:40:17</t>
  </si>
  <si>
    <t>20:04:40</t>
  </si>
  <si>
    <t>13:59:56</t>
  </si>
  <si>
    <t>08:37:00</t>
  </si>
  <si>
    <t>14:42:44</t>
  </si>
  <si>
    <t>13:27:52</t>
  </si>
  <si>
    <t>10:53:18</t>
  </si>
  <si>
    <t>07:54:31</t>
  </si>
  <si>
    <t>14:50:53</t>
  </si>
  <si>
    <t>12:29:00</t>
  </si>
  <si>
    <t>15:19:10</t>
  </si>
  <si>
    <t>12:05:23</t>
  </si>
  <si>
    <t>17:19:46</t>
  </si>
  <si>
    <t>12:06:00</t>
  </si>
  <si>
    <t>12:37:14</t>
  </si>
  <si>
    <t>17:44:21</t>
  </si>
  <si>
    <t>10:04:14</t>
  </si>
  <si>
    <t>07:20:23</t>
  </si>
  <si>
    <t>06:43:09</t>
  </si>
  <si>
    <t>15:41:10</t>
  </si>
  <si>
    <t>13:47:09</t>
  </si>
  <si>
    <t>14:57:06</t>
  </si>
  <si>
    <t>08:27:20</t>
  </si>
  <si>
    <t>07:35:38</t>
  </si>
  <si>
    <t>06:56:19</t>
  </si>
  <si>
    <t>10:18:41</t>
  </si>
  <si>
    <t>13:15:31</t>
  </si>
  <si>
    <t>10:59:20</t>
  </si>
  <si>
    <t>11:34:43</t>
  </si>
  <si>
    <t>18:37:04</t>
  </si>
  <si>
    <t>09:50:25</t>
  </si>
  <si>
    <t>12:44:25</t>
  </si>
  <si>
    <t>16:05:19</t>
  </si>
  <si>
    <t>10:34:20</t>
  </si>
  <si>
    <t>13:03:15</t>
  </si>
  <si>
    <t>17:39:38</t>
  </si>
  <si>
    <t>19:00:45</t>
  </si>
  <si>
    <t>07:33:33</t>
  </si>
  <si>
    <t>18:47:49</t>
  </si>
  <si>
    <t>11:17:33</t>
  </si>
  <si>
    <t>08:29:32</t>
  </si>
  <si>
    <t>11:10:16</t>
  </si>
  <si>
    <t>20:54:55</t>
  </si>
  <si>
    <t>11:24:58</t>
  </si>
  <si>
    <t>09:20:15</t>
  </si>
  <si>
    <t>13:36:23</t>
  </si>
  <si>
    <t>08:14:51</t>
  </si>
  <si>
    <t>07:55:18</t>
  </si>
  <si>
    <t>07:29:00</t>
  </si>
  <si>
    <t>07:48:50</t>
  </si>
  <si>
    <t>07:14:34</t>
  </si>
  <si>
    <t>14:24:54</t>
  </si>
  <si>
    <t>08:33:15</t>
  </si>
  <si>
    <t>09:45:17</t>
  </si>
  <si>
    <t>18:57:23</t>
  </si>
  <si>
    <t>11:08:40</t>
  </si>
  <si>
    <t>14:42:08</t>
  </si>
  <si>
    <t>08:59:51</t>
  </si>
  <si>
    <t>08:17:14</t>
  </si>
  <si>
    <t>06:06:10</t>
  </si>
  <si>
    <t>08:07:34</t>
  </si>
  <si>
    <t>09:16:54</t>
  </si>
  <si>
    <t>08:44:38</t>
  </si>
  <si>
    <t>07:45:15</t>
  </si>
  <si>
    <t>07:19:16</t>
  </si>
  <si>
    <t>11:47:35</t>
  </si>
  <si>
    <t>08:07:00</t>
  </si>
  <si>
    <t>10:23:43</t>
  </si>
  <si>
    <t>12:01:04</t>
  </si>
  <si>
    <t>14:57:54</t>
  </si>
  <si>
    <t>06:10:59</t>
  </si>
  <si>
    <t>16:01:24</t>
  </si>
  <si>
    <t>13:13:58</t>
  </si>
  <si>
    <t>17:56:35</t>
  </si>
  <si>
    <t>18:08:26</t>
  </si>
  <si>
    <t>07:51:34</t>
  </si>
  <si>
    <t>09:34:50</t>
  </si>
  <si>
    <t>16:17:11</t>
  </si>
  <si>
    <t>15:57:51</t>
  </si>
  <si>
    <t>08:14:10</t>
  </si>
  <si>
    <t>08:52:50</t>
  </si>
  <si>
    <t>10:59:53</t>
  </si>
  <si>
    <t>11:22:58</t>
  </si>
  <si>
    <t>13:36:09</t>
  </si>
  <si>
    <t>10:31:02</t>
  </si>
  <si>
    <t>11:33:30</t>
  </si>
  <si>
    <t>15:21:45</t>
  </si>
  <si>
    <t>06:09:37</t>
  </si>
  <si>
    <t>08:23:45</t>
  </si>
  <si>
    <t>15:19:20</t>
  </si>
  <si>
    <t>18:31:41</t>
  </si>
  <si>
    <t>12:42:37</t>
  </si>
  <si>
    <t>12:11:46</t>
  </si>
  <si>
    <t>07:38:20</t>
  </si>
  <si>
    <t>11:09:21</t>
  </si>
  <si>
    <t>12:10:40</t>
  </si>
  <si>
    <t>08:16:13</t>
  </si>
  <si>
    <t>09:46:00</t>
  </si>
  <si>
    <t>10:56:26</t>
  </si>
  <si>
    <t>06:53:30</t>
  </si>
  <si>
    <t>09:51:54</t>
  </si>
  <si>
    <t>08:16:06</t>
  </si>
  <si>
    <t>09:10:46</t>
  </si>
  <si>
    <t>07:38:39</t>
  </si>
  <si>
    <t>18:56:27</t>
  </si>
  <si>
    <t>13:12:26</t>
  </si>
  <si>
    <t>14:18:19</t>
  </si>
  <si>
    <t>16:35:53</t>
  </si>
  <si>
    <t>11:27:05</t>
  </si>
  <si>
    <t>07:01:13</t>
  </si>
  <si>
    <t>12:54:07</t>
  </si>
  <si>
    <t>13:16:05</t>
  </si>
  <si>
    <t>15:23:56</t>
  </si>
  <si>
    <t>11:02:16</t>
  </si>
  <si>
    <t>07:53:17</t>
  </si>
  <si>
    <t>09:42:22</t>
  </si>
  <si>
    <t>10:03:53</t>
  </si>
  <si>
    <t>14:43:55</t>
  </si>
  <si>
    <t>13:25:57</t>
  </si>
  <si>
    <t>10:48:28</t>
  </si>
  <si>
    <t>20:02:27</t>
  </si>
  <si>
    <t>13:09:53</t>
  </si>
  <si>
    <t>08:24:35</t>
  </si>
  <si>
    <t>07:33:29</t>
  </si>
  <si>
    <t>07:26:09</t>
  </si>
  <si>
    <t>08:55:34</t>
  </si>
  <si>
    <t>08:41:31</t>
  </si>
  <si>
    <t>08:17:25</t>
  </si>
  <si>
    <t>08:01:21</t>
  </si>
  <si>
    <t>18:54:44</t>
  </si>
  <si>
    <t>07:47:28</t>
  </si>
  <si>
    <t>12:41:05</t>
  </si>
  <si>
    <t>10:47:31</t>
  </si>
  <si>
    <t>20:50:10</t>
  </si>
  <si>
    <t>07:49:54</t>
  </si>
  <si>
    <t>10:53:03</t>
  </si>
  <si>
    <t>20:45:12</t>
  </si>
  <si>
    <t>17:25:40</t>
  </si>
  <si>
    <t>16:38:28</t>
  </si>
  <si>
    <t>08:10:53</t>
  </si>
  <si>
    <t>08:03:10</t>
  </si>
  <si>
    <t>14:13:17</t>
  </si>
  <si>
    <t>18:00:30</t>
  </si>
  <si>
    <t>12:16:38</t>
  </si>
  <si>
    <t>13:54:22</t>
  </si>
  <si>
    <t>09:43:33</t>
  </si>
  <si>
    <t>15:32:42</t>
  </si>
  <si>
    <t>08:43:06</t>
  </si>
  <si>
    <t>09:20:55</t>
  </si>
  <si>
    <t>10:09:33</t>
  </si>
  <si>
    <t>12:20:43</t>
  </si>
  <si>
    <t>08:16:58</t>
  </si>
  <si>
    <t>07:45:36</t>
  </si>
  <si>
    <t>13:34:40</t>
  </si>
  <si>
    <t>09:53:42</t>
  </si>
  <si>
    <t>13:08:47</t>
  </si>
  <si>
    <t>07:57:21</t>
  </si>
  <si>
    <t>11:47:55</t>
  </si>
  <si>
    <t>12:16:37</t>
  </si>
  <si>
    <t>06:03:55</t>
  </si>
  <si>
    <t>09:07:55</t>
  </si>
  <si>
    <t>07:03:55</t>
  </si>
  <si>
    <t>07:36:57</t>
  </si>
  <si>
    <t>20:31:21</t>
  </si>
  <si>
    <t>09:28:17</t>
  </si>
  <si>
    <t>16:50:48</t>
  </si>
  <si>
    <t>08:27:30</t>
  </si>
  <si>
    <t>14:00:57</t>
  </si>
  <si>
    <t>15:43:00</t>
  </si>
  <si>
    <t>13:08:06</t>
  </si>
  <si>
    <t>11:04:52</t>
  </si>
  <si>
    <t>10:46:33</t>
  </si>
  <si>
    <t>09:56:43</t>
  </si>
  <si>
    <t>18:48:12</t>
  </si>
  <si>
    <t>16:46:08</t>
  </si>
  <si>
    <t>20:23:45</t>
  </si>
  <si>
    <t>07:39:03</t>
  </si>
  <si>
    <t>15:53:01</t>
  </si>
  <si>
    <t>19:07:35</t>
  </si>
  <si>
    <t>08:44:43</t>
  </si>
  <si>
    <t>07:06:42</t>
  </si>
  <si>
    <t>15:53:57</t>
  </si>
  <si>
    <t>13:07:50</t>
  </si>
  <si>
    <t>17:12:49</t>
  </si>
  <si>
    <t>07:45:26</t>
  </si>
  <si>
    <t>16:44:59</t>
  </si>
  <si>
    <t>08:00:42</t>
  </si>
  <si>
    <t>08:05:49</t>
  </si>
  <si>
    <t>08:41:14</t>
  </si>
  <si>
    <t>16:03:06</t>
  </si>
  <si>
    <t>14:20:27</t>
  </si>
  <si>
    <t>12:54:08</t>
  </si>
  <si>
    <t>10:39:17</t>
  </si>
  <si>
    <t>17:07:25</t>
  </si>
  <si>
    <t>10:44:54</t>
  </si>
  <si>
    <t>16:08:44</t>
  </si>
  <si>
    <t>11:58:37</t>
  </si>
  <si>
    <t>10:24:49</t>
  </si>
  <si>
    <t>11:58:31</t>
  </si>
  <si>
    <t>09:04:16</t>
  </si>
  <si>
    <t>15:55:43</t>
  </si>
  <si>
    <t>12:33:44</t>
  </si>
  <si>
    <t>08:22:42</t>
  </si>
  <si>
    <t>18:41:59</t>
  </si>
  <si>
    <t>10:55:10</t>
  </si>
  <si>
    <t>12:21:17</t>
  </si>
  <si>
    <t>18:41:24</t>
  </si>
  <si>
    <t>13:51:36</t>
  </si>
  <si>
    <t>07:07:31</t>
  </si>
  <si>
    <t>19:02:35</t>
  </si>
  <si>
    <t>13:35:13</t>
  </si>
  <si>
    <t>09:52:03</t>
  </si>
  <si>
    <t>07:49:39</t>
  </si>
  <si>
    <t>16:07:06</t>
  </si>
  <si>
    <t>13:53:40</t>
  </si>
  <si>
    <t>12:06:02</t>
  </si>
  <si>
    <t>18:06:16</t>
  </si>
  <si>
    <t>16:13:29</t>
  </si>
  <si>
    <t>07:02:59</t>
  </si>
  <si>
    <t>09:37:32</t>
  </si>
  <si>
    <t>08:47:03</t>
  </si>
  <si>
    <t>15:49:58</t>
  </si>
  <si>
    <t>06:24:42</t>
  </si>
  <si>
    <t>12:38:58</t>
  </si>
  <si>
    <t>15:18:28</t>
  </si>
  <si>
    <t>17:35:55</t>
  </si>
  <si>
    <t>09:13:39</t>
  </si>
  <si>
    <t>16:08:45</t>
  </si>
  <si>
    <t>07:07:48</t>
  </si>
  <si>
    <t>17:36:42</t>
  </si>
  <si>
    <t>07:51:00</t>
  </si>
  <si>
    <t>10:03:42</t>
  </si>
  <si>
    <t>16:43:16</t>
  </si>
  <si>
    <t>07:48:34</t>
  </si>
  <si>
    <t>08:39:55</t>
  </si>
  <si>
    <t>15:35:24</t>
  </si>
  <si>
    <t>15:42:03</t>
  </si>
  <si>
    <t>14:03:00</t>
  </si>
  <si>
    <t>14:58:40</t>
  </si>
  <si>
    <t>12:18:28</t>
  </si>
  <si>
    <t>08:07:24</t>
  </si>
  <si>
    <t>09:16:08</t>
  </si>
  <si>
    <t>08:45:59</t>
  </si>
  <si>
    <t>18:03:49</t>
  </si>
  <si>
    <t>13:35:22</t>
  </si>
  <si>
    <t>10:33:04</t>
  </si>
  <si>
    <t>11:22:14</t>
  </si>
  <si>
    <t>19:18:13</t>
  </si>
  <si>
    <t>07:52:48</t>
  </si>
  <si>
    <t>13:15:57</t>
  </si>
  <si>
    <t>12:58:50</t>
  </si>
  <si>
    <t>13:58:33</t>
  </si>
  <si>
    <t>06:02:18</t>
  </si>
  <si>
    <t>17:10:49</t>
  </si>
  <si>
    <t>19:04:13</t>
  </si>
  <si>
    <t>12:13:34</t>
  </si>
  <si>
    <t>14:09:01</t>
  </si>
  <si>
    <t>18:04:03</t>
  </si>
  <si>
    <t>14:52:14</t>
  </si>
  <si>
    <t>07:40:25</t>
  </si>
  <si>
    <t>13:43:07</t>
  </si>
  <si>
    <t>13:02:44</t>
  </si>
  <si>
    <t>10:50:43</t>
  </si>
  <si>
    <t>15:25:52</t>
  </si>
  <si>
    <t>19:14:08</t>
  </si>
  <si>
    <t>18:09:19</t>
  </si>
  <si>
    <t>11:55:35</t>
  </si>
  <si>
    <t>07:38:25</t>
  </si>
  <si>
    <t>20:13:47</t>
  </si>
  <si>
    <t>16:57:41</t>
  </si>
  <si>
    <t>07:39:53</t>
  </si>
  <si>
    <t>18:51:36</t>
  </si>
  <si>
    <t>17:35:04</t>
  </si>
  <si>
    <t>12:46:37</t>
  </si>
  <si>
    <t>13:42:41</t>
  </si>
  <si>
    <t>10:20:31</t>
  </si>
  <si>
    <t>06:37:09</t>
  </si>
  <si>
    <t>09:10:00</t>
  </si>
  <si>
    <t>16:53:23</t>
  </si>
  <si>
    <t>06:28:22</t>
  </si>
  <si>
    <t>09:41:38</t>
  </si>
  <si>
    <t>10:12:16</t>
  </si>
  <si>
    <t>12:54:32</t>
  </si>
  <si>
    <t>18:13:58</t>
  </si>
  <si>
    <t>09:57:34</t>
  </si>
  <si>
    <t>09:57:49</t>
  </si>
  <si>
    <t>15:32:32</t>
  </si>
  <si>
    <t>11:15:54</t>
  </si>
  <si>
    <t>08:10:11</t>
  </si>
  <si>
    <t>11:14:48</t>
  </si>
  <si>
    <t>07:14:02</t>
  </si>
  <si>
    <t>08:30:58</t>
  </si>
  <si>
    <t>11:45:33</t>
  </si>
  <si>
    <t>10:34:36</t>
  </si>
  <si>
    <t>18:37:41</t>
  </si>
  <si>
    <t>10:58:14</t>
  </si>
  <si>
    <t>13:50:30</t>
  </si>
  <si>
    <t>13:10:14</t>
  </si>
  <si>
    <t>06:09:11</t>
  </si>
  <si>
    <t>14:14:26</t>
  </si>
  <si>
    <t>08:13:37</t>
  </si>
  <si>
    <t>20:02:08</t>
  </si>
  <si>
    <t>07:09:03</t>
  </si>
  <si>
    <t>10:36:40</t>
  </si>
  <si>
    <t>07:28:38</t>
  </si>
  <si>
    <t>20:53:26</t>
  </si>
  <si>
    <t>12:46:43</t>
  </si>
  <si>
    <t>13:24:24</t>
  </si>
  <si>
    <t>07:55:58</t>
  </si>
  <si>
    <t>15:06:11</t>
  </si>
  <si>
    <t>08:30:42</t>
  </si>
  <si>
    <t>18:41:27</t>
  </si>
  <si>
    <t>08:44:33</t>
  </si>
  <si>
    <t>08:37:51</t>
  </si>
  <si>
    <t>06:30:49</t>
  </si>
  <si>
    <t>11:12:00</t>
  </si>
  <si>
    <t>12:00:24</t>
  </si>
  <si>
    <t>07:23:06</t>
  </si>
  <si>
    <t>15:54:34</t>
  </si>
  <si>
    <t>11:25:48</t>
  </si>
  <si>
    <t>12:23:35</t>
  </si>
  <si>
    <t>11:36:22</t>
  </si>
  <si>
    <t>10:07:47</t>
  </si>
  <si>
    <t>12:13:32</t>
  </si>
  <si>
    <t>07:24:40</t>
  </si>
  <si>
    <t>08:27:05</t>
  </si>
  <si>
    <t>17:38:02</t>
  </si>
  <si>
    <t>19:03:49</t>
  </si>
  <si>
    <t>10:12:54</t>
  </si>
  <si>
    <t>09:02:50</t>
  </si>
  <si>
    <t>14:10:43</t>
  </si>
  <si>
    <t>10:00:10</t>
  </si>
  <si>
    <t>06:42:25</t>
  </si>
  <si>
    <t>07:04:58</t>
  </si>
  <si>
    <t>15:58:37</t>
  </si>
  <si>
    <t>14:38:12</t>
  </si>
  <si>
    <t>06:11:26</t>
  </si>
  <si>
    <t>08:18:21</t>
  </si>
  <si>
    <t>14:36:30</t>
  </si>
  <si>
    <t>06:29:57</t>
  </si>
  <si>
    <t>07:04:24</t>
  </si>
  <si>
    <t>16:26:22</t>
  </si>
  <si>
    <t>08:53:16</t>
  </si>
  <si>
    <t>14:43:47</t>
  </si>
  <si>
    <t>08:20:22</t>
  </si>
  <si>
    <t>07:59:58</t>
  </si>
  <si>
    <t>08:47:15</t>
  </si>
  <si>
    <t>15:53:39</t>
  </si>
  <si>
    <t>17:43:42</t>
  </si>
  <si>
    <t>16:23:39</t>
  </si>
  <si>
    <t>10:11:48</t>
  </si>
  <si>
    <t>14:48:36</t>
  </si>
  <si>
    <t>08:34:02</t>
  </si>
  <si>
    <t>09:49:11</t>
  </si>
  <si>
    <t>18:44:00</t>
  </si>
  <si>
    <t>06:23:39</t>
  </si>
  <si>
    <t>07:17:30</t>
  </si>
  <si>
    <t>08:31:27</t>
  </si>
  <si>
    <t>06:54:25</t>
  </si>
  <si>
    <t>08:08:36</t>
  </si>
  <si>
    <t>13:35:27</t>
  </si>
  <si>
    <t>10:51:00</t>
  </si>
  <si>
    <t>18:57:54</t>
  </si>
  <si>
    <t>16:19:16</t>
  </si>
  <si>
    <t>09:10:03</t>
  </si>
  <si>
    <t>08:47:21</t>
  </si>
  <si>
    <t>10:35:59</t>
  </si>
  <si>
    <t>13:07:22</t>
  </si>
  <si>
    <t>09:22:20</t>
  </si>
  <si>
    <t>13:56:05</t>
  </si>
  <si>
    <t>10:09:55</t>
  </si>
  <si>
    <t>12:39:36</t>
  </si>
  <si>
    <t>11:14:20</t>
  </si>
  <si>
    <t>09:41:25</t>
  </si>
  <si>
    <t>19:33:28</t>
  </si>
  <si>
    <t>15:46:15</t>
  </si>
  <si>
    <t>07:10:25</t>
  </si>
  <si>
    <t>17:03:01</t>
  </si>
  <si>
    <t>11:16:39</t>
  </si>
  <si>
    <t>18:14:15</t>
  </si>
  <si>
    <t>16:08:08</t>
  </si>
  <si>
    <t>10:22:55</t>
  </si>
  <si>
    <t>06:59:17</t>
  </si>
  <si>
    <t>09:34:11</t>
  </si>
  <si>
    <t>12:40:40</t>
  </si>
  <si>
    <t>13:34:14</t>
  </si>
  <si>
    <t>08:26:16</t>
  </si>
  <si>
    <t>07:33:52</t>
  </si>
  <si>
    <t>16:34:00</t>
  </si>
  <si>
    <t>20:00:49</t>
  </si>
  <si>
    <t>12:35:23</t>
  </si>
  <si>
    <t>08:15:10</t>
  </si>
  <si>
    <t>09:05:27</t>
  </si>
  <si>
    <t>06:47:34</t>
  </si>
  <si>
    <t>18:11:08</t>
  </si>
  <si>
    <t>07:28:17</t>
  </si>
  <si>
    <t>13:01:09</t>
  </si>
  <si>
    <t>09:06:18</t>
  </si>
  <si>
    <t>12:05:09</t>
  </si>
  <si>
    <t>14:26:19</t>
  </si>
  <si>
    <t>16:50:02</t>
  </si>
  <si>
    <t>08:49:25</t>
  </si>
  <si>
    <t>06:12:57</t>
  </si>
  <si>
    <t>07:24:49</t>
  </si>
  <si>
    <t>17:24:43</t>
  </si>
  <si>
    <t>13:46:02</t>
  </si>
  <si>
    <t>13:30:40</t>
  </si>
  <si>
    <t>14:13:07</t>
  </si>
  <si>
    <t>08:10:50</t>
  </si>
  <si>
    <t>18:02:37</t>
  </si>
  <si>
    <t>10:49:05</t>
  </si>
  <si>
    <t>10:39:21</t>
  </si>
  <si>
    <t>12:09:44</t>
  </si>
  <si>
    <t>06:20:35</t>
  </si>
  <si>
    <t>08:01:44</t>
  </si>
  <si>
    <t>15:57:02</t>
  </si>
  <si>
    <t>07:44:31</t>
  </si>
  <si>
    <t>13:46:29</t>
  </si>
  <si>
    <t>08:33:09</t>
  </si>
  <si>
    <t>10:23:29</t>
  </si>
  <si>
    <t>09:56:01</t>
  </si>
  <si>
    <t>10:46:04</t>
  </si>
  <si>
    <t>15:33:43</t>
  </si>
  <si>
    <t>09:18:20</t>
  </si>
  <si>
    <t>12:33:42</t>
  </si>
  <si>
    <t>11:12:06</t>
  </si>
  <si>
    <t>14:41:53</t>
  </si>
  <si>
    <t>19:23:14</t>
  </si>
  <si>
    <t>15:31:59</t>
  </si>
  <si>
    <t>08:35:47</t>
  </si>
  <si>
    <t>06:17:33</t>
  </si>
  <si>
    <t>09:33:06</t>
  </si>
  <si>
    <t>13:12:33</t>
  </si>
  <si>
    <t>06:49:40</t>
  </si>
  <si>
    <t>11:42:27</t>
  </si>
  <si>
    <t>13:21:42</t>
  </si>
  <si>
    <t>09:57:20</t>
  </si>
  <si>
    <t>15:48:40</t>
  </si>
  <si>
    <t>07:28:28</t>
  </si>
  <si>
    <t>15:38:01</t>
  </si>
  <si>
    <t>11:14:13</t>
  </si>
  <si>
    <t>14:32:35</t>
  </si>
  <si>
    <t>11:22:09</t>
  </si>
  <si>
    <t>08:16:51</t>
  </si>
  <si>
    <t>16:58:13</t>
  </si>
  <si>
    <t>16:11:31</t>
  </si>
  <si>
    <t>14:46:51</t>
  </si>
  <si>
    <t>09:22:56</t>
  </si>
  <si>
    <t>13:47:41</t>
  </si>
  <si>
    <t>10:19:33</t>
  </si>
  <si>
    <t>07:32:44</t>
  </si>
  <si>
    <t>18:48:38</t>
  </si>
  <si>
    <t>07:27:18</t>
  </si>
  <si>
    <t>20:30:36</t>
  </si>
  <si>
    <t>11:05:25</t>
  </si>
  <si>
    <t>08:30:35</t>
  </si>
  <si>
    <t>12:36:12</t>
  </si>
  <si>
    <t>17:04:17</t>
  </si>
  <si>
    <t>15:42:26</t>
  </si>
  <si>
    <t>16:20:22</t>
  </si>
  <si>
    <t>14:39:52</t>
  </si>
  <si>
    <t>14:12:43</t>
  </si>
  <si>
    <t>17:15:39</t>
  </si>
  <si>
    <t>08:44:51</t>
  </si>
  <si>
    <t>11:01:21</t>
  </si>
  <si>
    <t>08:34:33</t>
  </si>
  <si>
    <t>20:46:09</t>
  </si>
  <si>
    <t>19:10:03</t>
  </si>
  <si>
    <t>06:29:41</t>
  </si>
  <si>
    <t>14:54:58</t>
  </si>
  <si>
    <t>18:18:55</t>
  </si>
  <si>
    <t>08:45:06</t>
  </si>
  <si>
    <t>12:12:32</t>
  </si>
  <si>
    <t>18:15:59</t>
  </si>
  <si>
    <t>06:25:47</t>
  </si>
  <si>
    <t>14:40:19</t>
  </si>
  <si>
    <t>09:40:16</t>
  </si>
  <si>
    <t>18:09:21</t>
  </si>
  <si>
    <t>20:43:39</t>
  </si>
  <si>
    <t>19:09:27</t>
  </si>
  <si>
    <t>11:08:13</t>
  </si>
  <si>
    <t>17:44:45</t>
  </si>
  <si>
    <t>17:59:36</t>
  </si>
  <si>
    <t>09:34:46</t>
  </si>
  <si>
    <t>16:48:20</t>
  </si>
  <si>
    <t>06:47:59</t>
  </si>
  <si>
    <t>13:06:08</t>
  </si>
  <si>
    <t>08:36:39</t>
  </si>
  <si>
    <t>07:05:44</t>
  </si>
  <si>
    <t>07:54:24</t>
  </si>
  <si>
    <t>14:12:14</t>
  </si>
  <si>
    <t>09:26:14</t>
  </si>
  <si>
    <t>15:59:28</t>
  </si>
  <si>
    <t>07:56:15</t>
  </si>
  <si>
    <t>09:25:39</t>
  </si>
  <si>
    <t>12:06:28</t>
  </si>
  <si>
    <t>16:35:24</t>
  </si>
  <si>
    <t>09:25:56</t>
  </si>
  <si>
    <t>13:27:18</t>
  </si>
  <si>
    <t>17:53:41</t>
  </si>
  <si>
    <t>13:49:37</t>
  </si>
  <si>
    <t>08:26:20</t>
  </si>
  <si>
    <t>06:57:45</t>
  </si>
  <si>
    <t>17:20:44</t>
  </si>
  <si>
    <t>06:07:45</t>
  </si>
  <si>
    <t>17:45:24</t>
  </si>
  <si>
    <t>12:35:24</t>
  </si>
  <si>
    <t>19:55:09</t>
  </si>
  <si>
    <t>16:46:49</t>
  </si>
  <si>
    <t>20:57:08</t>
  </si>
  <si>
    <t>10:29:31</t>
  </si>
  <si>
    <t>15:56:31</t>
  </si>
  <si>
    <t>10:26:28</t>
  </si>
  <si>
    <t>11:40:35</t>
  </si>
  <si>
    <t>13:41:22</t>
  </si>
  <si>
    <t>17:58:05</t>
  </si>
  <si>
    <t>20:43:18</t>
  </si>
  <si>
    <t>15:47:37</t>
  </si>
  <si>
    <t>10:23:57</t>
  </si>
  <si>
    <t>10:30:08</t>
  </si>
  <si>
    <t>15:26:33</t>
  </si>
  <si>
    <t>08:36:46</t>
  </si>
  <si>
    <t>07:46:44</t>
  </si>
  <si>
    <t>10:54:20</t>
  </si>
  <si>
    <t>09:39:36</t>
  </si>
  <si>
    <t>09:51:11</t>
  </si>
  <si>
    <t>08:00:07</t>
  </si>
  <si>
    <t>06:51:39</t>
  </si>
  <si>
    <t>06:22:35</t>
  </si>
  <si>
    <t>20:18:16</t>
  </si>
  <si>
    <t>10:35:20</t>
  </si>
  <si>
    <t>10:25:46</t>
  </si>
  <si>
    <t>14:53:21</t>
  </si>
  <si>
    <t>08:41:08</t>
  </si>
  <si>
    <t>19:50:52</t>
  </si>
  <si>
    <t>16:46:43</t>
  </si>
  <si>
    <t>10:17:53</t>
  </si>
  <si>
    <t>17:34:53</t>
  </si>
  <si>
    <t>19:45:54</t>
  </si>
  <si>
    <t>11:31:56</t>
  </si>
  <si>
    <t>13:13:33</t>
  </si>
  <si>
    <t>08:49:12</t>
  </si>
  <si>
    <t>20:57:32</t>
  </si>
  <si>
    <t>08:19:49</t>
  </si>
  <si>
    <t>19:46:02</t>
  </si>
  <si>
    <t>14:19:59</t>
  </si>
  <si>
    <t>13:06:33</t>
  </si>
  <si>
    <t>12:48:19</t>
  </si>
  <si>
    <t>08:18:17</t>
  </si>
  <si>
    <t>08:07:17</t>
  </si>
  <si>
    <t>08:39:35</t>
  </si>
  <si>
    <t>08:20:17</t>
  </si>
  <si>
    <t>15:04:19</t>
  </si>
  <si>
    <t>10:08:01</t>
  </si>
  <si>
    <t>06:05:27</t>
  </si>
  <si>
    <t>20:22:19</t>
  </si>
  <si>
    <t>17:36:08</t>
  </si>
  <si>
    <t>18:19:43</t>
  </si>
  <si>
    <t>20:14:09</t>
  </si>
  <si>
    <t>08:44:58</t>
  </si>
  <si>
    <t>10:31:01</t>
  </si>
  <si>
    <t>15:30:29</t>
  </si>
  <si>
    <t>14:36:08</t>
  </si>
  <si>
    <t>07:35:41</t>
  </si>
  <si>
    <t>16:37:26</t>
  </si>
  <si>
    <t>08:04:21</t>
  </si>
  <si>
    <t>08:50:21</t>
  </si>
  <si>
    <t>12:53:31</t>
  </si>
  <si>
    <t>13:06:52</t>
  </si>
  <si>
    <t>13:38:06</t>
  </si>
  <si>
    <t>07:42:03</t>
  </si>
  <si>
    <t>17:42:09</t>
  </si>
  <si>
    <t>07:36:50</t>
  </si>
  <si>
    <t>17:05:37</t>
  </si>
  <si>
    <t>20:54:18</t>
  </si>
  <si>
    <t>17:45:35</t>
  </si>
  <si>
    <t>16:27:44</t>
  </si>
  <si>
    <t>14:25:24</t>
  </si>
  <si>
    <t>12:11:30</t>
  </si>
  <si>
    <t>07:53:26</t>
  </si>
  <si>
    <t>10:00:04</t>
  </si>
  <si>
    <t>10:27:08</t>
  </si>
  <si>
    <t>08:38:59</t>
  </si>
  <si>
    <t>15:52:28</t>
  </si>
  <si>
    <t>11:27:38</t>
  </si>
  <si>
    <t>07:17:26</t>
  </si>
  <si>
    <t>08:36:30</t>
  </si>
  <si>
    <t>14:30:44</t>
  </si>
  <si>
    <t>07:05:33</t>
  </si>
  <si>
    <t>17:47:42</t>
  </si>
  <si>
    <t>11:03:57</t>
  </si>
  <si>
    <t>11:29:32</t>
  </si>
  <si>
    <t>13:51:18</t>
  </si>
  <si>
    <t>16:16:03</t>
  </si>
  <si>
    <t>09:03:42</t>
  </si>
  <si>
    <t>14:08:32</t>
  </si>
  <si>
    <t>12:39:17</t>
  </si>
  <si>
    <t>09:11:58</t>
  </si>
  <si>
    <t>17:16:50</t>
  </si>
  <si>
    <t>16:55:02</t>
  </si>
  <si>
    <t>14:48:26</t>
  </si>
  <si>
    <t>17:36:46</t>
  </si>
  <si>
    <t>17:03:10</t>
  </si>
  <si>
    <t>14:47:48</t>
  </si>
  <si>
    <t>16:16:09</t>
  </si>
  <si>
    <t>14:59:51</t>
  </si>
  <si>
    <t>14:43:02</t>
  </si>
  <si>
    <t>13:39:58</t>
  </si>
  <si>
    <t>15:17:51</t>
  </si>
  <si>
    <t>07:49:43</t>
  </si>
  <si>
    <t>17:44:11</t>
  </si>
  <si>
    <t>17:00:53</t>
  </si>
  <si>
    <t>06:06:43</t>
  </si>
  <si>
    <t>16:16:12</t>
  </si>
  <si>
    <t>07:38:42</t>
  </si>
  <si>
    <t>09:54:38</t>
  </si>
  <si>
    <t>15:44:11</t>
  </si>
  <si>
    <t>08:59:04</t>
  </si>
  <si>
    <t>16:44:57</t>
  </si>
  <si>
    <t>16:49:04</t>
  </si>
  <si>
    <t>12:03:16</t>
  </si>
  <si>
    <t>06:59:12</t>
  </si>
  <si>
    <t>09:09:34</t>
  </si>
  <si>
    <t>13:45:16</t>
  </si>
  <si>
    <t>20:46:16</t>
  </si>
  <si>
    <t>13:40:00</t>
  </si>
  <si>
    <t>08:21:57</t>
  </si>
  <si>
    <t>13:27:25</t>
  </si>
  <si>
    <t>12:24:44</t>
  </si>
  <si>
    <t>15:43:19</t>
  </si>
  <si>
    <t>07:34:54</t>
  </si>
  <si>
    <t>15:12:11</t>
  </si>
  <si>
    <t>12:44:24</t>
  </si>
  <si>
    <t>20:56:40</t>
  </si>
  <si>
    <t>09:01:46</t>
  </si>
  <si>
    <t>13:50:34</t>
  </si>
  <si>
    <t>19:53:51</t>
  </si>
  <si>
    <t>07:21:50</t>
  </si>
  <si>
    <t>19:51:41</t>
  </si>
  <si>
    <t>14:55:55</t>
  </si>
  <si>
    <t>07:47:09</t>
  </si>
  <si>
    <t>09:44:41</t>
  </si>
  <si>
    <t>14:52:50</t>
  </si>
  <si>
    <t>07:04:52</t>
  </si>
  <si>
    <t>13:51:12</t>
  </si>
  <si>
    <t>09:07:43</t>
  </si>
  <si>
    <t>13:53:50</t>
  </si>
  <si>
    <t>06:04:07</t>
  </si>
  <si>
    <t>17:23:35</t>
  </si>
  <si>
    <t>20:05:00</t>
  </si>
  <si>
    <t>15:44:51</t>
  </si>
  <si>
    <t>07:17:33</t>
  </si>
  <si>
    <t>15:39:44</t>
  </si>
  <si>
    <t>06:05:40</t>
  </si>
  <si>
    <t>06:35:15</t>
  </si>
  <si>
    <t>09:23:55</t>
  </si>
  <si>
    <t>11:49:40</t>
  </si>
  <si>
    <t>15:07:50</t>
  </si>
  <si>
    <t>14:10:42</t>
  </si>
  <si>
    <t>11:13:27</t>
  </si>
  <si>
    <t>09:06:47</t>
  </si>
  <si>
    <t>20:50:01</t>
  </si>
  <si>
    <t>10:57:15</t>
  </si>
  <si>
    <t>11:12:47</t>
  </si>
  <si>
    <t>08:20:14</t>
  </si>
  <si>
    <t>16:57:14</t>
  </si>
  <si>
    <t>14:56:27</t>
  </si>
  <si>
    <t>08:24:23</t>
  </si>
  <si>
    <t>07:22:17</t>
  </si>
  <si>
    <t>14:44:36</t>
  </si>
  <si>
    <t>14:54:29</t>
  </si>
  <si>
    <t>09:14:56</t>
  </si>
  <si>
    <t>20:35:54</t>
  </si>
  <si>
    <t>07:37:30</t>
  </si>
  <si>
    <t>19:14:57</t>
  </si>
  <si>
    <t>10:02:30</t>
  </si>
  <si>
    <t>13:33:25</t>
  </si>
  <si>
    <t>10:05:35</t>
  </si>
  <si>
    <t>09:22:18</t>
  </si>
  <si>
    <t>20:19:10</t>
  </si>
  <si>
    <t>10:29:49</t>
  </si>
  <si>
    <t>18:29:45</t>
  </si>
  <si>
    <t>08:57:44</t>
  </si>
  <si>
    <t>08:27:48</t>
  </si>
  <si>
    <t>06:05:39</t>
  </si>
  <si>
    <t>14:07:24</t>
  </si>
  <si>
    <t>10:23:11</t>
  </si>
  <si>
    <t>17:45:49</t>
  </si>
  <si>
    <t>11:07:41</t>
  </si>
  <si>
    <t>20:22:57</t>
  </si>
  <si>
    <t>08:03:04</t>
  </si>
  <si>
    <t>17:32:33</t>
  </si>
  <si>
    <t>15:39:23</t>
  </si>
  <si>
    <t>15:05:25</t>
  </si>
  <si>
    <t>17:10:17</t>
  </si>
  <si>
    <t>15:33:40</t>
  </si>
  <si>
    <t>13:34:59</t>
  </si>
  <si>
    <t>07:28:47</t>
  </si>
  <si>
    <t>06:01:55</t>
  </si>
  <si>
    <t>18:37:21</t>
  </si>
  <si>
    <t>13:42:44</t>
  </si>
  <si>
    <t>16:19:36</t>
  </si>
  <si>
    <t>11:14:30</t>
  </si>
  <si>
    <t>07:22:18</t>
  </si>
  <si>
    <t>07:18:11</t>
  </si>
  <si>
    <t>11:11:13</t>
  </si>
  <si>
    <t>08:09:23</t>
  </si>
  <si>
    <t>11:19:07</t>
  </si>
  <si>
    <t>07:59:20</t>
  </si>
  <si>
    <t>13:45:18</t>
  </si>
  <si>
    <t>09:46:58</t>
  </si>
  <si>
    <t>16:57:02</t>
  </si>
  <si>
    <t>09:01:25</t>
  </si>
  <si>
    <t>11:20:03</t>
  </si>
  <si>
    <t>06:12:01</t>
  </si>
  <si>
    <t>07:42:05</t>
  </si>
  <si>
    <t>10:38:38</t>
  </si>
  <si>
    <t>11:09:45</t>
  </si>
  <si>
    <t>13:00:18</t>
  </si>
  <si>
    <t>09:55:35</t>
  </si>
  <si>
    <t>14:51:28</t>
  </si>
  <si>
    <t>17:08:53</t>
  </si>
  <si>
    <t>15:30:55</t>
  </si>
  <si>
    <t>06:48:24</t>
  </si>
  <si>
    <t>11:11:35</t>
  </si>
  <si>
    <t>07:18:35</t>
  </si>
  <si>
    <t>20:16:19</t>
  </si>
  <si>
    <t>07:42:57</t>
  </si>
  <si>
    <t>11:58:44</t>
  </si>
  <si>
    <t>13:31:04</t>
  </si>
  <si>
    <t>14:27:55</t>
  </si>
  <si>
    <t>12:32:46</t>
  </si>
  <si>
    <t>06:03:09</t>
  </si>
  <si>
    <t>12:58:22</t>
  </si>
  <si>
    <t>07:40:59</t>
  </si>
  <si>
    <t>06:52:54</t>
  </si>
  <si>
    <t>07:44:44</t>
  </si>
  <si>
    <t>10:00:08</t>
  </si>
  <si>
    <t>07:26:21</t>
  </si>
  <si>
    <t>12:14:53</t>
  </si>
  <si>
    <t>14:29:58</t>
  </si>
  <si>
    <t>16:22:19</t>
  </si>
  <si>
    <t>08:56:38</t>
  </si>
  <si>
    <t>08:19:01</t>
  </si>
  <si>
    <t>07:09:44</t>
  </si>
  <si>
    <t>13:08:05</t>
  </si>
  <si>
    <t>14:48:27</t>
  </si>
  <si>
    <t>06:32:37</t>
  </si>
  <si>
    <t>19:02:04</t>
  </si>
  <si>
    <t>06:13:37</t>
  </si>
  <si>
    <t>14:10:54</t>
  </si>
  <si>
    <t>17:48:00</t>
  </si>
  <si>
    <t>15:10:57</t>
  </si>
  <si>
    <t>16:58:32</t>
  </si>
  <si>
    <t>09:37:11</t>
  </si>
  <si>
    <t>16:27:13</t>
  </si>
  <si>
    <t>07:07:29</t>
  </si>
  <si>
    <t>18:48:23</t>
  </si>
  <si>
    <t>12:20:31</t>
  </si>
  <si>
    <t>16:47:19</t>
  </si>
  <si>
    <t>11:26:18</t>
  </si>
  <si>
    <t>14:23:11</t>
  </si>
  <si>
    <t>12:28:33</t>
  </si>
  <si>
    <t>15:25:44</t>
  </si>
  <si>
    <t>07:23:12</t>
  </si>
  <si>
    <t>07:14:53</t>
  </si>
  <si>
    <t>08:37:17</t>
  </si>
  <si>
    <t>17:49:29</t>
  </si>
  <si>
    <t>08:14:40</t>
  </si>
  <si>
    <t>20:31:43</t>
  </si>
  <si>
    <t>09:19:39</t>
  </si>
  <si>
    <t>08:12:18</t>
  </si>
  <si>
    <t>16:16:34</t>
  </si>
  <si>
    <t>14:27:56</t>
  </si>
  <si>
    <t>11:28:29</t>
  </si>
  <si>
    <t>12:10:31</t>
  </si>
  <si>
    <t>15:48:07</t>
  </si>
  <si>
    <t>08:35:54</t>
  </si>
  <si>
    <t>20:16:31</t>
  </si>
  <si>
    <t>20:20:03</t>
  </si>
  <si>
    <t>14:51:47</t>
  </si>
  <si>
    <t>08:06:27</t>
  </si>
  <si>
    <t>14:03:42</t>
  </si>
  <si>
    <t>07:05:58</t>
  </si>
  <si>
    <t>06:10:01</t>
  </si>
  <si>
    <t>08:42:55</t>
  </si>
  <si>
    <t>11:01:44</t>
  </si>
  <si>
    <t>17:24:20</t>
  </si>
  <si>
    <t>15:43:13</t>
  </si>
  <si>
    <t>15:39:19</t>
  </si>
  <si>
    <t>10:40:54</t>
  </si>
  <si>
    <t>09:16:03</t>
  </si>
  <si>
    <t>10:06:37</t>
  </si>
  <si>
    <t>20:51:33</t>
  </si>
  <si>
    <t>06:50:04</t>
  </si>
  <si>
    <t>17:42:34</t>
  </si>
  <si>
    <t>13:39:32</t>
  </si>
  <si>
    <t>11:40:45</t>
  </si>
  <si>
    <t>15:42:52</t>
  </si>
  <si>
    <t>11:34:51</t>
  </si>
  <si>
    <t>17:12:23</t>
  </si>
  <si>
    <t>18:48:19</t>
  </si>
  <si>
    <t>10:40:13</t>
  </si>
  <si>
    <t>09:10:16</t>
  </si>
  <si>
    <t>13:09:12</t>
  </si>
  <si>
    <t>18:35:27</t>
  </si>
  <si>
    <t>08:08:01</t>
  </si>
  <si>
    <t>13:54:02</t>
  </si>
  <si>
    <t>13:55:57</t>
  </si>
  <si>
    <t>15:57:26</t>
  </si>
  <si>
    <t>07:07:36</t>
  </si>
  <si>
    <t>15:42:53</t>
  </si>
  <si>
    <t>18:56:05</t>
  </si>
  <si>
    <t>08:47:24</t>
  </si>
  <si>
    <t>08:06:11</t>
  </si>
  <si>
    <t>20:16:55</t>
  </si>
  <si>
    <t>08:07:20</t>
  </si>
  <si>
    <t>17:15:17</t>
  </si>
  <si>
    <t>11:52:19</t>
  </si>
  <si>
    <t>08:58:50</t>
  </si>
  <si>
    <t>17:40:44</t>
  </si>
  <si>
    <t>11:24:00</t>
  </si>
  <si>
    <t>12:19:13</t>
  </si>
  <si>
    <t>10:26:50</t>
  </si>
  <si>
    <t>13:30:47</t>
  </si>
  <si>
    <t>08:52:10</t>
  </si>
  <si>
    <t>10:26:38</t>
  </si>
  <si>
    <t>20:44:01</t>
  </si>
  <si>
    <t>08:08:00</t>
  </si>
  <si>
    <t>14:36:05</t>
  </si>
  <si>
    <t>09:43:26</t>
  </si>
  <si>
    <t>15:16:11</t>
  </si>
  <si>
    <t>07:05:26</t>
  </si>
  <si>
    <t>20:14:01</t>
  </si>
  <si>
    <t>11:29:12</t>
  </si>
  <si>
    <t>08:27:38</t>
  </si>
  <si>
    <t>07:36:07</t>
  </si>
  <si>
    <t>08:52:43</t>
  </si>
  <si>
    <t>12:55:52</t>
  </si>
  <si>
    <t>09:08:27</t>
  </si>
  <si>
    <t>16:11:26</t>
  </si>
  <si>
    <t>11:39:28</t>
  </si>
  <si>
    <t>08:00:30</t>
  </si>
  <si>
    <t>13:13:45</t>
  </si>
  <si>
    <t>14:06:35</t>
  </si>
  <si>
    <t>08:58:22</t>
  </si>
  <si>
    <t>08:39:24</t>
  </si>
  <si>
    <t>06:57:35</t>
  </si>
  <si>
    <t>14:20:45</t>
  </si>
  <si>
    <t>11:07:20</t>
  </si>
  <si>
    <t>17:59:27</t>
  </si>
  <si>
    <t>16:20:27</t>
  </si>
  <si>
    <t>13:35:54</t>
  </si>
  <si>
    <t>17:09:03</t>
  </si>
  <si>
    <t>08:10:45</t>
  </si>
  <si>
    <t>07:02:28</t>
  </si>
  <si>
    <t>09:31:07</t>
  </si>
  <si>
    <t>06:13:55</t>
  </si>
  <si>
    <t>12:57:42</t>
  </si>
  <si>
    <t>19:49:36</t>
  </si>
  <si>
    <t>06:49:31</t>
  </si>
  <si>
    <t>07:43:43</t>
  </si>
  <si>
    <t>11:09:01</t>
  </si>
  <si>
    <t>19:40:17</t>
  </si>
  <si>
    <t>09:39:28</t>
  </si>
  <si>
    <t>12:18:20</t>
  </si>
  <si>
    <t>06:25:16</t>
  </si>
  <si>
    <t>07:54:13</t>
  </si>
  <si>
    <t>20:48:41</t>
  </si>
  <si>
    <t>20:47:51</t>
  </si>
  <si>
    <t>06:32:12</t>
  </si>
  <si>
    <t>20:17:36</t>
  </si>
  <si>
    <t>13:51:23</t>
  </si>
  <si>
    <t>17:02:32</t>
  </si>
  <si>
    <t>11:43:45</t>
  </si>
  <si>
    <t>12:29:27</t>
  </si>
  <si>
    <t>11:08:43</t>
  </si>
  <si>
    <t>14:03:35</t>
  </si>
  <si>
    <t>06:16:37</t>
  </si>
  <si>
    <t>09:47:42</t>
  </si>
  <si>
    <t>14:05:26</t>
  </si>
  <si>
    <t>08:46:29</t>
  </si>
  <si>
    <t>14:58:55</t>
  </si>
  <si>
    <t>07:25:07</t>
  </si>
  <si>
    <t>14:44:25</t>
  </si>
  <si>
    <t>11:52:39</t>
  </si>
  <si>
    <t>17:08:00</t>
  </si>
  <si>
    <t>08:13:30</t>
  </si>
  <si>
    <t>14:54:50</t>
  </si>
  <si>
    <t>16:09:30</t>
  </si>
  <si>
    <t>19:47:44</t>
  </si>
  <si>
    <t>14:55:28</t>
  </si>
  <si>
    <t>11:53:53</t>
  </si>
  <si>
    <t>13:40:54</t>
  </si>
  <si>
    <t>17:47:37</t>
  </si>
  <si>
    <t>13:31:25</t>
  </si>
  <si>
    <t>06:45:03</t>
  </si>
  <si>
    <t>19:04:17</t>
  </si>
  <si>
    <t>14:31:39</t>
  </si>
  <si>
    <t>14:27:01</t>
  </si>
  <si>
    <t>08:22:28</t>
  </si>
  <si>
    <t>14:58:43</t>
  </si>
  <si>
    <t>10:46:45</t>
  </si>
  <si>
    <t>14:51:54</t>
  </si>
  <si>
    <t>07:30:08</t>
  </si>
  <si>
    <t>14:50:26</t>
  </si>
  <si>
    <t>20:35:03</t>
  </si>
  <si>
    <t>06:43:10</t>
  </si>
  <si>
    <t>20:21:27</t>
  </si>
  <si>
    <t>10:16:21</t>
  </si>
  <si>
    <t>17:54:44</t>
  </si>
  <si>
    <t>16:51:29</t>
  </si>
  <si>
    <t>12:02:32</t>
  </si>
  <si>
    <t>15:58:23</t>
  </si>
  <si>
    <t>17:31:46</t>
  </si>
  <si>
    <t>10:07:54</t>
  </si>
  <si>
    <t>09:15:53</t>
  </si>
  <si>
    <t>14:10:05</t>
  </si>
  <si>
    <t>16:40:42</t>
  </si>
  <si>
    <t>15:51:27</t>
  </si>
  <si>
    <t>16:50:43</t>
  </si>
  <si>
    <t>11:45:51</t>
  </si>
  <si>
    <t>16:25:49</t>
  </si>
  <si>
    <t>07:48:02</t>
  </si>
  <si>
    <t>12:25:56</t>
  </si>
  <si>
    <t>06:58:22</t>
  </si>
  <si>
    <t>09:25:28</t>
  </si>
  <si>
    <t>10:22:56</t>
  </si>
  <si>
    <t>10:02:34</t>
  </si>
  <si>
    <t>14:34:18</t>
  </si>
  <si>
    <t>10:21:48</t>
  </si>
  <si>
    <t>11:37:16</t>
  </si>
  <si>
    <t>08:07:46</t>
  </si>
  <si>
    <t>10:32:22</t>
  </si>
  <si>
    <t>08:19:36</t>
  </si>
  <si>
    <t>07:51:47</t>
  </si>
  <si>
    <t>13:19:18</t>
  </si>
  <si>
    <t>14:20:33</t>
  </si>
  <si>
    <t>13:09:45</t>
  </si>
  <si>
    <t>11:03:27</t>
  </si>
  <si>
    <t>10:04:23</t>
  </si>
  <si>
    <t>17:35:33</t>
  </si>
  <si>
    <t>12:27:28</t>
  </si>
  <si>
    <t>11:09:32</t>
  </si>
  <si>
    <t>06:45:32</t>
  </si>
  <si>
    <t>09:30:02</t>
  </si>
  <si>
    <t>10:38:54</t>
  </si>
  <si>
    <t>10:18:02</t>
  </si>
  <si>
    <t>13:23:19</t>
  </si>
  <si>
    <t>12:09:50</t>
  </si>
  <si>
    <t>13:56:18</t>
  </si>
  <si>
    <t>15:07:35</t>
  </si>
  <si>
    <t>16:36:19</t>
  </si>
  <si>
    <t>15:30:53</t>
  </si>
  <si>
    <t>20:42:28</t>
  </si>
  <si>
    <t>06:42:39</t>
  </si>
  <si>
    <t>06:05:55</t>
  </si>
  <si>
    <t>14:41:07</t>
  </si>
  <si>
    <t>18:39:34</t>
  </si>
  <si>
    <t>08:32:57</t>
  </si>
  <si>
    <t>18:17:50</t>
  </si>
  <si>
    <t>19:27:11</t>
  </si>
  <si>
    <t>10:16:05</t>
  </si>
  <si>
    <t>07:09:11</t>
  </si>
  <si>
    <t>11:43:10</t>
  </si>
  <si>
    <t>08:45:03</t>
  </si>
  <si>
    <t>09:26:57</t>
  </si>
  <si>
    <t>09:12:15</t>
  </si>
  <si>
    <t>16:17:03</t>
  </si>
  <si>
    <t>12:30:01</t>
  </si>
  <si>
    <t>09:37:43</t>
  </si>
  <si>
    <t>13:26:28</t>
  </si>
  <si>
    <t>09:00:52</t>
  </si>
  <si>
    <t>10:03:59</t>
  </si>
  <si>
    <t>07:24:22</t>
  </si>
  <si>
    <t>08:10:47</t>
  </si>
  <si>
    <t>14:44:07</t>
  </si>
  <si>
    <t>08:13:39</t>
  </si>
  <si>
    <t>12:16:48</t>
  </si>
  <si>
    <t>14:42:20</t>
  </si>
  <si>
    <t>07:58:44</t>
  </si>
  <si>
    <t>12:57:00</t>
  </si>
  <si>
    <t>08:34:05</t>
  </si>
  <si>
    <t>20:28:43</t>
  </si>
  <si>
    <t>11:22:24</t>
  </si>
  <si>
    <t>16:59:12</t>
  </si>
  <si>
    <t>12:43:58</t>
  </si>
  <si>
    <t>06:52:39</t>
  </si>
  <si>
    <t>13:31:23</t>
  </si>
  <si>
    <t>20:45:38</t>
  </si>
  <si>
    <t>13:55:17</t>
  </si>
  <si>
    <t>16:35:12</t>
  </si>
  <si>
    <t>17:08:16</t>
  </si>
  <si>
    <t>08:54:43</t>
  </si>
  <si>
    <t>08:35:56</t>
  </si>
  <si>
    <t>10:33:29</t>
  </si>
  <si>
    <t>16:03:17</t>
  </si>
  <si>
    <t>18:00:25</t>
  </si>
  <si>
    <t>10:51:01</t>
  </si>
  <si>
    <t>08:58:15</t>
  </si>
  <si>
    <t>16:40:40</t>
  </si>
  <si>
    <t>09:37:51</t>
  </si>
  <si>
    <t>16:06:30</t>
  </si>
  <si>
    <t>10:33:50</t>
  </si>
  <si>
    <t>14:40:28</t>
  </si>
  <si>
    <t>07:24:20</t>
  </si>
  <si>
    <t>13:03:19</t>
  </si>
  <si>
    <t>11:43:03</t>
  </si>
  <si>
    <t>13:06:39</t>
  </si>
  <si>
    <t>08:24:29</t>
  </si>
  <si>
    <t>15:33:21</t>
  </si>
  <si>
    <t>17:38:45</t>
  </si>
  <si>
    <t>08:32:16</t>
  </si>
  <si>
    <t>07:28:11</t>
  </si>
  <si>
    <t>06:19:37</t>
  </si>
  <si>
    <t>14:37:56</t>
  </si>
  <si>
    <t>13:38:21</t>
  </si>
  <si>
    <t>12:37:42</t>
  </si>
  <si>
    <t>08:52:53</t>
  </si>
  <si>
    <t>10:12:40</t>
  </si>
  <si>
    <t>13:30:44</t>
  </si>
  <si>
    <t>11:36:21</t>
  </si>
  <si>
    <t>20:10:06</t>
  </si>
  <si>
    <t>07:40:14</t>
  </si>
  <si>
    <t>14:30:47</t>
  </si>
  <si>
    <t>10:52:00</t>
  </si>
  <si>
    <t>10:35:07</t>
  </si>
  <si>
    <t>15:40:37</t>
  </si>
  <si>
    <t>14:18:11</t>
  </si>
  <si>
    <t>20:54:35</t>
  </si>
  <si>
    <t>07:53:16</t>
  </si>
  <si>
    <t>07:41:50</t>
  </si>
  <si>
    <t>15:29:15</t>
  </si>
  <si>
    <t>13:51:39</t>
  </si>
  <si>
    <t>09:50:12</t>
  </si>
  <si>
    <t>07:23:20</t>
  </si>
  <si>
    <t>07:48:39</t>
  </si>
  <si>
    <t>18:20:15</t>
  </si>
  <si>
    <t>08:37:56</t>
  </si>
  <si>
    <t>09:50:42</t>
  </si>
  <si>
    <t>08:48:32</t>
  </si>
  <si>
    <t>10:20:45</t>
  </si>
  <si>
    <t>07:30:17</t>
  </si>
  <si>
    <t>12:14:57</t>
  </si>
  <si>
    <t>07:13:19</t>
  </si>
  <si>
    <t>16:16:35</t>
  </si>
  <si>
    <t>08:33:22</t>
  </si>
  <si>
    <t>12:28:29</t>
  </si>
  <si>
    <t>17:20:17</t>
  </si>
  <si>
    <t>14:16:41</t>
  </si>
  <si>
    <t>12:53:32</t>
  </si>
  <si>
    <t>09:59:14</t>
  </si>
  <si>
    <t>09:34:12</t>
  </si>
  <si>
    <t>14:19:47</t>
  </si>
  <si>
    <t>20:38:08</t>
  </si>
  <si>
    <t>14:49:19</t>
  </si>
  <si>
    <t>12:52:37</t>
  </si>
  <si>
    <t>15:14:14</t>
  </si>
  <si>
    <t>11:37:50</t>
  </si>
  <si>
    <t>07:50:05</t>
  </si>
  <si>
    <t>12:28:28</t>
  </si>
  <si>
    <t>20:55:08</t>
  </si>
  <si>
    <t>08:14:26</t>
  </si>
  <si>
    <t>14:37:01</t>
  </si>
  <si>
    <t>08:36:40</t>
  </si>
  <si>
    <t>12:04:34</t>
  </si>
  <si>
    <t>07:36:28</t>
  </si>
  <si>
    <t>11:06:43</t>
  </si>
  <si>
    <t>15:11:12</t>
  </si>
  <si>
    <t>09:18:42</t>
  </si>
  <si>
    <t>14:33:00</t>
  </si>
  <si>
    <t>16:10:07</t>
  </si>
  <si>
    <t>18:47:04</t>
  </si>
  <si>
    <t>08:27:52</t>
  </si>
  <si>
    <t>10:36:19</t>
  </si>
  <si>
    <t>07:12:00</t>
  </si>
  <si>
    <t>20:38:51</t>
  </si>
  <si>
    <t>18:56:31</t>
  </si>
  <si>
    <t>12:18:41</t>
  </si>
  <si>
    <t>17:39:52</t>
  </si>
  <si>
    <t>12:57:39</t>
  </si>
  <si>
    <t>13:58:42</t>
  </si>
  <si>
    <t>07:56:55</t>
  </si>
  <si>
    <t>15:58:04</t>
  </si>
  <si>
    <t>07:07:23</t>
  </si>
  <si>
    <t>16:28:10</t>
  </si>
  <si>
    <t>16:01:04</t>
  </si>
  <si>
    <t>14:47:25</t>
  </si>
  <si>
    <t>09:29:04</t>
  </si>
  <si>
    <t>09:08:30</t>
  </si>
  <si>
    <t>10:06:11</t>
  </si>
  <si>
    <t>07:04:42</t>
  </si>
  <si>
    <t>19:22:11</t>
  </si>
  <si>
    <t>12:44:03</t>
  </si>
  <si>
    <t>09:44:19</t>
  </si>
  <si>
    <t>10:49:24</t>
  </si>
  <si>
    <t>11:05:01</t>
  </si>
  <si>
    <t>13:43:42</t>
  </si>
  <si>
    <t>12:02:26</t>
  </si>
  <si>
    <t>18:40:12</t>
  </si>
  <si>
    <t>11:07:14</t>
  </si>
  <si>
    <t>20:00:25</t>
  </si>
  <si>
    <t>17:13:29</t>
  </si>
  <si>
    <t>08:39:23</t>
  </si>
  <si>
    <t>19:49:38</t>
  </si>
  <si>
    <t>07:06:38</t>
  </si>
  <si>
    <t>16:11:40</t>
  </si>
  <si>
    <t>10:21:01</t>
  </si>
  <si>
    <t>17:40:47</t>
  </si>
  <si>
    <t>17:01:39</t>
  </si>
  <si>
    <t>16:48:15</t>
  </si>
  <si>
    <t>16:31:18</t>
  </si>
  <si>
    <t>09:02:15</t>
  </si>
  <si>
    <t>07:17:20</t>
  </si>
  <si>
    <t>10:52:18</t>
  </si>
  <si>
    <t>08:15:13</t>
  </si>
  <si>
    <t>14:44:46</t>
  </si>
  <si>
    <t>09:28:40</t>
  </si>
  <si>
    <t>20:03:40</t>
  </si>
  <si>
    <t>14:37:35</t>
  </si>
  <si>
    <t>16:19:10</t>
  </si>
  <si>
    <t>07:38:15</t>
  </si>
  <si>
    <t>17:12:17</t>
  </si>
  <si>
    <t>18:10:30</t>
  </si>
  <si>
    <t>11:52:50</t>
  </si>
  <si>
    <t>13:48:58</t>
  </si>
  <si>
    <t>15:46:11</t>
  </si>
  <si>
    <t>08:18:24</t>
  </si>
  <si>
    <t>12:08:45</t>
  </si>
  <si>
    <t>10:00:55</t>
  </si>
  <si>
    <t>07:59:26</t>
  </si>
  <si>
    <t>10:19:41</t>
  </si>
  <si>
    <t>07:24:59</t>
  </si>
  <si>
    <t>06:49:58</t>
  </si>
  <si>
    <t>07:44:23</t>
  </si>
  <si>
    <t>20:47:15</t>
  </si>
  <si>
    <t>12:40:45</t>
  </si>
  <si>
    <t>20:38:29</t>
  </si>
  <si>
    <t>11:37:42</t>
  </si>
  <si>
    <t>09:45:58</t>
  </si>
  <si>
    <t>12:58:12</t>
  </si>
  <si>
    <t>11:19:32</t>
  </si>
  <si>
    <t>07:48:56</t>
  </si>
  <si>
    <t>14:17:47</t>
  </si>
  <si>
    <t>08:10:52</t>
  </si>
  <si>
    <t>13:26:33</t>
  </si>
  <si>
    <t>14:11:23</t>
  </si>
  <si>
    <t>07:32:07</t>
  </si>
  <si>
    <t>07:47:11</t>
  </si>
  <si>
    <t>16:58:39</t>
  </si>
  <si>
    <t>11:24:07</t>
  </si>
  <si>
    <t>06:15:30</t>
  </si>
  <si>
    <t>20:48:00</t>
  </si>
  <si>
    <t>06:50:00</t>
  </si>
  <si>
    <t>14:30:48</t>
  </si>
  <si>
    <t>20:43:56</t>
  </si>
  <si>
    <t>08:42:25</t>
  </si>
  <si>
    <t>07:00:29</t>
  </si>
  <si>
    <t>07:38:07</t>
  </si>
  <si>
    <t>09:28:39</t>
  </si>
  <si>
    <t>14:23:55</t>
  </si>
  <si>
    <t>07:38:31</t>
  </si>
  <si>
    <t>12:42:54</t>
  </si>
  <si>
    <t>20:38:12</t>
  </si>
  <si>
    <t>16:50:05</t>
  </si>
  <si>
    <t>13:57:28</t>
  </si>
  <si>
    <t>09:13:10</t>
  </si>
  <si>
    <t>13:10:59</t>
  </si>
  <si>
    <t>12:42:30</t>
  </si>
  <si>
    <t>10:40:46</t>
  </si>
  <si>
    <t>07:59:36</t>
  </si>
  <si>
    <t>17:58:45</t>
  </si>
  <si>
    <t>11:14:16</t>
  </si>
  <si>
    <t>08:05:21</t>
  </si>
  <si>
    <t>10:23:08</t>
  </si>
  <si>
    <t>10:03:37</t>
  </si>
  <si>
    <t>16:49:23</t>
  </si>
  <si>
    <t>15:00:34</t>
  </si>
  <si>
    <t>15:53:14</t>
  </si>
  <si>
    <t>06:18:09</t>
  </si>
  <si>
    <t>10:32:44</t>
  </si>
  <si>
    <t>11:53:13</t>
  </si>
  <si>
    <t>06:51:21</t>
  </si>
  <si>
    <t>15:52:42</t>
  </si>
  <si>
    <t>07:27:43</t>
  </si>
  <si>
    <t>12:04:33</t>
  </si>
  <si>
    <t>08:59:12</t>
  </si>
  <si>
    <t>06:08:20</t>
  </si>
  <si>
    <t>08:41:10</t>
  </si>
  <si>
    <t>20:57:09</t>
  </si>
  <si>
    <t>16:00:23</t>
  </si>
  <si>
    <t>20:27:43</t>
  </si>
  <si>
    <t>11:11:03</t>
  </si>
  <si>
    <t>07:27:09</t>
  </si>
  <si>
    <t>12:15:25</t>
  </si>
  <si>
    <t>11:47:24</t>
  </si>
  <si>
    <t>17:40:41</t>
  </si>
  <si>
    <t>07:07:05</t>
  </si>
  <si>
    <t>11:37:36</t>
  </si>
  <si>
    <t>07:47:06</t>
  </si>
  <si>
    <t>09:44:27</t>
  </si>
  <si>
    <t>15:45:58</t>
  </si>
  <si>
    <t>11:35:52</t>
  </si>
  <si>
    <t>10:33:53</t>
  </si>
  <si>
    <t>10:42:57</t>
  </si>
  <si>
    <t>11:35:28</t>
  </si>
  <si>
    <t>16:13:41</t>
  </si>
  <si>
    <t>18:05:07</t>
  </si>
  <si>
    <t>20:10:27</t>
  </si>
  <si>
    <t>16:33:57</t>
  </si>
  <si>
    <t>09:36:31</t>
  </si>
  <si>
    <t>14:34:32</t>
  </si>
  <si>
    <t>11:02:12</t>
  </si>
  <si>
    <t>08:38:35</t>
  </si>
  <si>
    <t>17:46:39</t>
  </si>
  <si>
    <t>06:24:41</t>
  </si>
  <si>
    <t>18:43:27</t>
  </si>
  <si>
    <t>11:46:17</t>
  </si>
  <si>
    <t>14:50:27</t>
  </si>
  <si>
    <t>18:17:07</t>
  </si>
  <si>
    <t>13:21:40</t>
  </si>
  <si>
    <t>13:09:55</t>
  </si>
  <si>
    <t>07:24:14</t>
  </si>
  <si>
    <t>12:46:56</t>
  </si>
  <si>
    <t>07:22:44</t>
  </si>
  <si>
    <t>15:06:57</t>
  </si>
  <si>
    <t>12:22:51</t>
  </si>
  <si>
    <t>14:37:08</t>
  </si>
  <si>
    <t>06:08:09</t>
  </si>
  <si>
    <t>07:23:45</t>
  </si>
  <si>
    <t>15:28:22</t>
  </si>
  <si>
    <t>07:27:33</t>
  </si>
  <si>
    <t>07:26:49</t>
  </si>
  <si>
    <t>06:46:15</t>
  </si>
  <si>
    <t>20:47:18</t>
  </si>
  <si>
    <t>15:43:32</t>
  </si>
  <si>
    <t>10:43:43</t>
  </si>
  <si>
    <t>09:12:58</t>
  </si>
  <si>
    <t>09:34:47</t>
  </si>
  <si>
    <t>15:43:59</t>
  </si>
  <si>
    <t>14:53:08</t>
  </si>
  <si>
    <t>08:31:24</t>
  </si>
  <si>
    <t>08:58:43</t>
  </si>
  <si>
    <t>07:19:30</t>
  </si>
  <si>
    <t>14:36:25</t>
  </si>
  <si>
    <t>15:57:39</t>
  </si>
  <si>
    <t>09:29:21</t>
  </si>
  <si>
    <t>06:22:56</t>
  </si>
  <si>
    <t>07:06:27</t>
  </si>
  <si>
    <t>20:07:58</t>
  </si>
  <si>
    <t>09:30:25</t>
  </si>
  <si>
    <t>15:57:11</t>
  </si>
  <si>
    <t>13:42:53</t>
  </si>
  <si>
    <t>10:00:22</t>
  </si>
  <si>
    <t>07:10:42</t>
  </si>
  <si>
    <t>13:26:31</t>
  </si>
  <si>
    <t>15:48:48</t>
  </si>
  <si>
    <t>14:07:06</t>
  </si>
  <si>
    <t>12:00:49</t>
  </si>
  <si>
    <t>06:38:47</t>
  </si>
  <si>
    <t>20:18:31</t>
  </si>
  <si>
    <t>16:09:46</t>
  </si>
  <si>
    <t>09:55:16</t>
  </si>
  <si>
    <t>13:54:37</t>
  </si>
  <si>
    <t>13:25:02</t>
  </si>
  <si>
    <t>15:39:12</t>
  </si>
  <si>
    <t>16:19:44</t>
  </si>
  <si>
    <t>14:30:03</t>
  </si>
  <si>
    <t>07:07:17</t>
  </si>
  <si>
    <t>09:15:20</t>
  </si>
  <si>
    <t>18:42:47</t>
  </si>
  <si>
    <t>08:58:38</t>
  </si>
  <si>
    <t>10:31:23</t>
  </si>
  <si>
    <t>11:42:00</t>
  </si>
  <si>
    <t>11:23:47</t>
  </si>
  <si>
    <t>13:41:17</t>
  </si>
  <si>
    <t>19:40:47</t>
  </si>
  <si>
    <t>08:45:28</t>
  </si>
  <si>
    <t>07:46:30</t>
  </si>
  <si>
    <t>08:08:12</t>
  </si>
  <si>
    <t>17:22:57</t>
  </si>
  <si>
    <t>14:04:30</t>
  </si>
  <si>
    <t>09:38:17</t>
  </si>
  <si>
    <t>16:03:50</t>
  </si>
  <si>
    <t>17:43:34</t>
  </si>
  <si>
    <t>17:24:35</t>
  </si>
  <si>
    <t>18:11:00</t>
  </si>
  <si>
    <t>15:54:14</t>
  </si>
  <si>
    <t>11:14:02</t>
  </si>
  <si>
    <t>17:09:56</t>
  </si>
  <si>
    <t>15:15:52</t>
  </si>
  <si>
    <t>15:41:22</t>
  </si>
  <si>
    <t>14:45:56</t>
  </si>
  <si>
    <t>08:57:39</t>
  </si>
  <si>
    <t>12:52:00</t>
  </si>
  <si>
    <t>20:16:01</t>
  </si>
  <si>
    <t>19:16:55</t>
  </si>
  <si>
    <t>06:14:20</t>
  </si>
  <si>
    <t>08:28:14</t>
  </si>
  <si>
    <t>07:57:30</t>
  </si>
  <si>
    <t>15:11:52</t>
  </si>
  <si>
    <t>16:41:18</t>
  </si>
  <si>
    <t>08:52:25</t>
  </si>
  <si>
    <t>12:27:15</t>
  </si>
  <si>
    <t>17:38:06</t>
  </si>
  <si>
    <t>15:48:53</t>
  </si>
  <si>
    <t>12:17:09</t>
  </si>
  <si>
    <t>13:47:52</t>
  </si>
  <si>
    <t>12:48:36</t>
  </si>
  <si>
    <t>09:09:15</t>
  </si>
  <si>
    <t>12:34:07</t>
  </si>
  <si>
    <t>14:32:56</t>
  </si>
  <si>
    <t>17:14:27</t>
  </si>
  <si>
    <t>13:58:56</t>
  </si>
  <si>
    <t>15:10:07</t>
  </si>
  <si>
    <t>08:39:21</t>
  </si>
  <si>
    <t>11:38:09</t>
  </si>
  <si>
    <t>06:11:43</t>
  </si>
  <si>
    <t>08:56:06</t>
  </si>
  <si>
    <t>15:51:58</t>
  </si>
  <si>
    <t>20:09:20</t>
  </si>
  <si>
    <t>10:20:08</t>
  </si>
  <si>
    <t>16:27:30</t>
  </si>
  <si>
    <t>08:51:41</t>
  </si>
  <si>
    <t>12:34:31</t>
  </si>
  <si>
    <t>15:05:37</t>
  </si>
  <si>
    <t>13:05:15</t>
  </si>
  <si>
    <t>08:35:30</t>
  </si>
  <si>
    <t>10:54:54</t>
  </si>
  <si>
    <t>16:53:54</t>
  </si>
  <si>
    <t>12:52:14</t>
  </si>
  <si>
    <t>06:46:01</t>
  </si>
  <si>
    <t>15:44:06</t>
  </si>
  <si>
    <t>06:09:23</t>
  </si>
  <si>
    <t>15:36:53</t>
  </si>
  <si>
    <t>08:47:33</t>
  </si>
  <si>
    <t>20:46:21</t>
  </si>
  <si>
    <t>10:03:56</t>
  </si>
  <si>
    <t>07:45:53</t>
  </si>
  <si>
    <t>09:14:27</t>
  </si>
  <si>
    <t>17:24:08</t>
  </si>
  <si>
    <t>20:25:11</t>
  </si>
  <si>
    <t>10:29:30</t>
  </si>
  <si>
    <t>11:51:23</t>
  </si>
  <si>
    <t>15:06:06</t>
  </si>
  <si>
    <t>17:15:18</t>
  </si>
  <si>
    <t>13:13:38</t>
  </si>
  <si>
    <t>10:36:02</t>
  </si>
  <si>
    <t>14:20:05</t>
  </si>
  <si>
    <t>13:44:43</t>
  </si>
  <si>
    <t>10:06:32</t>
  </si>
  <si>
    <t>16:37:55</t>
  </si>
  <si>
    <t>07:43:29</t>
  </si>
  <si>
    <t>13:51:43</t>
  </si>
  <si>
    <t>11:50:08</t>
  </si>
  <si>
    <t>14:54:27</t>
  </si>
  <si>
    <t>07:38:04</t>
  </si>
  <si>
    <t>13:09:49</t>
  </si>
  <si>
    <t>12:06:29</t>
  </si>
  <si>
    <t>12:17:36</t>
  </si>
  <si>
    <t>13:11:45</t>
  </si>
  <si>
    <t>14:41:59</t>
  </si>
  <si>
    <t>16:23:54</t>
  </si>
  <si>
    <t>09:23:32</t>
  </si>
  <si>
    <t>16:43:26</t>
  </si>
  <si>
    <t>11:02:39</t>
  </si>
  <si>
    <t>07:52:35</t>
  </si>
  <si>
    <t>06:10:36</t>
  </si>
  <si>
    <t>09:42:05</t>
  </si>
  <si>
    <t>16:34:57</t>
  </si>
  <si>
    <t>14:58:59</t>
  </si>
  <si>
    <t>16:21:04</t>
  </si>
  <si>
    <t>12:44:47</t>
  </si>
  <si>
    <t>11:34:09</t>
  </si>
  <si>
    <t>07:02:38</t>
  </si>
  <si>
    <t>09:13:03</t>
  </si>
  <si>
    <t>11:16:40</t>
  </si>
  <si>
    <t>07:25:05</t>
  </si>
  <si>
    <t>08:13:42</t>
  </si>
  <si>
    <t>13:21:48</t>
  </si>
  <si>
    <t>15:30:30</t>
  </si>
  <si>
    <t>20:58:44</t>
  </si>
  <si>
    <t>19:46:42</t>
  </si>
  <si>
    <t>14:09:57</t>
  </si>
  <si>
    <t>13:53:54</t>
  </si>
  <si>
    <t>16:13:47</t>
  </si>
  <si>
    <t>07:24:13</t>
  </si>
  <si>
    <t>10:52:23</t>
  </si>
  <si>
    <t>16:52:55</t>
  </si>
  <si>
    <t>10:26:22</t>
  </si>
  <si>
    <t>13:48:21</t>
  </si>
  <si>
    <t>13:11:35</t>
  </si>
  <si>
    <t>08:18:54</t>
  </si>
  <si>
    <t>10:39:59</t>
  </si>
  <si>
    <t>09:01:39</t>
  </si>
  <si>
    <t>06:28:32</t>
  </si>
  <si>
    <t>06:13:14</t>
  </si>
  <si>
    <t>16:12:54</t>
  </si>
  <si>
    <t>09:58:52</t>
  </si>
  <si>
    <t>12:32:18</t>
  </si>
  <si>
    <t>09:15:00</t>
  </si>
  <si>
    <t>19:50:23</t>
  </si>
  <si>
    <t>08:36:27</t>
  </si>
  <si>
    <t>10:39:41</t>
  </si>
  <si>
    <t>17:40:24</t>
  </si>
  <si>
    <t>17:10:27</t>
  </si>
  <si>
    <t>08:07:40</t>
  </si>
  <si>
    <t>16:10:20</t>
  </si>
  <si>
    <t>11:00:40</t>
  </si>
  <si>
    <t>11:24:01</t>
  </si>
  <si>
    <t>07:15:41</t>
  </si>
  <si>
    <t>07:53:15</t>
  </si>
  <si>
    <t>15:05:59</t>
  </si>
  <si>
    <t>11:29:59</t>
  </si>
  <si>
    <t>11:16:57</t>
  </si>
  <si>
    <t>15:58:53</t>
  </si>
  <si>
    <t>15:26:04</t>
  </si>
  <si>
    <t>07:56:20</t>
  </si>
  <si>
    <t>13:19:00</t>
  </si>
  <si>
    <t>07:30:39</t>
  </si>
  <si>
    <t>15:33:47</t>
  </si>
  <si>
    <t>14:01:33</t>
  </si>
  <si>
    <t>20:57:13</t>
  </si>
  <si>
    <t>07:05:46</t>
  </si>
  <si>
    <t>06:12:05</t>
  </si>
  <si>
    <t>09:47:51</t>
  </si>
  <si>
    <t>Smallize</t>
  </si>
  <si>
    <t>SmaLargeLarge</t>
  </si>
  <si>
    <t>Large</t>
  </si>
  <si>
    <t>ReguLargear</t>
  </si>
  <si>
    <t>Not Defined</t>
  </si>
  <si>
    <t>Sum of Total_bill</t>
  </si>
  <si>
    <t>Count of transaction_id</t>
  </si>
  <si>
    <t>Sum of transaction_qty</t>
  </si>
  <si>
    <t>Total_Sales</t>
  </si>
  <si>
    <t>Total Footfall</t>
  </si>
  <si>
    <t>Avg Bill/Person</t>
  </si>
  <si>
    <t>Avg Order/Person</t>
  </si>
  <si>
    <t>KPI's</t>
  </si>
  <si>
    <t>Row Labels</t>
  </si>
  <si>
    <t>Grand Total</t>
  </si>
  <si>
    <t>Quantity Ordered by Hour</t>
  </si>
  <si>
    <t>Category Sales Distribution</t>
  </si>
  <si>
    <t>Size Distribution</t>
  </si>
  <si>
    <t>Store Location Performance</t>
  </si>
  <si>
    <t>Top 5 Products</t>
  </si>
  <si>
    <t>Friday</t>
  </si>
  <si>
    <t>Monday</t>
  </si>
  <si>
    <t>Saturday</t>
  </si>
  <si>
    <t>Sunday</t>
  </si>
  <si>
    <t>Thursday</t>
  </si>
  <si>
    <t>Tuesday</t>
  </si>
  <si>
    <t>Wednesday</t>
  </si>
  <si>
    <t>Weekday Orders/Sales</t>
  </si>
  <si>
    <t>Column1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</si>
</sst>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6" x14ac:knownFonts="1">
    <font>
      <sz val="11"/>
      <color theme="1"/>
      <name val="Calibri"/>
      <family val="2"/>
      <scheme val="minor"/>
    </font>
    <font>
      <b/>
      <sz val="11"/>
      <color rgb="FFFFFFFF"/>
      <name val="Arial"/>
    </font>
    <font>
      <sz val="8"/>
      <name val="Calibri"/>
      <family val="2"/>
      <scheme val="minor"/>
    </font>
    <font>
      <b/>
      <sz val="12"/>
      <color rgb="FFFF0000"/>
      <name val="Algerian"/>
      <family val="5"/>
    </font>
    <font>
      <b/>
      <sz val="14"/>
      <color rgb="FFFF0000"/>
      <name val="Algerian"/>
      <family val="5"/>
    </font>
    <font>
      <b/>
      <sz val="11"/>
      <color rgb="FFFFFFFF"/>
      <name val="Arial"/>
      <family val="2"/>
    </font>
  </fonts>
  <fills count="5">
    <fill>
      <patternFill patternType="none"/>
    </fill>
    <fill>
      <patternFill patternType="gray125"/>
    </fill>
    <fill>
      <patternFill patternType="solid">
        <fgColor rgb="FF3B5A7A"/>
      </patternFill>
    </fill>
    <fill>
      <patternFill patternType="solid">
        <fgColor rgb="FFFFFF00"/>
        <bgColor indexed="64"/>
      </patternFill>
    </fill>
    <fill>
      <patternFill patternType="solid">
        <fgColor rgb="FF3B5A7A"/>
        <bgColor indexed="64"/>
      </patternFill>
    </fill>
  </fills>
  <borders count="1">
    <border>
      <left/>
      <right/>
      <top/>
      <bottom/>
      <diagonal/>
    </border>
  </borders>
  <cellStyleXfs count="1">
    <xf numFmtId="0" fontId="0" fillId="0" borderId="0"/>
  </cellStyleXfs>
  <cellXfs count="15">
    <xf numFmtId="0" fontId="0" fillId="0" borderId="0" xfId="0"/>
    <xf numFmtId="0" fontId="1" fillId="2" borderId="0" xfId="0" applyFont="1" applyFill="1" applyAlignment="1">
      <alignment horizontal="center"/>
    </xf>
    <xf numFmtId="0" fontId="0" fillId="0" borderId="0" xfId="0" applyAlignment="1">
      <alignment horizontal="center"/>
    </xf>
    <xf numFmtId="14" fontId="1" fillId="2" borderId="0" xfId="0" applyNumberFormat="1" applyFont="1" applyFill="1" applyAlignment="1">
      <alignment horizontal="center"/>
    </xf>
    <xf numFmtId="14" fontId="0" fillId="0" borderId="0" xfId="0" applyNumberFormat="1" applyAlignment="1">
      <alignment horizontal="center"/>
    </xf>
    <xf numFmtId="164" fontId="0" fillId="0" borderId="0" xfId="0" applyNumberFormat="1"/>
    <xf numFmtId="2" fontId="0" fillId="0" borderId="0" xfId="0" applyNumberFormat="1"/>
    <xf numFmtId="0" fontId="0" fillId="0" borderId="0" xfId="0" pivotButton="1"/>
    <xf numFmtId="0" fontId="0" fillId="0" borderId="0" xfId="0" applyAlignment="1">
      <alignment horizontal="left"/>
    </xf>
    <xf numFmtId="3" fontId="0" fillId="0" borderId="0" xfId="0" applyNumberFormat="1"/>
    <xf numFmtId="0" fontId="4" fillId="3" borderId="0" xfId="0" applyFont="1" applyFill="1" applyAlignment="1">
      <alignment horizontal="center"/>
    </xf>
    <xf numFmtId="0" fontId="3" fillId="3" borderId="0" xfId="0" applyFont="1" applyFill="1" applyAlignment="1">
      <alignment horizontal="center"/>
    </xf>
    <xf numFmtId="0" fontId="0" fillId="3" borderId="0" xfId="0" applyFill="1" applyAlignment="1">
      <alignment horizontal="center"/>
    </xf>
    <xf numFmtId="0" fontId="0" fillId="0" borderId="0" xfId="0" applyNumberFormat="1"/>
    <xf numFmtId="0" fontId="5" fillId="4" borderId="0" xfId="0" applyFont="1" applyFill="1" applyAlignment="1">
      <alignment horizontal="center"/>
    </xf>
  </cellXfs>
  <cellStyles count="1">
    <cellStyle name="Normal" xfId="0" builtinId="0"/>
  </cellStyles>
  <dxfs count="10">
    <dxf>
      <numFmt numFmtId="0" formatCode="General"/>
    </dxf>
    <dxf>
      <fill>
        <patternFill>
          <bgColor rgb="FFFFC7CE"/>
        </patternFill>
      </fill>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dxf>
    <dxf>
      <numFmt numFmtId="164" formatCode="&quot;₹&quot;\ #,##0.00"/>
    </dxf>
    <dxf>
      <numFmt numFmtId="164" formatCode="&quot;₹&quot;\ #,##0.00"/>
    </dxf>
    <dxf>
      <numFmt numFmtId="19" formatCode="dd/mm/yyyy"/>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1"/>
        <color rgb="FFFFFFFF"/>
        <name val="Arial"/>
        <scheme val="none"/>
      </font>
      <fill>
        <patternFill patternType="solid">
          <fgColor indexed="64"/>
          <bgColor rgb="FF3B5A7A"/>
        </patternFill>
      </fill>
      <alignment horizontal="center" vertical="bottom" textRotation="0" wrapText="0" indent="0" justifyLastLine="0" shrinkToFit="0" readingOrder="0"/>
    </dxf>
  </dxfs>
  <tableStyles count="0" defaultTableStyle="TableStyleMedium9" defaultPivotStyle="PivotStyleLight16"/>
  <colors>
    <mruColors>
      <color rgb="FF49260C"/>
      <color rgb="FFFDF9F3"/>
      <color rgb="FFC59A70"/>
      <color rgb="FF46230B"/>
      <color rgb="FF2B1B12"/>
      <color rgb="FFFFF7ED"/>
      <color rgb="FF5C3A21"/>
      <color rgb="FFC47A3D"/>
      <color rgb="FF4D290D"/>
      <color rgb="FFFCF3E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4.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5" Type="http://schemas.openxmlformats.org/officeDocument/2006/relationships/pivotCacheDefinition" Target="pivotCache/pivotCacheDefinition2.xml"/><Relationship Id="rId15" Type="http://schemas.openxmlformats.org/officeDocument/2006/relationships/theme" Target="theme/theme1.xml"/><Relationship Id="rId10" Type="http://schemas.openxmlformats.org/officeDocument/2006/relationships/pivotCacheDefinition" Target="pivotCache/pivotCacheDefinition7.xml"/><Relationship Id="rId19" Type="http://schemas.openxmlformats.org/officeDocument/2006/relationships/powerPivotData" Target="model/item.data"/><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[Coffee_Shop.xlsx]Pivot_Table!PivotTable2</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5C3A2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B1B1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6784634667846343E-2"/>
          <c:y val="0.15339494699160128"/>
          <c:w val="0.9074651625746516"/>
          <c:h val="0.73645153517830098"/>
        </c:manualLayout>
      </c:layout>
      <c:lineChart>
        <c:grouping val="standard"/>
        <c:varyColors val="0"/>
        <c:ser>
          <c:idx val="0"/>
          <c:order val="0"/>
          <c:tx>
            <c:strRef>
              <c:f>Pivot_Table!$B$9</c:f>
              <c:strCache>
                <c:ptCount val="1"/>
                <c:pt idx="0">
                  <c:v>Total</c:v>
                </c:pt>
              </c:strCache>
            </c:strRef>
          </c:tx>
          <c:spPr>
            <a:ln w="28575" cap="rnd">
              <a:solidFill>
                <a:srgbClr val="5C3A21"/>
              </a:solidFill>
              <a:round/>
            </a:ln>
            <a:effectLst/>
          </c:spPr>
          <c:marker>
            <c:symbol val="none"/>
          </c:marker>
          <c:cat>
            <c:strRef>
              <c:f>Pivot_Table!$A$10:$A$25</c:f>
              <c:strCache>
                <c:ptCount val="15"/>
                <c:pt idx="0">
                  <c:v>6</c:v>
                </c:pt>
                <c:pt idx="1">
                  <c:v>7</c:v>
                </c:pt>
                <c:pt idx="2">
                  <c:v>8</c:v>
                </c:pt>
                <c:pt idx="3">
                  <c:v>9</c:v>
                </c:pt>
                <c:pt idx="4">
                  <c:v>10</c:v>
                </c:pt>
                <c:pt idx="5">
                  <c:v>11</c:v>
                </c:pt>
                <c:pt idx="6">
                  <c:v>12</c:v>
                </c:pt>
                <c:pt idx="7">
                  <c:v>13</c:v>
                </c:pt>
                <c:pt idx="8">
                  <c:v>14</c:v>
                </c:pt>
                <c:pt idx="9">
                  <c:v>15</c:v>
                </c:pt>
                <c:pt idx="10">
                  <c:v>16</c:v>
                </c:pt>
                <c:pt idx="11">
                  <c:v>17</c:v>
                </c:pt>
                <c:pt idx="12">
                  <c:v>18</c:v>
                </c:pt>
                <c:pt idx="13">
                  <c:v>19</c:v>
                </c:pt>
                <c:pt idx="14">
                  <c:v>20</c:v>
                </c:pt>
              </c:strCache>
            </c:strRef>
          </c:cat>
          <c:val>
            <c:numRef>
              <c:f>Pivot_Table!$B$10:$B$25</c:f>
              <c:numCache>
                <c:formatCode>General</c:formatCode>
                <c:ptCount val="15"/>
                <c:pt idx="0">
                  <c:v>294</c:v>
                </c:pt>
                <c:pt idx="1">
                  <c:v>561</c:v>
                </c:pt>
                <c:pt idx="2">
                  <c:v>511</c:v>
                </c:pt>
                <c:pt idx="3">
                  <c:v>416</c:v>
                </c:pt>
                <c:pt idx="4">
                  <c:v>407</c:v>
                </c:pt>
                <c:pt idx="5">
                  <c:v>332</c:v>
                </c:pt>
                <c:pt idx="6">
                  <c:v>348</c:v>
                </c:pt>
                <c:pt idx="7">
                  <c:v>390</c:v>
                </c:pt>
                <c:pt idx="8">
                  <c:v>370</c:v>
                </c:pt>
                <c:pt idx="9">
                  <c:v>343</c:v>
                </c:pt>
                <c:pt idx="10">
                  <c:v>308</c:v>
                </c:pt>
                <c:pt idx="11">
                  <c:v>224</c:v>
                </c:pt>
                <c:pt idx="12">
                  <c:v>185</c:v>
                </c:pt>
                <c:pt idx="13">
                  <c:v>119</c:v>
                </c:pt>
                <c:pt idx="14">
                  <c:v>242</c:v>
                </c:pt>
              </c:numCache>
            </c:numRef>
          </c:val>
          <c:smooth val="0"/>
          <c:extLst>
            <c:ext xmlns:c16="http://schemas.microsoft.com/office/drawing/2014/chart" uri="{C3380CC4-5D6E-409C-BE32-E72D297353CC}">
              <c16:uniqueId val="{00000000-4DC1-4A7E-8688-5B3F5320BA24}"/>
            </c:ext>
          </c:extLst>
        </c:ser>
        <c:dLbls>
          <c:showLegendKey val="0"/>
          <c:showVal val="0"/>
          <c:showCatName val="0"/>
          <c:showSerName val="0"/>
          <c:showPercent val="0"/>
          <c:showBubbleSize val="0"/>
        </c:dLbls>
        <c:smooth val="0"/>
        <c:axId val="1845182127"/>
        <c:axId val="1845181167"/>
      </c:lineChart>
      <c:catAx>
        <c:axId val="184518212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2B1B12"/>
                </a:solidFill>
                <a:latin typeface="+mn-lt"/>
                <a:ea typeface="+mn-ea"/>
                <a:cs typeface="+mn-cs"/>
              </a:defRPr>
            </a:pPr>
            <a:endParaRPr lang="en-US"/>
          </a:p>
        </c:txPr>
        <c:crossAx val="1845181167"/>
        <c:crosses val="autoZero"/>
        <c:auto val="1"/>
        <c:lblAlgn val="ctr"/>
        <c:lblOffset val="100"/>
        <c:noMultiLvlLbl val="0"/>
      </c:catAx>
      <c:valAx>
        <c:axId val="1845181167"/>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2B1B12"/>
                </a:solidFill>
                <a:latin typeface="+mn-lt"/>
                <a:ea typeface="+mn-ea"/>
                <a:cs typeface="+mn-cs"/>
              </a:defRPr>
            </a:pPr>
            <a:endParaRPr lang="en-US"/>
          </a:p>
        </c:txPr>
        <c:crossAx val="18451821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rgbClr val="2B1B12"/>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[Coffee_Shop.xlsx]Pivot_Table!PivotTable3</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bg1"/>
                    </a:solidFill>
                  </a:ln>
                  <a:solidFill>
                    <a:schemeClr val="bg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rgbClr val="C59A70"/>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rgbClr val="46230B"/>
          </a:solidFill>
          <a:ln w="19050">
            <a:solidFill>
              <a:schemeClr val="lt1"/>
            </a:solidFill>
          </a:ln>
          <a:effectLst/>
        </c:spPr>
      </c:pivotFmt>
      <c:pivotFmt>
        <c:idx val="14"/>
        <c:spPr>
          <a:solidFill>
            <a:schemeClr val="accent3">
              <a:lumMod val="75000"/>
            </a:schemeClr>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tx2">
              <a:lumMod val="75000"/>
            </a:schemeClr>
          </a:solidFill>
          <a:ln w="19050">
            <a:solidFill>
              <a:schemeClr val="lt1"/>
            </a:solidFill>
          </a:ln>
          <a:effectLst/>
        </c:spPr>
      </c:pivotFmt>
      <c:pivotFmt>
        <c:idx val="17"/>
        <c:spPr>
          <a:solidFill>
            <a:schemeClr val="accent5">
              <a:lumMod val="75000"/>
            </a:schemeClr>
          </a:solidFill>
          <a:ln w="19050">
            <a:solidFill>
              <a:schemeClr val="lt1"/>
            </a:solidFill>
          </a:ln>
          <a:effectLst/>
        </c:spPr>
      </c:pivotFmt>
      <c:pivotFmt>
        <c:idx val="18"/>
        <c:spPr>
          <a:solidFill>
            <a:schemeClr val="accent6">
              <a:lumMod val="75000"/>
            </a:schemeClr>
          </a:solidFill>
          <a:ln w="19050">
            <a:solidFill>
              <a:schemeClr val="lt1"/>
            </a:solidFill>
          </a:ln>
          <a:effectLst/>
        </c:spPr>
      </c:pivotFmt>
    </c:pivotFmts>
    <c:plotArea>
      <c:layout>
        <c:manualLayout>
          <c:layoutTarget val="inner"/>
          <c:xMode val="edge"/>
          <c:yMode val="edge"/>
          <c:x val="0.17696540880503145"/>
          <c:y val="0.13925554056268902"/>
          <c:w val="0.45517320555056412"/>
          <c:h val="0.81894938672689765"/>
        </c:manualLayout>
      </c:layout>
      <c:doughnutChart>
        <c:varyColors val="1"/>
        <c:ser>
          <c:idx val="0"/>
          <c:order val="0"/>
          <c:tx>
            <c:strRef>
              <c:f>Pivot_Table!$B$29</c:f>
              <c:strCache>
                <c:ptCount val="1"/>
                <c:pt idx="0">
                  <c:v>Total</c:v>
                </c:pt>
              </c:strCache>
            </c:strRef>
          </c:tx>
          <c:dPt>
            <c:idx val="0"/>
            <c:bubble3D val="0"/>
            <c:spPr>
              <a:solidFill>
                <a:srgbClr val="C59A70"/>
              </a:solidFill>
              <a:ln w="19050">
                <a:solidFill>
                  <a:schemeClr val="lt1"/>
                </a:solidFill>
              </a:ln>
              <a:effectLst/>
            </c:spPr>
            <c:extLst>
              <c:ext xmlns:c16="http://schemas.microsoft.com/office/drawing/2014/chart" uri="{C3380CC4-5D6E-409C-BE32-E72D297353CC}">
                <c16:uniqueId val="{00000001-6CD0-4102-88C3-557016429BB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CD0-4102-88C3-557016429BBD}"/>
              </c:ext>
            </c:extLst>
          </c:dPt>
          <c:dPt>
            <c:idx val="2"/>
            <c:bubble3D val="0"/>
            <c:spPr>
              <a:solidFill>
                <a:srgbClr val="46230B"/>
              </a:solidFill>
              <a:ln w="19050">
                <a:solidFill>
                  <a:schemeClr val="lt1"/>
                </a:solidFill>
              </a:ln>
              <a:effectLst/>
            </c:spPr>
            <c:extLst>
              <c:ext xmlns:c16="http://schemas.microsoft.com/office/drawing/2014/chart" uri="{C3380CC4-5D6E-409C-BE32-E72D297353CC}">
                <c16:uniqueId val="{00000005-6CD0-4102-88C3-557016429BBD}"/>
              </c:ext>
            </c:extLst>
          </c:dPt>
          <c:dPt>
            <c:idx val="3"/>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07-6CD0-4102-88C3-557016429BB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CD0-4102-88C3-557016429BBD}"/>
              </c:ext>
            </c:extLst>
          </c:dPt>
          <c:dPt>
            <c:idx val="5"/>
            <c:bubble3D val="0"/>
            <c:spPr>
              <a:solidFill>
                <a:schemeClr val="tx2">
                  <a:lumMod val="75000"/>
                </a:schemeClr>
              </a:solidFill>
              <a:ln w="19050">
                <a:solidFill>
                  <a:schemeClr val="lt1"/>
                </a:solidFill>
              </a:ln>
              <a:effectLst/>
            </c:spPr>
            <c:extLst>
              <c:ext xmlns:c16="http://schemas.microsoft.com/office/drawing/2014/chart" uri="{C3380CC4-5D6E-409C-BE32-E72D297353CC}">
                <c16:uniqueId val="{0000000B-6CD0-4102-88C3-557016429BBD}"/>
              </c:ext>
            </c:extLst>
          </c:dPt>
          <c:dPt>
            <c:idx val="6"/>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D-6CD0-4102-88C3-557016429BBD}"/>
              </c:ext>
            </c:extLst>
          </c:dPt>
          <c:dPt>
            <c:idx val="7"/>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F-6CD0-4102-88C3-557016429BB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bg1"/>
                      </a:solidFill>
                    </a:ln>
                    <a:solidFill>
                      <a:schemeClr val="bg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Pivot_Table!$A$30:$A$38</c:f>
              <c:strCache>
                <c:ptCount val="8"/>
                <c:pt idx="0">
                  <c:v>Bakery</c:v>
                </c:pt>
                <c:pt idx="1">
                  <c:v>Branded</c:v>
                </c:pt>
                <c:pt idx="2">
                  <c:v>Coffee</c:v>
                </c:pt>
                <c:pt idx="3">
                  <c:v>Coffee Beans</c:v>
                </c:pt>
                <c:pt idx="4">
                  <c:v>Drinking Chocolate</c:v>
                </c:pt>
                <c:pt idx="5">
                  <c:v>Loose Tea</c:v>
                </c:pt>
                <c:pt idx="6">
                  <c:v>Packaged Chocolate</c:v>
                </c:pt>
                <c:pt idx="7">
                  <c:v>Tea</c:v>
                </c:pt>
              </c:strCache>
            </c:strRef>
          </c:cat>
          <c:val>
            <c:numRef>
              <c:f>Pivot_Table!$B$30:$B$38</c:f>
              <c:numCache>
                <c:formatCode>General</c:formatCode>
                <c:ptCount val="8"/>
                <c:pt idx="0">
                  <c:v>2951.25</c:v>
                </c:pt>
                <c:pt idx="1">
                  <c:v>5064</c:v>
                </c:pt>
                <c:pt idx="2">
                  <c:v>5467.75</c:v>
                </c:pt>
                <c:pt idx="3">
                  <c:v>5203</c:v>
                </c:pt>
                <c:pt idx="4">
                  <c:v>1250</c:v>
                </c:pt>
                <c:pt idx="5">
                  <c:v>2071</c:v>
                </c:pt>
                <c:pt idx="6">
                  <c:v>2489.5</c:v>
                </c:pt>
                <c:pt idx="7">
                  <c:v>3251.75</c:v>
                </c:pt>
              </c:numCache>
            </c:numRef>
          </c:val>
          <c:extLst>
            <c:ext xmlns:c16="http://schemas.microsoft.com/office/drawing/2014/chart" uri="{C3380CC4-5D6E-409C-BE32-E72D297353CC}">
              <c16:uniqueId val="{00000010-6CD0-4102-88C3-557016429BBD}"/>
            </c:ext>
          </c:extLst>
        </c:ser>
        <c:dLbls>
          <c:showLegendKey val="0"/>
          <c:showVal val="0"/>
          <c:showCatName val="0"/>
          <c:showSerName val="0"/>
          <c:showPercent val="1"/>
          <c:showBubbleSize val="0"/>
          <c:showLeaderLines val="1"/>
        </c:dLbls>
        <c:firstSliceAng val="0"/>
        <c:holeSize val="44"/>
      </c:doughnutChart>
      <c:spPr>
        <a:noFill/>
        <a:ln>
          <a:noFill/>
        </a:ln>
        <a:effectLst/>
      </c:spPr>
    </c:plotArea>
    <c:legend>
      <c:legendPos val="r"/>
      <c:layout>
        <c:manualLayout>
          <c:xMode val="edge"/>
          <c:yMode val="edge"/>
          <c:x val="0.68548941798941798"/>
          <c:y val="0.17779015125831563"/>
          <c:w val="0.282814465408805"/>
          <c:h val="0.7945537878331473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[Coffee_Shop.xlsx]Pivot_Table!PivotTable5</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bg1"/>
                    </a:solidFill>
                  </a:ln>
                  <a:solidFill>
                    <a:schemeClr val="bg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rgbClr val="46230B"/>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5">
              <a:lumMod val="75000"/>
            </a:schemeClr>
          </a:solidFill>
          <a:ln w="19050">
            <a:solidFill>
              <a:schemeClr val="lt1"/>
            </a:solidFill>
          </a:ln>
          <a:effectLst/>
        </c:spPr>
      </c:pivotFmt>
      <c:pivotFmt>
        <c:idx val="10"/>
        <c:spPr>
          <a:solidFill>
            <a:srgbClr val="92D050"/>
          </a:solidFill>
          <a:ln w="19050">
            <a:solidFill>
              <a:schemeClr val="lt1"/>
            </a:solidFill>
          </a:ln>
          <a:effectLst/>
        </c:spPr>
      </c:pivotFmt>
    </c:pivotFmts>
    <c:plotArea>
      <c:layout>
        <c:manualLayout>
          <c:layoutTarget val="inner"/>
          <c:xMode val="edge"/>
          <c:yMode val="edge"/>
          <c:x val="0.1917635020465209"/>
          <c:y val="9.0648012123290531E-2"/>
          <c:w val="0.44512154337626036"/>
          <c:h val="0.80086439738031467"/>
        </c:manualLayout>
      </c:layout>
      <c:doughnutChart>
        <c:varyColors val="1"/>
        <c:ser>
          <c:idx val="0"/>
          <c:order val="0"/>
          <c:tx>
            <c:strRef>
              <c:f>Pivot_Table!$H$3</c:f>
              <c:strCache>
                <c:ptCount val="1"/>
                <c:pt idx="0">
                  <c:v>Total</c:v>
                </c:pt>
              </c:strCache>
            </c:strRef>
          </c:tx>
          <c:dPt>
            <c:idx val="0"/>
            <c:bubble3D val="0"/>
            <c:spPr>
              <a:solidFill>
                <a:srgbClr val="46230B"/>
              </a:solidFill>
              <a:ln w="19050">
                <a:solidFill>
                  <a:schemeClr val="lt1"/>
                </a:solidFill>
              </a:ln>
              <a:effectLst/>
            </c:spPr>
            <c:extLst>
              <c:ext xmlns:c16="http://schemas.microsoft.com/office/drawing/2014/chart" uri="{C3380CC4-5D6E-409C-BE32-E72D297353CC}">
                <c16:uniqueId val="{00000001-BCB2-455B-9FBC-8AD65513179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CB2-455B-9FBC-8AD65513179D}"/>
              </c:ext>
            </c:extLst>
          </c:dPt>
          <c:dPt>
            <c:idx val="2"/>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5-BCB2-455B-9FBC-8AD65513179D}"/>
              </c:ext>
            </c:extLst>
          </c:dPt>
          <c:dPt>
            <c:idx val="3"/>
            <c:bubble3D val="0"/>
            <c:spPr>
              <a:solidFill>
                <a:srgbClr val="92D050"/>
              </a:solidFill>
              <a:ln w="19050">
                <a:solidFill>
                  <a:schemeClr val="lt1"/>
                </a:solidFill>
              </a:ln>
              <a:effectLst/>
            </c:spPr>
            <c:extLst>
              <c:ext xmlns:c16="http://schemas.microsoft.com/office/drawing/2014/chart" uri="{C3380CC4-5D6E-409C-BE32-E72D297353CC}">
                <c16:uniqueId val="{00000007-BCB2-455B-9FBC-8AD65513179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bg1"/>
                      </a:solidFill>
                    </a:ln>
                    <a:solidFill>
                      <a:schemeClr val="bg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Pivot_Table!$G$4:$G$8</c:f>
              <c:strCache>
                <c:ptCount val="4"/>
                <c:pt idx="0">
                  <c:v>Large</c:v>
                </c:pt>
                <c:pt idx="1">
                  <c:v>Not Defined</c:v>
                </c:pt>
                <c:pt idx="2">
                  <c:v>ReguLargear</c:v>
                </c:pt>
                <c:pt idx="3">
                  <c:v>SmaLargeLarge</c:v>
                </c:pt>
              </c:strCache>
            </c:strRef>
          </c:cat>
          <c:val>
            <c:numRef>
              <c:f>Pivot_Table!$H$4:$H$8</c:f>
              <c:numCache>
                <c:formatCode>General</c:formatCode>
                <c:ptCount val="4"/>
                <c:pt idx="0">
                  <c:v>395</c:v>
                </c:pt>
                <c:pt idx="1">
                  <c:v>927</c:v>
                </c:pt>
                <c:pt idx="2">
                  <c:v>379</c:v>
                </c:pt>
                <c:pt idx="3">
                  <c:v>299</c:v>
                </c:pt>
              </c:numCache>
            </c:numRef>
          </c:val>
          <c:extLst>
            <c:ext xmlns:c16="http://schemas.microsoft.com/office/drawing/2014/chart" uri="{C3380CC4-5D6E-409C-BE32-E72D297353CC}">
              <c16:uniqueId val="{00000008-BCB2-455B-9FBC-8AD65513179D}"/>
            </c:ext>
          </c:extLst>
        </c:ser>
        <c:dLbls>
          <c:showLegendKey val="0"/>
          <c:showVal val="0"/>
          <c:showCatName val="0"/>
          <c:showSerName val="0"/>
          <c:showPercent val="1"/>
          <c:showBubbleSize val="0"/>
          <c:showLeaderLines val="1"/>
        </c:dLbls>
        <c:firstSliceAng val="0"/>
        <c:holeSize val="44"/>
      </c:doughnutChart>
      <c:spPr>
        <a:noFill/>
        <a:ln>
          <a:noFill/>
        </a:ln>
        <a:effectLst/>
      </c:spPr>
    </c:plotArea>
    <c:legend>
      <c:legendPos val="r"/>
      <c:layout>
        <c:manualLayout>
          <c:xMode val="edge"/>
          <c:yMode val="edge"/>
          <c:x val="0.68487171807926528"/>
          <c:y val="0.29612413195418913"/>
          <c:w val="0.24856643705700307"/>
          <c:h val="0.4590762847527037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[Coffee_Shop.xlsx]Pivot_Table!PivotTable7</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49260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Pivot_Table!$L$3</c:f>
              <c:strCache>
                <c:ptCount val="1"/>
                <c:pt idx="0">
                  <c:v>Total</c:v>
                </c:pt>
              </c:strCache>
            </c:strRef>
          </c:tx>
          <c:spPr>
            <a:solidFill>
              <a:srgbClr val="49260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Pivot_Table!$K$4:$K$9</c:f>
              <c:strCache>
                <c:ptCount val="5"/>
                <c:pt idx="0">
                  <c:v>Brewed Tea</c:v>
                </c:pt>
                <c:pt idx="1">
                  <c:v>Clothing</c:v>
                </c:pt>
                <c:pt idx="2">
                  <c:v>Coffee Beans</c:v>
                </c:pt>
                <c:pt idx="3">
                  <c:v>Loose Tea</c:v>
                </c:pt>
                <c:pt idx="4">
                  <c:v>Packaged Chocolate</c:v>
                </c:pt>
              </c:strCache>
            </c:strRef>
          </c:cat>
          <c:val>
            <c:numRef>
              <c:f>Pivot_Table!$L$4:$L$9</c:f>
              <c:numCache>
                <c:formatCode>General</c:formatCode>
                <c:ptCount val="5"/>
                <c:pt idx="0">
                  <c:v>1161</c:v>
                </c:pt>
                <c:pt idx="1">
                  <c:v>5064</c:v>
                </c:pt>
                <c:pt idx="2">
                  <c:v>5203</c:v>
                </c:pt>
                <c:pt idx="3">
                  <c:v>2071</c:v>
                </c:pt>
                <c:pt idx="4">
                  <c:v>2489.5</c:v>
                </c:pt>
              </c:numCache>
            </c:numRef>
          </c:val>
          <c:extLst>
            <c:ext xmlns:c16="http://schemas.microsoft.com/office/drawing/2014/chart" uri="{C3380CC4-5D6E-409C-BE32-E72D297353CC}">
              <c16:uniqueId val="{00000000-1D51-4ACE-8D96-6B0D8662DDD6}"/>
            </c:ext>
          </c:extLst>
        </c:ser>
        <c:dLbls>
          <c:showLegendKey val="0"/>
          <c:showVal val="0"/>
          <c:showCatName val="0"/>
          <c:showSerName val="0"/>
          <c:showPercent val="0"/>
          <c:showBubbleSize val="0"/>
        </c:dLbls>
        <c:gapWidth val="182"/>
        <c:axId val="643850527"/>
        <c:axId val="643848607"/>
      </c:barChart>
      <c:catAx>
        <c:axId val="64385052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3848607"/>
        <c:crosses val="autoZero"/>
        <c:auto val="1"/>
        <c:lblAlgn val="ctr"/>
        <c:lblOffset val="100"/>
        <c:noMultiLvlLbl val="0"/>
      </c:catAx>
      <c:valAx>
        <c:axId val="643848607"/>
        <c:scaling>
          <c:orientation val="minMax"/>
        </c:scaling>
        <c:delete val="1"/>
        <c:axPos val="b"/>
        <c:numFmt formatCode="General" sourceLinked="1"/>
        <c:majorTickMark val="out"/>
        <c:minorTickMark val="none"/>
        <c:tickLblPos val="nextTo"/>
        <c:crossAx val="643850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[Coffee_Shop.xlsx]Pivot_Table!PivotTable6</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46230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layout>
            <c:manualLayout>
              <c:x val="-4.7544174902665472E-2"/>
              <c:y val="-5.885545147460711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layout>
            <c:manualLayout>
              <c:x val="-5.3883398223020865E-2"/>
              <c:y val="-5.29699063271464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layout>
            <c:manualLayout>
              <c:x val="-4.7544050114804857E-2"/>
              <c:y val="-6.474076490769205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6.2377957472297088E-2"/>
                  <c:h val="8.2309580601613919E-2"/>
                </c:manualLayout>
              </c15:layout>
            </c:ext>
          </c:extLst>
        </c:dLbl>
      </c:pivotFmt>
    </c:pivotFmts>
    <c:plotArea>
      <c:layout/>
      <c:barChart>
        <c:barDir val="col"/>
        <c:grouping val="clustered"/>
        <c:varyColors val="0"/>
        <c:ser>
          <c:idx val="0"/>
          <c:order val="0"/>
          <c:tx>
            <c:strRef>
              <c:f>Pivot_Table!$H$22</c:f>
              <c:strCache>
                <c:ptCount val="1"/>
                <c:pt idx="0">
                  <c:v>Total</c:v>
                </c:pt>
              </c:strCache>
            </c:strRef>
          </c:tx>
          <c:spPr>
            <a:solidFill>
              <a:srgbClr val="46230B"/>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Pivot_Table!$G$23:$G$26</c:f>
              <c:strCache>
                <c:ptCount val="3"/>
                <c:pt idx="0">
                  <c:v>Astoria</c:v>
                </c:pt>
                <c:pt idx="1">
                  <c:v>Hell's Kitchen</c:v>
                </c:pt>
                <c:pt idx="2">
                  <c:v>Lower Manhattan</c:v>
                </c:pt>
              </c:strCache>
            </c:strRef>
          </c:cat>
          <c:val>
            <c:numRef>
              <c:f>Pivot_Table!$H$23:$H$26</c:f>
              <c:numCache>
                <c:formatCode>General</c:formatCode>
                <c:ptCount val="3"/>
                <c:pt idx="0">
                  <c:v>8902.5</c:v>
                </c:pt>
                <c:pt idx="1">
                  <c:v>9250.25</c:v>
                </c:pt>
                <c:pt idx="2">
                  <c:v>9595.5</c:v>
                </c:pt>
              </c:numCache>
            </c:numRef>
          </c:val>
          <c:extLst>
            <c:ext xmlns:c16="http://schemas.microsoft.com/office/drawing/2014/chart" uri="{C3380CC4-5D6E-409C-BE32-E72D297353CC}">
              <c16:uniqueId val="{00000000-B78A-48A2-9F2B-EE1FEBAD1499}"/>
            </c:ext>
          </c:extLst>
        </c:ser>
        <c:dLbls>
          <c:dLblPos val="outEnd"/>
          <c:showLegendKey val="0"/>
          <c:showVal val="1"/>
          <c:showCatName val="0"/>
          <c:showSerName val="0"/>
          <c:showPercent val="0"/>
          <c:showBubbleSize val="0"/>
        </c:dLbls>
        <c:gapWidth val="219"/>
        <c:axId val="599084767"/>
        <c:axId val="599072287"/>
      </c:barChart>
      <c:catAx>
        <c:axId val="59908476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9072287"/>
        <c:crosses val="autoZero"/>
        <c:auto val="1"/>
        <c:lblAlgn val="ctr"/>
        <c:lblOffset val="100"/>
        <c:noMultiLvlLbl val="0"/>
      </c:catAx>
      <c:valAx>
        <c:axId val="599072287"/>
        <c:scaling>
          <c:orientation val="minMax"/>
        </c:scaling>
        <c:delete val="1"/>
        <c:axPos val="l"/>
        <c:numFmt formatCode="General" sourceLinked="1"/>
        <c:majorTickMark val="none"/>
        <c:minorTickMark val="none"/>
        <c:tickLblPos val="nextTo"/>
        <c:crossAx val="599084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[Coffee_Shop.xlsx]Pivot_Table!PivotTable8</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46230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Pivot_Table!$O$22</c:f>
              <c:strCache>
                <c:ptCount val="1"/>
                <c:pt idx="0">
                  <c:v>Total</c:v>
                </c:pt>
              </c:strCache>
            </c:strRef>
          </c:tx>
          <c:spPr>
            <a:solidFill>
              <a:srgbClr val="46230B"/>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Pivot_Table!$N$23:$N$30</c:f>
              <c:strCache>
                <c:ptCount val="7"/>
                <c:pt idx="0">
                  <c:v>Friday</c:v>
                </c:pt>
                <c:pt idx="1">
                  <c:v>Monday</c:v>
                </c:pt>
                <c:pt idx="2">
                  <c:v>Saturday</c:v>
                </c:pt>
                <c:pt idx="3">
                  <c:v>Sunday</c:v>
                </c:pt>
                <c:pt idx="4">
                  <c:v>Thursday</c:v>
                </c:pt>
                <c:pt idx="5">
                  <c:v>Tuesday</c:v>
                </c:pt>
                <c:pt idx="6">
                  <c:v>Wednesday</c:v>
                </c:pt>
              </c:strCache>
            </c:strRef>
          </c:cat>
          <c:val>
            <c:numRef>
              <c:f>Pivot_Table!$O$23:$O$30</c:f>
              <c:numCache>
                <c:formatCode>General</c:formatCode>
                <c:ptCount val="7"/>
                <c:pt idx="0">
                  <c:v>3954.5</c:v>
                </c:pt>
                <c:pt idx="1">
                  <c:v>3924.25</c:v>
                </c:pt>
                <c:pt idx="2">
                  <c:v>3824.5</c:v>
                </c:pt>
                <c:pt idx="3">
                  <c:v>3949</c:v>
                </c:pt>
                <c:pt idx="4">
                  <c:v>4053</c:v>
                </c:pt>
                <c:pt idx="5">
                  <c:v>3960.5</c:v>
                </c:pt>
                <c:pt idx="6">
                  <c:v>4082.5</c:v>
                </c:pt>
              </c:numCache>
            </c:numRef>
          </c:val>
          <c:extLst>
            <c:ext xmlns:c16="http://schemas.microsoft.com/office/drawing/2014/chart" uri="{C3380CC4-5D6E-409C-BE32-E72D297353CC}">
              <c16:uniqueId val="{00000000-B31C-414B-8032-49E364B01EEF}"/>
            </c:ext>
          </c:extLst>
        </c:ser>
        <c:dLbls>
          <c:showLegendKey val="0"/>
          <c:showVal val="0"/>
          <c:showCatName val="0"/>
          <c:showSerName val="0"/>
          <c:showPercent val="0"/>
          <c:showBubbleSize val="0"/>
        </c:dLbls>
        <c:gapWidth val="218"/>
        <c:overlap val="-49"/>
        <c:axId val="599063647"/>
        <c:axId val="599060287"/>
      </c:barChart>
      <c:catAx>
        <c:axId val="599063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9060287"/>
        <c:crosses val="autoZero"/>
        <c:auto val="1"/>
        <c:lblAlgn val="ctr"/>
        <c:lblOffset val="100"/>
        <c:noMultiLvlLbl val="0"/>
      </c:catAx>
      <c:valAx>
        <c:axId val="599060287"/>
        <c:scaling>
          <c:orientation val="minMax"/>
        </c:scaling>
        <c:delete val="1"/>
        <c:axPos val="l"/>
        <c:numFmt formatCode="General" sourceLinked="1"/>
        <c:majorTickMark val="none"/>
        <c:minorTickMark val="none"/>
        <c:tickLblPos val="nextTo"/>
        <c:crossAx val="5990636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[Coffee_Shop.xlsx]Pivot_Table!PivotTable2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Pivot_Table!$B$9</c:f>
              <c:strCache>
                <c:ptCount val="1"/>
                <c:pt idx="0">
                  <c:v>Total</c:v>
                </c:pt>
              </c:strCache>
            </c:strRef>
          </c:tx>
          <c:spPr>
            <a:ln w="28575" cap="rnd">
              <a:solidFill>
                <a:schemeClr val="accent1"/>
              </a:solidFill>
              <a:round/>
            </a:ln>
            <a:effectLst/>
          </c:spPr>
          <c:marker>
            <c:symbol val="none"/>
          </c:marker>
          <c:cat>
            <c:strRef>
              <c:f>Pivot_Table!$A$10:$A$25</c:f>
              <c:strCache>
                <c:ptCount val="15"/>
                <c:pt idx="0">
                  <c:v>6</c:v>
                </c:pt>
                <c:pt idx="1">
                  <c:v>7</c:v>
                </c:pt>
                <c:pt idx="2">
                  <c:v>8</c:v>
                </c:pt>
                <c:pt idx="3">
                  <c:v>9</c:v>
                </c:pt>
                <c:pt idx="4">
                  <c:v>10</c:v>
                </c:pt>
                <c:pt idx="5">
                  <c:v>11</c:v>
                </c:pt>
                <c:pt idx="6">
                  <c:v>12</c:v>
                </c:pt>
                <c:pt idx="7">
                  <c:v>13</c:v>
                </c:pt>
                <c:pt idx="8">
                  <c:v>14</c:v>
                </c:pt>
                <c:pt idx="9">
                  <c:v>15</c:v>
                </c:pt>
                <c:pt idx="10">
                  <c:v>16</c:v>
                </c:pt>
                <c:pt idx="11">
                  <c:v>17</c:v>
                </c:pt>
                <c:pt idx="12">
                  <c:v>18</c:v>
                </c:pt>
                <c:pt idx="13">
                  <c:v>19</c:v>
                </c:pt>
                <c:pt idx="14">
                  <c:v>20</c:v>
                </c:pt>
              </c:strCache>
            </c:strRef>
          </c:cat>
          <c:val>
            <c:numRef>
              <c:f>Pivot_Table!$B$10:$B$25</c:f>
              <c:numCache>
                <c:formatCode>General</c:formatCode>
                <c:ptCount val="15"/>
                <c:pt idx="0">
                  <c:v>294</c:v>
                </c:pt>
                <c:pt idx="1">
                  <c:v>561</c:v>
                </c:pt>
                <c:pt idx="2">
                  <c:v>511</c:v>
                </c:pt>
                <c:pt idx="3">
                  <c:v>416</c:v>
                </c:pt>
                <c:pt idx="4">
                  <c:v>407</c:v>
                </c:pt>
                <c:pt idx="5">
                  <c:v>332</c:v>
                </c:pt>
                <c:pt idx="6">
                  <c:v>348</c:v>
                </c:pt>
                <c:pt idx="7">
                  <c:v>390</c:v>
                </c:pt>
                <c:pt idx="8">
                  <c:v>370</c:v>
                </c:pt>
                <c:pt idx="9">
                  <c:v>343</c:v>
                </c:pt>
                <c:pt idx="10">
                  <c:v>308</c:v>
                </c:pt>
                <c:pt idx="11">
                  <c:v>224</c:v>
                </c:pt>
                <c:pt idx="12">
                  <c:v>185</c:v>
                </c:pt>
                <c:pt idx="13">
                  <c:v>119</c:v>
                </c:pt>
                <c:pt idx="14">
                  <c:v>242</c:v>
                </c:pt>
              </c:numCache>
            </c:numRef>
          </c:val>
          <c:smooth val="0"/>
          <c:extLst>
            <c:ext xmlns:c16="http://schemas.microsoft.com/office/drawing/2014/chart" uri="{C3380CC4-5D6E-409C-BE32-E72D297353CC}">
              <c16:uniqueId val="{00000000-DC8B-451A-BFAF-C8B227AB1992}"/>
            </c:ext>
          </c:extLst>
        </c:ser>
        <c:dLbls>
          <c:showLegendKey val="0"/>
          <c:showVal val="0"/>
          <c:showCatName val="0"/>
          <c:showSerName val="0"/>
          <c:showPercent val="0"/>
          <c:showBubbleSize val="0"/>
        </c:dLbls>
        <c:smooth val="0"/>
        <c:axId val="1845182127"/>
        <c:axId val="1845181167"/>
      </c:lineChart>
      <c:catAx>
        <c:axId val="1845182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5181167"/>
        <c:crosses val="autoZero"/>
        <c:auto val="1"/>
        <c:lblAlgn val="ctr"/>
        <c:lblOffset val="100"/>
        <c:noMultiLvlLbl val="0"/>
      </c:catAx>
      <c:valAx>
        <c:axId val="18451811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51821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[Coffee_Shop.xlsx]Pivot_Table!PivotTable3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Pivot_Table!$B$29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1B5-437B-B32C-48FC6A8A323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1B5-437B-B32C-48FC6A8A323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1B5-437B-B32C-48FC6A8A323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1B5-437B-B32C-48FC6A8A323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1B5-437B-B32C-48FC6A8A323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61B5-437B-B32C-48FC6A8A323F}"/>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61B5-437B-B32C-48FC6A8A323F}"/>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61B5-437B-B32C-48FC6A8A323F}"/>
              </c:ext>
            </c:extLst>
          </c:dPt>
          <c:cat>
            <c:strRef>
              <c:f>Pivot_Table!$A$30:$A$38</c:f>
              <c:strCache>
                <c:ptCount val="8"/>
                <c:pt idx="0">
                  <c:v>Bakery</c:v>
                </c:pt>
                <c:pt idx="1">
                  <c:v>Branded</c:v>
                </c:pt>
                <c:pt idx="2">
                  <c:v>Coffee</c:v>
                </c:pt>
                <c:pt idx="3">
                  <c:v>Coffee Beans</c:v>
                </c:pt>
                <c:pt idx="4">
                  <c:v>Drinking Chocolate</c:v>
                </c:pt>
                <c:pt idx="5">
                  <c:v>Loose Tea</c:v>
                </c:pt>
                <c:pt idx="6">
                  <c:v>Packaged Chocolate</c:v>
                </c:pt>
                <c:pt idx="7">
                  <c:v>Tea</c:v>
                </c:pt>
              </c:strCache>
            </c:strRef>
          </c:cat>
          <c:val>
            <c:numRef>
              <c:f>Pivot_Table!$B$30:$B$38</c:f>
              <c:numCache>
                <c:formatCode>General</c:formatCode>
                <c:ptCount val="8"/>
                <c:pt idx="0">
                  <c:v>2951.25</c:v>
                </c:pt>
                <c:pt idx="1">
                  <c:v>5064</c:v>
                </c:pt>
                <c:pt idx="2">
                  <c:v>5467.75</c:v>
                </c:pt>
                <c:pt idx="3">
                  <c:v>5203</c:v>
                </c:pt>
                <c:pt idx="4">
                  <c:v>1250</c:v>
                </c:pt>
                <c:pt idx="5">
                  <c:v>2071</c:v>
                </c:pt>
                <c:pt idx="6">
                  <c:v>2489.5</c:v>
                </c:pt>
                <c:pt idx="7">
                  <c:v>3251.75</c:v>
                </c:pt>
              </c:numCache>
            </c:numRef>
          </c:val>
          <c:extLst>
            <c:ext xmlns:c16="http://schemas.microsoft.com/office/drawing/2014/chart" uri="{C3380CC4-5D6E-409C-BE32-E72D297353CC}">
              <c16:uniqueId val="{00000000-95D1-4ADB-8810-4F0B7BBB2BA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[Coffee_Shop.xlsx]Pivot_Table!PivotTable5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Pivot_Table!$H$3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3D7-4816-8B75-3A604CAF36A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3D7-4816-8B75-3A604CAF36A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3D7-4816-8B75-3A604CAF36A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3D7-4816-8B75-3A604CAF36A1}"/>
              </c:ext>
            </c:extLst>
          </c:dPt>
          <c:cat>
            <c:strRef>
              <c:f>Pivot_Table!$G$4:$G$8</c:f>
              <c:strCache>
                <c:ptCount val="4"/>
                <c:pt idx="0">
                  <c:v>Large</c:v>
                </c:pt>
                <c:pt idx="1">
                  <c:v>Not Defined</c:v>
                </c:pt>
                <c:pt idx="2">
                  <c:v>ReguLargear</c:v>
                </c:pt>
                <c:pt idx="3">
                  <c:v>SmaLargeLarge</c:v>
                </c:pt>
              </c:strCache>
            </c:strRef>
          </c:cat>
          <c:val>
            <c:numRef>
              <c:f>Pivot_Table!$H$4:$H$8</c:f>
              <c:numCache>
                <c:formatCode>General</c:formatCode>
                <c:ptCount val="4"/>
                <c:pt idx="0">
                  <c:v>395</c:v>
                </c:pt>
                <c:pt idx="1">
                  <c:v>927</c:v>
                </c:pt>
                <c:pt idx="2">
                  <c:v>379</c:v>
                </c:pt>
                <c:pt idx="3">
                  <c:v>299</c:v>
                </c:pt>
              </c:numCache>
            </c:numRef>
          </c:val>
          <c:extLst>
            <c:ext xmlns:c16="http://schemas.microsoft.com/office/drawing/2014/chart" uri="{C3380CC4-5D6E-409C-BE32-E72D297353CC}">
              <c16:uniqueId val="{00000000-B5FF-48D0-B438-009DA98F9FA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[Coffee_Shop.xlsx]Pivot_Table!PivotTable6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Pivot_Table!$H$22</c:f>
              <c:strCache>
                <c:ptCount val="1"/>
                <c:pt idx="0">
                  <c:v>Total</c:v>
                </c:pt>
              </c:strCache>
            </c:strRef>
          </c:tx>
          <c:spPr>
            <a:solidFill>
              <a:schemeClr val="accent1"/>
            </a:solidFill>
            <a:ln>
              <a:noFill/>
            </a:ln>
            <a:effectLst/>
          </c:spPr>
          <c:invertIfNegative val="0"/>
          <c:cat>
            <c:strRef>
              <c:f>Pivot_Table!$G$23:$G$26</c:f>
              <c:strCache>
                <c:ptCount val="3"/>
                <c:pt idx="0">
                  <c:v>Astoria</c:v>
                </c:pt>
                <c:pt idx="1">
                  <c:v>Hell's Kitchen</c:v>
                </c:pt>
                <c:pt idx="2">
                  <c:v>Lower Manhattan</c:v>
                </c:pt>
              </c:strCache>
            </c:strRef>
          </c:cat>
          <c:val>
            <c:numRef>
              <c:f>Pivot_Table!$H$23:$H$26</c:f>
              <c:numCache>
                <c:formatCode>General</c:formatCode>
                <c:ptCount val="3"/>
                <c:pt idx="0">
                  <c:v>8902.5</c:v>
                </c:pt>
                <c:pt idx="1">
                  <c:v>9250.25</c:v>
                </c:pt>
                <c:pt idx="2">
                  <c:v>9595.5</c:v>
                </c:pt>
              </c:numCache>
            </c:numRef>
          </c:val>
          <c:extLst>
            <c:ext xmlns:c16="http://schemas.microsoft.com/office/drawing/2014/chart" uri="{C3380CC4-5D6E-409C-BE32-E72D297353CC}">
              <c16:uniqueId val="{00000000-7357-4E2C-A8AF-7E3BDBBD26AD}"/>
            </c:ext>
          </c:extLst>
        </c:ser>
        <c:dLbls>
          <c:showLegendKey val="0"/>
          <c:showVal val="0"/>
          <c:showCatName val="0"/>
          <c:showSerName val="0"/>
          <c:showPercent val="0"/>
          <c:showBubbleSize val="0"/>
        </c:dLbls>
        <c:gapWidth val="219"/>
        <c:axId val="599084767"/>
        <c:axId val="599072287"/>
      </c:barChart>
      <c:catAx>
        <c:axId val="599084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9072287"/>
        <c:crosses val="autoZero"/>
        <c:auto val="1"/>
        <c:lblAlgn val="ctr"/>
        <c:lblOffset val="100"/>
        <c:noMultiLvlLbl val="0"/>
      </c:catAx>
      <c:valAx>
        <c:axId val="599072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90847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[Coffee_Shop.xlsx]Pivot_Table!PivotTable7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Pivot_Table!$L$3</c:f>
              <c:strCache>
                <c:ptCount val="1"/>
                <c:pt idx="0">
                  <c:v>Total</c:v>
                </c:pt>
              </c:strCache>
            </c:strRef>
          </c:tx>
          <c:spPr>
            <a:solidFill>
              <a:schemeClr val="accent1"/>
            </a:solidFill>
            <a:ln>
              <a:noFill/>
            </a:ln>
            <a:effectLst/>
          </c:spPr>
          <c:invertIfNegative val="0"/>
          <c:cat>
            <c:strRef>
              <c:f>Pivot_Table!$K$4:$K$9</c:f>
              <c:strCache>
                <c:ptCount val="5"/>
                <c:pt idx="0">
                  <c:v>Brewed Tea</c:v>
                </c:pt>
                <c:pt idx="1">
                  <c:v>Clothing</c:v>
                </c:pt>
                <c:pt idx="2">
                  <c:v>Coffee Beans</c:v>
                </c:pt>
                <c:pt idx="3">
                  <c:v>Loose Tea</c:v>
                </c:pt>
                <c:pt idx="4">
                  <c:v>Packaged Chocolate</c:v>
                </c:pt>
              </c:strCache>
            </c:strRef>
          </c:cat>
          <c:val>
            <c:numRef>
              <c:f>Pivot_Table!$L$4:$L$9</c:f>
              <c:numCache>
                <c:formatCode>General</c:formatCode>
                <c:ptCount val="5"/>
                <c:pt idx="0">
                  <c:v>1161</c:v>
                </c:pt>
                <c:pt idx="1">
                  <c:v>5064</c:v>
                </c:pt>
                <c:pt idx="2">
                  <c:v>5203</c:v>
                </c:pt>
                <c:pt idx="3">
                  <c:v>2071</c:v>
                </c:pt>
                <c:pt idx="4">
                  <c:v>2489.5</c:v>
                </c:pt>
              </c:numCache>
            </c:numRef>
          </c:val>
          <c:extLst>
            <c:ext xmlns:c16="http://schemas.microsoft.com/office/drawing/2014/chart" uri="{C3380CC4-5D6E-409C-BE32-E72D297353CC}">
              <c16:uniqueId val="{00000000-66B4-41A2-B1BA-F977C5D53960}"/>
            </c:ext>
          </c:extLst>
        </c:ser>
        <c:dLbls>
          <c:showLegendKey val="0"/>
          <c:showVal val="0"/>
          <c:showCatName val="0"/>
          <c:showSerName val="0"/>
          <c:showPercent val="0"/>
          <c:showBubbleSize val="0"/>
        </c:dLbls>
        <c:gapWidth val="182"/>
        <c:axId val="643850527"/>
        <c:axId val="643848607"/>
      </c:barChart>
      <c:catAx>
        <c:axId val="6438505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3848607"/>
        <c:crosses val="autoZero"/>
        <c:auto val="1"/>
        <c:lblAlgn val="ctr"/>
        <c:lblOffset val="100"/>
        <c:noMultiLvlLbl val="0"/>
      </c:catAx>
      <c:valAx>
        <c:axId val="6438486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3850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[Coffee_Shop.xlsx]Pivot_Table!PivotTable8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Pivot_Table!$O$22</c:f>
              <c:strCache>
                <c:ptCount val="1"/>
                <c:pt idx="0">
                  <c:v>Total</c:v>
                </c:pt>
              </c:strCache>
            </c:strRef>
          </c:tx>
          <c:spPr>
            <a:solidFill>
              <a:schemeClr val="accent1"/>
            </a:solidFill>
            <a:ln>
              <a:noFill/>
            </a:ln>
            <a:effectLst/>
          </c:spPr>
          <c:invertIfNegative val="0"/>
          <c:cat>
            <c:strRef>
              <c:f>Pivot_Table!$N$23:$N$30</c:f>
              <c:strCache>
                <c:ptCount val="7"/>
                <c:pt idx="0">
                  <c:v>Friday</c:v>
                </c:pt>
                <c:pt idx="1">
                  <c:v>Monday</c:v>
                </c:pt>
                <c:pt idx="2">
                  <c:v>Saturday</c:v>
                </c:pt>
                <c:pt idx="3">
                  <c:v>Sunday</c:v>
                </c:pt>
                <c:pt idx="4">
                  <c:v>Thursday</c:v>
                </c:pt>
                <c:pt idx="5">
                  <c:v>Tuesday</c:v>
                </c:pt>
                <c:pt idx="6">
                  <c:v>Wednesday</c:v>
                </c:pt>
              </c:strCache>
            </c:strRef>
          </c:cat>
          <c:val>
            <c:numRef>
              <c:f>Pivot_Table!$O$23:$O$30</c:f>
              <c:numCache>
                <c:formatCode>General</c:formatCode>
                <c:ptCount val="7"/>
                <c:pt idx="0">
                  <c:v>3954.5</c:v>
                </c:pt>
                <c:pt idx="1">
                  <c:v>3924.25</c:v>
                </c:pt>
                <c:pt idx="2">
                  <c:v>3824.5</c:v>
                </c:pt>
                <c:pt idx="3">
                  <c:v>3949</c:v>
                </c:pt>
                <c:pt idx="4">
                  <c:v>4053</c:v>
                </c:pt>
                <c:pt idx="5">
                  <c:v>3960.5</c:v>
                </c:pt>
                <c:pt idx="6">
                  <c:v>4082.5</c:v>
                </c:pt>
              </c:numCache>
            </c:numRef>
          </c:val>
          <c:extLst>
            <c:ext xmlns:c16="http://schemas.microsoft.com/office/drawing/2014/chart" uri="{C3380CC4-5D6E-409C-BE32-E72D297353CC}">
              <c16:uniqueId val="{00000000-6880-4CF6-BD98-652E850F223E}"/>
            </c:ext>
          </c:extLst>
        </c:ser>
        <c:dLbls>
          <c:showLegendKey val="0"/>
          <c:showVal val="0"/>
          <c:showCatName val="0"/>
          <c:showSerName val="0"/>
          <c:showPercent val="0"/>
          <c:showBubbleSize val="0"/>
        </c:dLbls>
        <c:gapWidth val="219"/>
        <c:overlap val="-27"/>
        <c:axId val="599063647"/>
        <c:axId val="599060287"/>
      </c:barChart>
      <c:catAx>
        <c:axId val="599063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9060287"/>
        <c:crosses val="autoZero"/>
        <c:auto val="1"/>
        <c:lblAlgn val="ctr"/>
        <c:lblOffset val="100"/>
        <c:noMultiLvlLbl val="0"/>
      </c:catAx>
      <c:valAx>
        <c:axId val="599060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90636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microsoft.com/office/2007/relationships/hdphoto" Target="../media/hdphoto4.wdp"/><Relationship Id="rId13" Type="http://schemas.openxmlformats.org/officeDocument/2006/relationships/chart" Target="../charts/chart1.xml"/><Relationship Id="rId18" Type="http://schemas.openxmlformats.org/officeDocument/2006/relationships/chart" Target="../charts/chart6.xml"/><Relationship Id="rId3" Type="http://schemas.openxmlformats.org/officeDocument/2006/relationships/image" Target="../media/image2.png"/><Relationship Id="rId7" Type="http://schemas.openxmlformats.org/officeDocument/2006/relationships/image" Target="../media/image4.png"/><Relationship Id="rId12" Type="http://schemas.microsoft.com/office/2007/relationships/hdphoto" Target="../media/hdphoto6.wdp"/><Relationship Id="rId17" Type="http://schemas.openxmlformats.org/officeDocument/2006/relationships/chart" Target="../charts/chart5.xml"/><Relationship Id="rId2" Type="http://schemas.microsoft.com/office/2007/relationships/hdphoto" Target="../media/hdphoto1.wdp"/><Relationship Id="rId16" Type="http://schemas.openxmlformats.org/officeDocument/2006/relationships/chart" Target="../charts/chart4.xml"/><Relationship Id="rId1" Type="http://schemas.openxmlformats.org/officeDocument/2006/relationships/image" Target="../media/image1.png"/><Relationship Id="rId6" Type="http://schemas.microsoft.com/office/2007/relationships/hdphoto" Target="../media/hdphoto3.wdp"/><Relationship Id="rId11" Type="http://schemas.openxmlformats.org/officeDocument/2006/relationships/image" Target="../media/image6.png"/><Relationship Id="rId5" Type="http://schemas.openxmlformats.org/officeDocument/2006/relationships/image" Target="../media/image3.png"/><Relationship Id="rId15" Type="http://schemas.openxmlformats.org/officeDocument/2006/relationships/chart" Target="../charts/chart3.xml"/><Relationship Id="rId10" Type="http://schemas.microsoft.com/office/2007/relationships/hdphoto" Target="../media/hdphoto5.wdp"/><Relationship Id="rId4" Type="http://schemas.microsoft.com/office/2007/relationships/hdphoto" Target="../media/hdphoto2.wdp"/><Relationship Id="rId9" Type="http://schemas.openxmlformats.org/officeDocument/2006/relationships/image" Target="../media/image5.png"/><Relationship Id="rId14" Type="http://schemas.openxmlformats.org/officeDocument/2006/relationships/chart" Target="../charts/chart2.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8964</xdr:colOff>
      <xdr:row>0</xdr:row>
      <xdr:rowOff>0</xdr:rowOff>
    </xdr:from>
    <xdr:to>
      <xdr:col>34</xdr:col>
      <xdr:colOff>174171</xdr:colOff>
      <xdr:row>52</xdr:row>
      <xdr:rowOff>21772</xdr:rowOff>
    </xdr:to>
    <xdr:sp macro="" textlink="">
      <xdr:nvSpPr>
        <xdr:cNvPr id="2" name="Rectangle 1">
          <a:extLst>
            <a:ext uri="{FF2B5EF4-FFF2-40B4-BE49-F238E27FC236}">
              <a16:creationId xmlns:a16="http://schemas.microsoft.com/office/drawing/2014/main" id="{D42AE77A-2BD2-6BC9-D61B-803038B9C317}"/>
            </a:ext>
          </a:extLst>
        </xdr:cNvPr>
        <xdr:cNvSpPr/>
      </xdr:nvSpPr>
      <xdr:spPr>
        <a:xfrm>
          <a:off x="8964" y="0"/>
          <a:ext cx="20891607" cy="9644743"/>
        </a:xfrm>
        <a:prstGeom prst="rect">
          <a:avLst/>
        </a:prstGeom>
        <a:solidFill>
          <a:srgbClr val="FDF9F3"/>
        </a:solidFill>
        <a:ln>
          <a:solidFill>
            <a:srgbClr val="FCF3E9"/>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152400</xdr:colOff>
      <xdr:row>1</xdr:row>
      <xdr:rowOff>123825</xdr:rowOff>
    </xdr:from>
    <xdr:to>
      <xdr:col>26</xdr:col>
      <xdr:colOff>266699</xdr:colOff>
      <xdr:row>5</xdr:row>
      <xdr:rowOff>95250</xdr:rowOff>
    </xdr:to>
    <xdr:sp macro="" textlink="">
      <xdr:nvSpPr>
        <xdr:cNvPr id="3" name="Rectangle: Rounded Corners 2">
          <a:extLst>
            <a:ext uri="{FF2B5EF4-FFF2-40B4-BE49-F238E27FC236}">
              <a16:creationId xmlns:a16="http://schemas.microsoft.com/office/drawing/2014/main" id="{DF7FD14E-CD79-62A9-AD65-88ACFCF7F2B3}"/>
            </a:ext>
          </a:extLst>
        </xdr:cNvPr>
        <xdr:cNvSpPr/>
      </xdr:nvSpPr>
      <xdr:spPr>
        <a:xfrm>
          <a:off x="3810000" y="303119"/>
          <a:ext cx="12306299" cy="688602"/>
        </a:xfrm>
        <a:prstGeom prst="roundRect">
          <a:avLst/>
        </a:prstGeom>
        <a:solidFill>
          <a:srgbClr val="46230B"/>
        </a:solidFill>
        <a:ln>
          <a:solidFill>
            <a:srgbClr val="46230B"/>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200" b="1">
              <a:latin typeface="Algerian" panose="04020705040A02060702" pitchFamily="82" charset="0"/>
            </a:rPr>
            <a:t>Coffee Shop Sales Dashboard</a:t>
          </a:r>
        </a:p>
      </xdr:txBody>
    </xdr:sp>
    <xdr:clientData/>
  </xdr:twoCellAnchor>
  <xdr:twoCellAnchor editAs="oneCell">
    <xdr:from>
      <xdr:col>21</xdr:col>
      <xdr:colOff>413797</xdr:colOff>
      <xdr:row>2</xdr:row>
      <xdr:rowOff>7977</xdr:rowOff>
    </xdr:from>
    <xdr:to>
      <xdr:col>22</xdr:col>
      <xdr:colOff>457186</xdr:colOff>
      <xdr:row>5</xdr:row>
      <xdr:rowOff>118041</xdr:rowOff>
    </xdr:to>
    <xdr:pic>
      <xdr:nvPicPr>
        <xdr:cNvPr id="5" name="Picture 4">
          <a:extLst>
            <a:ext uri="{FF2B5EF4-FFF2-40B4-BE49-F238E27FC236}">
              <a16:creationId xmlns:a16="http://schemas.microsoft.com/office/drawing/2014/main" id="{7861B28D-01FB-2E5C-6B36-22E092E374BD}"/>
            </a:ext>
          </a:extLst>
        </xdr:cNvPr>
        <xdr:cNvPicPr>
          <a:picLocks noChangeAspect="1"/>
        </xdr:cNvPicPr>
      </xdr:nvPicPr>
      <xdr:blipFill>
        <a:blip xmlns:r="http://schemas.openxmlformats.org/officeDocument/2006/relationships" r:embed="rId1" cstate="print">
          <a:extLst>
            <a:ext uri="{BEBA8EAE-BF5A-486C-A8C5-ECC9F3942E4B}">
              <a14:imgProps xmlns:a14="http://schemas.microsoft.com/office/drawing/2010/main">
                <a14:imgLayer r:embed="rId2">
                  <a14:imgEffect>
                    <a14:backgroundRemoval t="10000" b="90000" l="10000" r="90000"/>
                  </a14:imgEffect>
                  <a14:imgEffect>
                    <a14:sharpenSoften amount="-50000"/>
                  </a14:imgEffect>
                  <a14:imgEffect>
                    <a14:brightnessContrast bright="40000" contrast="40000"/>
                  </a14:imgEffect>
                </a14:imgLayer>
              </a14:imgProps>
            </a:ext>
            <a:ext uri="{28A0092B-C50C-407E-A947-70E740481C1C}">
              <a14:useLocalDpi xmlns:a14="http://schemas.microsoft.com/office/drawing/2010/main" val="0"/>
            </a:ext>
          </a:extLst>
        </a:blip>
        <a:stretch>
          <a:fillRect/>
        </a:stretch>
      </xdr:blipFill>
      <xdr:spPr>
        <a:xfrm rot="10800000" flipH="1" flipV="1">
          <a:off x="13215397" y="369927"/>
          <a:ext cx="652989" cy="652989"/>
        </a:xfrm>
        <a:prstGeom prst="rect">
          <a:avLst/>
        </a:prstGeom>
        <a:noFill/>
      </xdr:spPr>
    </xdr:pic>
    <xdr:clientData/>
  </xdr:twoCellAnchor>
  <xdr:twoCellAnchor editAs="oneCell">
    <xdr:from>
      <xdr:col>9</xdr:col>
      <xdr:colOff>438151</xdr:colOff>
      <xdr:row>0</xdr:row>
      <xdr:rowOff>104775</xdr:rowOff>
    </xdr:from>
    <xdr:to>
      <xdr:col>11</xdr:col>
      <xdr:colOff>85725</xdr:colOff>
      <xdr:row>5</xdr:row>
      <xdr:rowOff>123825</xdr:rowOff>
    </xdr:to>
    <xdr:pic>
      <xdr:nvPicPr>
        <xdr:cNvPr id="9" name="Picture 8">
          <a:extLst>
            <a:ext uri="{FF2B5EF4-FFF2-40B4-BE49-F238E27FC236}">
              <a16:creationId xmlns:a16="http://schemas.microsoft.com/office/drawing/2014/main" id="{2790A99C-635D-BA77-85F2-693C5A387362}"/>
            </a:ext>
          </a:extLst>
        </xdr:cNvPr>
        <xdr:cNvPicPr>
          <a:picLocks noChangeAspect="1"/>
        </xdr:cNvPicPr>
      </xdr:nvPicPr>
      <xdr:blipFill>
        <a:blip xmlns:r="http://schemas.openxmlformats.org/officeDocument/2006/relationships" r:embed="rId3" cstate="print">
          <a:extLst>
            <a:ext uri="{BEBA8EAE-BF5A-486C-A8C5-ECC9F3942E4B}">
              <a14:imgProps xmlns:a14="http://schemas.microsoft.com/office/drawing/2010/main">
                <a14:imgLayer r:embed="rId4">
                  <a14:imgEffect>
                    <a14:backgroundRemoval t="10000" b="90000" l="10000" r="90000"/>
                  </a14:imgEffect>
                  <a14:imgEffect>
                    <a14:sharpenSoften amount="50000"/>
                  </a14:imgEffect>
                  <a14:imgEffect>
                    <a14:saturation sat="200000"/>
                  </a14:imgEffect>
                  <a14:imgEffect>
                    <a14:brightnessContrast bright="40000" contrast="40000"/>
                  </a14:imgEffect>
                </a14:imgLayer>
              </a14:imgProps>
            </a:ext>
            <a:ext uri="{28A0092B-C50C-407E-A947-70E740481C1C}">
              <a14:useLocalDpi xmlns:a14="http://schemas.microsoft.com/office/drawing/2010/main" val="0"/>
            </a:ext>
          </a:extLst>
        </a:blip>
        <a:stretch>
          <a:fillRect/>
        </a:stretch>
      </xdr:blipFill>
      <xdr:spPr>
        <a:xfrm>
          <a:off x="5924551" y="104775"/>
          <a:ext cx="866774" cy="923925"/>
        </a:xfrm>
        <a:prstGeom prst="rect">
          <a:avLst/>
        </a:prstGeom>
      </xdr:spPr>
    </xdr:pic>
    <xdr:clientData/>
  </xdr:twoCellAnchor>
  <xdr:twoCellAnchor>
    <xdr:from>
      <xdr:col>6</xdr:col>
      <xdr:colOff>133350</xdr:colOff>
      <xdr:row>6</xdr:row>
      <xdr:rowOff>104776</xdr:rowOff>
    </xdr:from>
    <xdr:to>
      <xdr:col>11</xdr:col>
      <xdr:colOff>37350</xdr:colOff>
      <xdr:row>10</xdr:row>
      <xdr:rowOff>142876</xdr:rowOff>
    </xdr:to>
    <xdr:sp macro="" textlink="">
      <xdr:nvSpPr>
        <xdr:cNvPr id="14" name="Rectangle: Rounded Corners 13">
          <a:extLst>
            <a:ext uri="{FF2B5EF4-FFF2-40B4-BE49-F238E27FC236}">
              <a16:creationId xmlns:a16="http://schemas.microsoft.com/office/drawing/2014/main" id="{9D642D1B-E592-5D22-51B1-BBDAB02D99C9}"/>
            </a:ext>
          </a:extLst>
        </xdr:cNvPr>
        <xdr:cNvSpPr/>
      </xdr:nvSpPr>
      <xdr:spPr>
        <a:xfrm>
          <a:off x="3790950" y="1190626"/>
          <a:ext cx="2952000" cy="762000"/>
        </a:xfrm>
        <a:prstGeom prst="roundRect">
          <a:avLst/>
        </a:prstGeom>
        <a:solidFill>
          <a:srgbClr val="FDF9F3"/>
        </a:solidFill>
        <a:ln>
          <a:solidFill>
            <a:srgbClr val="FCF3E9"/>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2800"/>
        </a:p>
      </xdr:txBody>
    </xdr:sp>
    <xdr:clientData/>
  </xdr:twoCellAnchor>
  <xdr:twoCellAnchor>
    <xdr:from>
      <xdr:col>11</xdr:col>
      <xdr:colOff>219075</xdr:colOff>
      <xdr:row>6</xdr:row>
      <xdr:rowOff>104776</xdr:rowOff>
    </xdr:from>
    <xdr:to>
      <xdr:col>16</xdr:col>
      <xdr:colOff>123075</xdr:colOff>
      <xdr:row>10</xdr:row>
      <xdr:rowOff>142876</xdr:rowOff>
    </xdr:to>
    <xdr:sp macro="" textlink="">
      <xdr:nvSpPr>
        <xdr:cNvPr id="15" name="Rectangle: Rounded Corners 14">
          <a:extLst>
            <a:ext uri="{FF2B5EF4-FFF2-40B4-BE49-F238E27FC236}">
              <a16:creationId xmlns:a16="http://schemas.microsoft.com/office/drawing/2014/main" id="{69F9C005-D5F6-E4E0-084E-72A6011AA452}"/>
            </a:ext>
          </a:extLst>
        </xdr:cNvPr>
        <xdr:cNvSpPr/>
      </xdr:nvSpPr>
      <xdr:spPr>
        <a:xfrm>
          <a:off x="6924675" y="1190626"/>
          <a:ext cx="2952000" cy="762000"/>
        </a:xfrm>
        <a:prstGeom prst="roundRect">
          <a:avLst/>
        </a:prstGeom>
        <a:solidFill>
          <a:srgbClr val="FDF9F3"/>
        </a:solidFill>
        <a:ln>
          <a:solidFill>
            <a:srgbClr val="FCF3E9"/>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257175</xdr:colOff>
      <xdr:row>6</xdr:row>
      <xdr:rowOff>95251</xdr:rowOff>
    </xdr:from>
    <xdr:to>
      <xdr:col>21</xdr:col>
      <xdr:colOff>161175</xdr:colOff>
      <xdr:row>10</xdr:row>
      <xdr:rowOff>133351</xdr:rowOff>
    </xdr:to>
    <xdr:sp macro="" textlink="">
      <xdr:nvSpPr>
        <xdr:cNvPr id="16" name="Rectangle: Rounded Corners 15">
          <a:extLst>
            <a:ext uri="{FF2B5EF4-FFF2-40B4-BE49-F238E27FC236}">
              <a16:creationId xmlns:a16="http://schemas.microsoft.com/office/drawing/2014/main" id="{3FB77DE0-6825-427E-0C6D-CB99EB52FEB7}"/>
            </a:ext>
          </a:extLst>
        </xdr:cNvPr>
        <xdr:cNvSpPr/>
      </xdr:nvSpPr>
      <xdr:spPr>
        <a:xfrm>
          <a:off x="10010775" y="1181101"/>
          <a:ext cx="2952000" cy="762000"/>
        </a:xfrm>
        <a:prstGeom prst="roundRect">
          <a:avLst/>
        </a:prstGeom>
        <a:solidFill>
          <a:srgbClr val="FDF9F3"/>
        </a:solidFill>
        <a:ln>
          <a:solidFill>
            <a:srgbClr val="FCF3E9"/>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333374</xdr:colOff>
      <xdr:row>6</xdr:row>
      <xdr:rowOff>76201</xdr:rowOff>
    </xdr:from>
    <xdr:to>
      <xdr:col>26</xdr:col>
      <xdr:colOff>237675</xdr:colOff>
      <xdr:row>10</xdr:row>
      <xdr:rowOff>114301</xdr:rowOff>
    </xdr:to>
    <xdr:sp macro="" textlink="">
      <xdr:nvSpPr>
        <xdr:cNvPr id="17" name="Rectangle: Rounded Corners 16">
          <a:extLst>
            <a:ext uri="{FF2B5EF4-FFF2-40B4-BE49-F238E27FC236}">
              <a16:creationId xmlns:a16="http://schemas.microsoft.com/office/drawing/2014/main" id="{EC75463A-18AB-36C3-E541-A1C51E8BBB44}"/>
            </a:ext>
          </a:extLst>
        </xdr:cNvPr>
        <xdr:cNvSpPr/>
      </xdr:nvSpPr>
      <xdr:spPr>
        <a:xfrm>
          <a:off x="13134974" y="1162051"/>
          <a:ext cx="2952301" cy="762000"/>
        </a:xfrm>
        <a:prstGeom prst="roundRect">
          <a:avLst/>
        </a:prstGeom>
        <a:solidFill>
          <a:srgbClr val="FDF9F3"/>
        </a:solidFill>
        <a:ln>
          <a:solidFill>
            <a:srgbClr val="FCF3E9"/>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21</xdr:col>
      <xdr:colOff>600074</xdr:colOff>
      <xdr:row>6</xdr:row>
      <xdr:rowOff>152399</xdr:rowOff>
    </xdr:from>
    <xdr:to>
      <xdr:col>22</xdr:col>
      <xdr:colOff>573674</xdr:colOff>
      <xdr:row>10</xdr:row>
      <xdr:rowOff>11699</xdr:rowOff>
    </xdr:to>
    <xdr:pic>
      <xdr:nvPicPr>
        <xdr:cNvPr id="21" name="Picture 20">
          <a:extLst>
            <a:ext uri="{FF2B5EF4-FFF2-40B4-BE49-F238E27FC236}">
              <a16:creationId xmlns:a16="http://schemas.microsoft.com/office/drawing/2014/main" id="{AB9697D0-2AD0-F6E9-D92A-F727362AB926}"/>
            </a:ext>
          </a:extLst>
        </xdr:cNvPr>
        <xdr:cNvPicPr>
          <a:picLocks noChangeAspect="1"/>
        </xdr:cNvPicPr>
      </xdr:nvPicPr>
      <xdr:blipFill>
        <a:blip xmlns:r="http://schemas.openxmlformats.org/officeDocument/2006/relationships" r:embed="rId5" cstate="print">
          <a:extLst>
            <a:ext uri="{BEBA8EAE-BF5A-486C-A8C5-ECC9F3942E4B}">
              <a14:imgProps xmlns:a14="http://schemas.microsoft.com/office/drawing/2010/main">
                <a14:imgLayer r:embed="rId6">
                  <a14:imgEffect>
                    <a14:sharpenSoften amount="50000"/>
                  </a14:imgEffect>
                  <a14:imgEffect>
                    <a14:colorTemperature colorTemp="7200"/>
                  </a14:imgEffect>
                </a14:imgLayer>
              </a14:imgProps>
            </a:ext>
            <a:ext uri="{28A0092B-C50C-407E-A947-70E740481C1C}">
              <a14:useLocalDpi xmlns:a14="http://schemas.microsoft.com/office/drawing/2010/main" val="0"/>
            </a:ext>
          </a:extLst>
        </a:blip>
        <a:stretch>
          <a:fillRect/>
        </a:stretch>
      </xdr:blipFill>
      <xdr:spPr>
        <a:xfrm>
          <a:off x="13401674" y="1238249"/>
          <a:ext cx="583200" cy="583200"/>
        </a:xfrm>
        <a:prstGeom prst="rect">
          <a:avLst/>
        </a:prstGeom>
      </xdr:spPr>
    </xdr:pic>
    <xdr:clientData/>
  </xdr:twoCellAnchor>
  <xdr:twoCellAnchor editAs="oneCell">
    <xdr:from>
      <xdr:col>16</xdr:col>
      <xdr:colOff>502424</xdr:colOff>
      <xdr:row>7</xdr:row>
      <xdr:rowOff>16649</xdr:rowOff>
    </xdr:from>
    <xdr:to>
      <xdr:col>17</xdr:col>
      <xdr:colOff>476024</xdr:colOff>
      <xdr:row>10</xdr:row>
      <xdr:rowOff>56924</xdr:rowOff>
    </xdr:to>
    <xdr:pic>
      <xdr:nvPicPr>
        <xdr:cNvPr id="23" name="Picture 22">
          <a:extLst>
            <a:ext uri="{FF2B5EF4-FFF2-40B4-BE49-F238E27FC236}">
              <a16:creationId xmlns:a16="http://schemas.microsoft.com/office/drawing/2014/main" id="{79CE7207-66EB-4B6E-836A-45B96867496D}"/>
            </a:ext>
          </a:extLst>
        </xdr:cNvPr>
        <xdr:cNvPicPr>
          <a:picLocks noChangeAspect="1"/>
        </xdr:cNvPicPr>
      </xdr:nvPicPr>
      <xdr:blipFill>
        <a:blip xmlns:r="http://schemas.openxmlformats.org/officeDocument/2006/relationships" r:embed="rId7" cstate="print">
          <a:extLst>
            <a:ext uri="{BEBA8EAE-BF5A-486C-A8C5-ECC9F3942E4B}">
              <a14:imgProps xmlns:a14="http://schemas.microsoft.com/office/drawing/2010/main">
                <a14:imgLayer r:embed="rId8">
                  <a14:imgEffect>
                    <a14:sharpenSoften amount="50000"/>
                  </a14:imgEffect>
                  <a14:imgEffect>
                    <a14:colorTemperature colorTemp="7200"/>
                  </a14:imgEffect>
                </a14:imgLayer>
              </a14:imgProps>
            </a:ext>
            <a:ext uri="{28A0092B-C50C-407E-A947-70E740481C1C}">
              <a14:useLocalDpi xmlns:a14="http://schemas.microsoft.com/office/drawing/2010/main" val="0"/>
            </a:ext>
          </a:extLst>
        </a:blip>
        <a:stretch>
          <a:fillRect/>
        </a:stretch>
      </xdr:blipFill>
      <xdr:spPr>
        <a:xfrm>
          <a:off x="10256024" y="1283474"/>
          <a:ext cx="583200" cy="583200"/>
        </a:xfrm>
        <a:prstGeom prst="rect">
          <a:avLst/>
        </a:prstGeom>
      </xdr:spPr>
    </xdr:pic>
    <xdr:clientData/>
  </xdr:twoCellAnchor>
  <xdr:twoCellAnchor editAs="oneCell">
    <xdr:from>
      <xdr:col>11</xdr:col>
      <xdr:colOff>333375</xdr:colOff>
      <xdr:row>7</xdr:row>
      <xdr:rowOff>19050</xdr:rowOff>
    </xdr:from>
    <xdr:to>
      <xdr:col>12</xdr:col>
      <xdr:colOff>306975</xdr:colOff>
      <xdr:row>10</xdr:row>
      <xdr:rowOff>59325</xdr:rowOff>
    </xdr:to>
    <xdr:pic>
      <xdr:nvPicPr>
        <xdr:cNvPr id="25" name="Picture 24">
          <a:extLst>
            <a:ext uri="{FF2B5EF4-FFF2-40B4-BE49-F238E27FC236}">
              <a16:creationId xmlns:a16="http://schemas.microsoft.com/office/drawing/2014/main" id="{7BB82493-1278-6645-CE63-A4E9E9950DA3}"/>
            </a:ext>
          </a:extLst>
        </xdr:cNvPr>
        <xdr:cNvPicPr>
          <a:picLocks noChangeAspect="1"/>
        </xdr:cNvPicPr>
      </xdr:nvPicPr>
      <xdr:blipFill>
        <a:blip xmlns:r="http://schemas.openxmlformats.org/officeDocument/2006/relationships" r:embed="rId9" cstate="print">
          <a:extLst>
            <a:ext uri="{BEBA8EAE-BF5A-486C-A8C5-ECC9F3942E4B}">
              <a14:imgProps xmlns:a14="http://schemas.microsoft.com/office/drawing/2010/main">
                <a14:imgLayer r:embed="rId10">
                  <a14:imgEffect>
                    <a14:sharpenSoften amount="50000"/>
                  </a14:imgEffect>
                  <a14:imgEffect>
                    <a14:colorTemperature colorTemp="7200"/>
                  </a14:imgEffect>
                </a14:imgLayer>
              </a14:imgProps>
            </a:ext>
            <a:ext uri="{28A0092B-C50C-407E-A947-70E740481C1C}">
              <a14:useLocalDpi xmlns:a14="http://schemas.microsoft.com/office/drawing/2010/main" val="0"/>
            </a:ext>
          </a:extLst>
        </a:blip>
        <a:stretch>
          <a:fillRect/>
        </a:stretch>
      </xdr:blipFill>
      <xdr:spPr>
        <a:xfrm>
          <a:off x="7038975" y="1285875"/>
          <a:ext cx="583200" cy="583200"/>
        </a:xfrm>
        <a:prstGeom prst="rect">
          <a:avLst/>
        </a:prstGeom>
      </xdr:spPr>
    </xdr:pic>
    <xdr:clientData/>
  </xdr:twoCellAnchor>
  <xdr:twoCellAnchor editAs="oneCell">
    <xdr:from>
      <xdr:col>6</xdr:col>
      <xdr:colOff>304800</xdr:colOff>
      <xdr:row>7</xdr:row>
      <xdr:rowOff>19050</xdr:rowOff>
    </xdr:from>
    <xdr:to>
      <xdr:col>7</xdr:col>
      <xdr:colOff>278548</xdr:colOff>
      <xdr:row>10</xdr:row>
      <xdr:rowOff>59473</xdr:rowOff>
    </xdr:to>
    <xdr:pic>
      <xdr:nvPicPr>
        <xdr:cNvPr id="27" name="Picture 26">
          <a:extLst>
            <a:ext uri="{FF2B5EF4-FFF2-40B4-BE49-F238E27FC236}">
              <a16:creationId xmlns:a16="http://schemas.microsoft.com/office/drawing/2014/main" id="{AFF34129-8B31-805C-FB67-8BC75F0B490D}"/>
            </a:ext>
          </a:extLst>
        </xdr:cNvPr>
        <xdr:cNvPicPr>
          <a:picLocks noChangeAspect="1"/>
        </xdr:cNvPicPr>
      </xdr:nvPicPr>
      <xdr:blipFill>
        <a:blip xmlns:r="http://schemas.openxmlformats.org/officeDocument/2006/relationships" r:embed="rId11" cstate="print">
          <a:extLst>
            <a:ext uri="{BEBA8EAE-BF5A-486C-A8C5-ECC9F3942E4B}">
              <a14:imgProps xmlns:a14="http://schemas.microsoft.com/office/drawing/2010/main">
                <a14:imgLayer r:embed="rId12">
                  <a14:imgEffect>
                    <a14:sharpenSoften amount="50000"/>
                  </a14:imgEffect>
                  <a14:imgEffect>
                    <a14:colorTemperature colorTemp="7200"/>
                  </a14:imgEffect>
                </a14:imgLayer>
              </a14:imgProps>
            </a:ext>
            <a:ext uri="{28A0092B-C50C-407E-A947-70E740481C1C}">
              <a14:useLocalDpi xmlns:a14="http://schemas.microsoft.com/office/drawing/2010/main" val="0"/>
            </a:ext>
          </a:extLst>
        </a:blip>
        <a:stretch>
          <a:fillRect/>
        </a:stretch>
      </xdr:blipFill>
      <xdr:spPr>
        <a:xfrm>
          <a:off x="3962400" y="1285875"/>
          <a:ext cx="583348" cy="583348"/>
        </a:xfrm>
        <a:prstGeom prst="rect">
          <a:avLst/>
        </a:prstGeom>
      </xdr:spPr>
    </xdr:pic>
    <xdr:clientData/>
  </xdr:twoCellAnchor>
  <xdr:twoCellAnchor>
    <xdr:from>
      <xdr:col>7</xdr:col>
      <xdr:colOff>342900</xdr:colOff>
      <xdr:row>7</xdr:row>
      <xdr:rowOff>47625</xdr:rowOff>
    </xdr:from>
    <xdr:to>
      <xdr:col>7</xdr:col>
      <xdr:colOff>342900</xdr:colOff>
      <xdr:row>10</xdr:row>
      <xdr:rowOff>9525</xdr:rowOff>
    </xdr:to>
    <xdr:cxnSp macro="">
      <xdr:nvCxnSpPr>
        <xdr:cNvPr id="29" name="Straight Connector 28">
          <a:extLst>
            <a:ext uri="{FF2B5EF4-FFF2-40B4-BE49-F238E27FC236}">
              <a16:creationId xmlns:a16="http://schemas.microsoft.com/office/drawing/2014/main" id="{2F1C38DC-6E9C-6DD8-6CB0-21A45FCFE5C1}"/>
            </a:ext>
          </a:extLst>
        </xdr:cNvPr>
        <xdr:cNvCxnSpPr/>
      </xdr:nvCxnSpPr>
      <xdr:spPr>
        <a:xfrm>
          <a:off x="4610100" y="1314450"/>
          <a:ext cx="0" cy="504825"/>
        </a:xfrm>
        <a:prstGeom prst="line">
          <a:avLst/>
        </a:prstGeom>
        <a:ln>
          <a:solidFill>
            <a:srgbClr val="46230B"/>
          </a:solidFill>
        </a:ln>
      </xdr:spPr>
      <xdr:style>
        <a:lnRef idx="1">
          <a:schemeClr val="accent3"/>
        </a:lnRef>
        <a:fillRef idx="0">
          <a:schemeClr val="accent3"/>
        </a:fillRef>
        <a:effectRef idx="0">
          <a:schemeClr val="accent3"/>
        </a:effectRef>
        <a:fontRef idx="minor">
          <a:schemeClr val="tx1"/>
        </a:fontRef>
      </xdr:style>
    </xdr:cxnSp>
    <xdr:clientData/>
  </xdr:twoCellAnchor>
  <xdr:twoCellAnchor>
    <xdr:from>
      <xdr:col>23</xdr:col>
      <xdr:colOff>133350</xdr:colOff>
      <xdr:row>7</xdr:row>
      <xdr:rowOff>38100</xdr:rowOff>
    </xdr:from>
    <xdr:to>
      <xdr:col>23</xdr:col>
      <xdr:colOff>133350</xdr:colOff>
      <xdr:row>10</xdr:row>
      <xdr:rowOff>0</xdr:rowOff>
    </xdr:to>
    <xdr:cxnSp macro="">
      <xdr:nvCxnSpPr>
        <xdr:cNvPr id="30" name="Straight Connector 29">
          <a:extLst>
            <a:ext uri="{FF2B5EF4-FFF2-40B4-BE49-F238E27FC236}">
              <a16:creationId xmlns:a16="http://schemas.microsoft.com/office/drawing/2014/main" id="{A34DA58B-7D0B-B3DE-167B-0EBA65C1E38A}"/>
            </a:ext>
          </a:extLst>
        </xdr:cNvPr>
        <xdr:cNvCxnSpPr/>
      </xdr:nvCxnSpPr>
      <xdr:spPr>
        <a:xfrm>
          <a:off x="14154150" y="1304925"/>
          <a:ext cx="0" cy="504825"/>
        </a:xfrm>
        <a:prstGeom prst="line">
          <a:avLst/>
        </a:prstGeom>
        <a:ln>
          <a:solidFill>
            <a:srgbClr val="46230B"/>
          </a:solidFill>
        </a:ln>
      </xdr:spPr>
      <xdr:style>
        <a:lnRef idx="1">
          <a:schemeClr val="accent3"/>
        </a:lnRef>
        <a:fillRef idx="0">
          <a:schemeClr val="accent3"/>
        </a:fillRef>
        <a:effectRef idx="0">
          <a:schemeClr val="accent3"/>
        </a:effectRef>
        <a:fontRef idx="minor">
          <a:schemeClr val="tx1"/>
        </a:fontRef>
      </xdr:style>
    </xdr:cxnSp>
    <xdr:clientData/>
  </xdr:twoCellAnchor>
  <xdr:twoCellAnchor>
    <xdr:from>
      <xdr:col>18</xdr:col>
      <xdr:colOff>19050</xdr:colOff>
      <xdr:row>7</xdr:row>
      <xdr:rowOff>47625</xdr:rowOff>
    </xdr:from>
    <xdr:to>
      <xdr:col>18</xdr:col>
      <xdr:colOff>19050</xdr:colOff>
      <xdr:row>10</xdr:row>
      <xdr:rowOff>9525</xdr:rowOff>
    </xdr:to>
    <xdr:cxnSp macro="">
      <xdr:nvCxnSpPr>
        <xdr:cNvPr id="31" name="Straight Connector 30">
          <a:extLst>
            <a:ext uri="{FF2B5EF4-FFF2-40B4-BE49-F238E27FC236}">
              <a16:creationId xmlns:a16="http://schemas.microsoft.com/office/drawing/2014/main" id="{39461B98-0894-D568-7DD7-DB8CCDF875B9}"/>
            </a:ext>
          </a:extLst>
        </xdr:cNvPr>
        <xdr:cNvCxnSpPr/>
      </xdr:nvCxnSpPr>
      <xdr:spPr>
        <a:xfrm>
          <a:off x="10991850" y="1314450"/>
          <a:ext cx="0" cy="504825"/>
        </a:xfrm>
        <a:prstGeom prst="line">
          <a:avLst/>
        </a:prstGeom>
        <a:ln>
          <a:solidFill>
            <a:srgbClr val="46230B"/>
          </a:solidFill>
        </a:ln>
      </xdr:spPr>
      <xdr:style>
        <a:lnRef idx="1">
          <a:schemeClr val="accent3"/>
        </a:lnRef>
        <a:fillRef idx="0">
          <a:schemeClr val="accent3"/>
        </a:fillRef>
        <a:effectRef idx="0">
          <a:schemeClr val="accent3"/>
        </a:effectRef>
        <a:fontRef idx="minor">
          <a:schemeClr val="tx1"/>
        </a:fontRef>
      </xdr:style>
    </xdr:cxnSp>
    <xdr:clientData/>
  </xdr:twoCellAnchor>
  <xdr:twoCellAnchor>
    <xdr:from>
      <xdr:col>12</xdr:col>
      <xdr:colOff>447675</xdr:colOff>
      <xdr:row>7</xdr:row>
      <xdr:rowOff>66675</xdr:rowOff>
    </xdr:from>
    <xdr:to>
      <xdr:col>12</xdr:col>
      <xdr:colOff>447675</xdr:colOff>
      <xdr:row>10</xdr:row>
      <xdr:rowOff>28575</xdr:rowOff>
    </xdr:to>
    <xdr:cxnSp macro="">
      <xdr:nvCxnSpPr>
        <xdr:cNvPr id="32" name="Straight Connector 31">
          <a:extLst>
            <a:ext uri="{FF2B5EF4-FFF2-40B4-BE49-F238E27FC236}">
              <a16:creationId xmlns:a16="http://schemas.microsoft.com/office/drawing/2014/main" id="{AFB6215C-CC7E-E25C-81F3-2F16A6AE9F66}"/>
            </a:ext>
          </a:extLst>
        </xdr:cNvPr>
        <xdr:cNvCxnSpPr/>
      </xdr:nvCxnSpPr>
      <xdr:spPr>
        <a:xfrm>
          <a:off x="7762875" y="1333500"/>
          <a:ext cx="0" cy="504825"/>
        </a:xfrm>
        <a:prstGeom prst="line">
          <a:avLst/>
        </a:prstGeom>
        <a:ln>
          <a:solidFill>
            <a:srgbClr val="46230B"/>
          </a:solidFill>
        </a:ln>
      </xdr:spPr>
      <xdr:style>
        <a:lnRef idx="1">
          <a:schemeClr val="accent3"/>
        </a:lnRef>
        <a:fillRef idx="0">
          <a:schemeClr val="accent3"/>
        </a:fillRef>
        <a:effectRef idx="0">
          <a:schemeClr val="accent3"/>
        </a:effectRef>
        <a:fontRef idx="minor">
          <a:schemeClr val="tx1"/>
        </a:fontRef>
      </xdr:style>
    </xdr:cxnSp>
    <xdr:clientData/>
  </xdr:twoCellAnchor>
  <xdr:twoCellAnchor>
    <xdr:from>
      <xdr:col>13</xdr:col>
      <xdr:colOff>295276</xdr:colOff>
      <xdr:row>6</xdr:row>
      <xdr:rowOff>133350</xdr:rowOff>
    </xdr:from>
    <xdr:to>
      <xdr:col>15</xdr:col>
      <xdr:colOff>66675</xdr:colOff>
      <xdr:row>8</xdr:row>
      <xdr:rowOff>123825</xdr:rowOff>
    </xdr:to>
    <xdr:sp macro="" textlink="Pivot_Table!A5">
      <xdr:nvSpPr>
        <xdr:cNvPr id="34" name="TextBox 33">
          <a:extLst>
            <a:ext uri="{FF2B5EF4-FFF2-40B4-BE49-F238E27FC236}">
              <a16:creationId xmlns:a16="http://schemas.microsoft.com/office/drawing/2014/main" id="{7AFE9ED5-8DE0-BDDA-7018-9F1084283E3E}"/>
            </a:ext>
          </a:extLst>
        </xdr:cNvPr>
        <xdr:cNvSpPr txBox="1"/>
      </xdr:nvSpPr>
      <xdr:spPr>
        <a:xfrm>
          <a:off x="8220076" y="1219200"/>
          <a:ext cx="990599" cy="352425"/>
        </a:xfrm>
        <a:prstGeom prst="rect">
          <a:avLst/>
        </a:prstGeom>
        <a:solidFill>
          <a:srgbClr val="FDF9F3"/>
        </a:solidFill>
        <a:ln w="9525" cmpd="sng">
          <a:solidFill>
            <a:srgbClr val="FDF9F3"/>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33B56E2-A682-44EA-9506-13EA92F4D39E}" type="TxLink">
            <a:rPr lang="en-US" sz="2400" b="1" i="0" u="none" strike="noStrike">
              <a:solidFill>
                <a:srgbClr val="4D290D"/>
              </a:solidFill>
              <a:latin typeface="Calibri"/>
              <a:ea typeface="Calibri"/>
              <a:cs typeface="Calibri"/>
            </a:rPr>
            <a:pPr algn="ctr"/>
            <a:t>2000</a:t>
          </a:fld>
          <a:endParaRPr lang="en-US" sz="2400" b="1" i="0" u="none" strike="noStrike">
            <a:solidFill>
              <a:srgbClr val="4D290D"/>
            </a:solidFill>
            <a:latin typeface="Calibri"/>
            <a:ea typeface="Calibri"/>
            <a:cs typeface="Calibri"/>
          </a:endParaRPr>
        </a:p>
      </xdr:txBody>
    </xdr:sp>
    <xdr:clientData/>
  </xdr:twoCellAnchor>
  <xdr:twoCellAnchor>
    <xdr:from>
      <xdr:col>23</xdr:col>
      <xdr:colOff>437590</xdr:colOff>
      <xdr:row>6</xdr:row>
      <xdr:rowOff>167528</xdr:rowOff>
    </xdr:from>
    <xdr:to>
      <xdr:col>25</xdr:col>
      <xdr:colOff>542365</xdr:colOff>
      <xdr:row>8</xdr:row>
      <xdr:rowOff>129428</xdr:rowOff>
    </xdr:to>
    <xdr:sp macro="" textlink="Pivot_Table!D5">
      <xdr:nvSpPr>
        <xdr:cNvPr id="38" name="TextBox 37">
          <a:extLst>
            <a:ext uri="{FF2B5EF4-FFF2-40B4-BE49-F238E27FC236}">
              <a16:creationId xmlns:a16="http://schemas.microsoft.com/office/drawing/2014/main" id="{6DF7CDD3-751C-3A2A-8BDA-53462CB562F2}"/>
            </a:ext>
          </a:extLst>
        </xdr:cNvPr>
        <xdr:cNvSpPr txBox="1"/>
      </xdr:nvSpPr>
      <xdr:spPr>
        <a:xfrm>
          <a:off x="14458390" y="1243293"/>
          <a:ext cx="1323975" cy="320488"/>
        </a:xfrm>
        <a:prstGeom prst="rect">
          <a:avLst/>
        </a:prstGeom>
        <a:solidFill>
          <a:srgbClr val="FDF9F3"/>
        </a:solidFill>
        <a:ln w="9525" cmpd="sng">
          <a:solidFill>
            <a:srgbClr val="FDF9F3"/>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D83471B-FCA1-450A-9522-8D9EBFB23EF6}" type="TxLink">
            <a:rPr lang="en-US" sz="2400" b="1" i="0" u="none" strike="noStrike">
              <a:solidFill>
                <a:srgbClr val="4D290D"/>
              </a:solidFill>
              <a:latin typeface="Calibri"/>
              <a:ea typeface="Calibri"/>
              <a:cs typeface="Calibri"/>
            </a:rPr>
            <a:pPr marL="0" indent="0" algn="ctr"/>
            <a:t>2.525</a:t>
          </a:fld>
          <a:endParaRPr lang="en-IN" sz="2400" b="1" i="0" u="none" strike="noStrike">
            <a:solidFill>
              <a:srgbClr val="4D290D"/>
            </a:solidFill>
            <a:latin typeface="Calibri"/>
            <a:ea typeface="Calibri"/>
            <a:cs typeface="Calibri"/>
          </a:endParaRPr>
        </a:p>
      </xdr:txBody>
    </xdr:sp>
    <xdr:clientData/>
  </xdr:twoCellAnchor>
  <xdr:twoCellAnchor>
    <xdr:from>
      <xdr:col>18</xdr:col>
      <xdr:colOff>219075</xdr:colOff>
      <xdr:row>6</xdr:row>
      <xdr:rowOff>152399</xdr:rowOff>
    </xdr:from>
    <xdr:to>
      <xdr:col>20</xdr:col>
      <xdr:colOff>600075</xdr:colOff>
      <xdr:row>8</xdr:row>
      <xdr:rowOff>142874</xdr:rowOff>
    </xdr:to>
    <xdr:sp macro="" textlink="Pivot_Table!C5">
      <xdr:nvSpPr>
        <xdr:cNvPr id="39" name="TextBox 38">
          <a:extLst>
            <a:ext uri="{FF2B5EF4-FFF2-40B4-BE49-F238E27FC236}">
              <a16:creationId xmlns:a16="http://schemas.microsoft.com/office/drawing/2014/main" id="{F461CA72-EA8C-E346-A802-C3FA32CC3282}"/>
            </a:ext>
          </a:extLst>
        </xdr:cNvPr>
        <xdr:cNvSpPr txBox="1"/>
      </xdr:nvSpPr>
      <xdr:spPr>
        <a:xfrm>
          <a:off x="11191875" y="1238249"/>
          <a:ext cx="1600200" cy="352425"/>
        </a:xfrm>
        <a:prstGeom prst="rect">
          <a:avLst/>
        </a:prstGeom>
        <a:solidFill>
          <a:srgbClr val="FDF9F3"/>
        </a:solidFill>
        <a:ln w="9525" cmpd="sng">
          <a:solidFill>
            <a:srgbClr val="FDF9F3"/>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F9A1836-6C62-4F36-8872-B81245992726}" type="TxLink">
            <a:rPr lang="en-US" sz="2400" b="1" i="0" u="none" strike="noStrike">
              <a:solidFill>
                <a:srgbClr val="4D290D"/>
              </a:solidFill>
              <a:latin typeface="Calibri"/>
              <a:ea typeface="Calibri"/>
              <a:cs typeface="Calibri"/>
            </a:rPr>
            <a:pPr marL="0" indent="0" algn="ctr"/>
            <a:t>13.874125</a:t>
          </a:fld>
          <a:endParaRPr lang="en-IN" sz="2400" b="1" i="0" u="none" strike="noStrike">
            <a:solidFill>
              <a:srgbClr val="4D290D"/>
            </a:solidFill>
            <a:latin typeface="Calibri"/>
            <a:ea typeface="Calibri"/>
            <a:cs typeface="Calibri"/>
          </a:endParaRPr>
        </a:p>
      </xdr:txBody>
    </xdr:sp>
    <xdr:clientData/>
  </xdr:twoCellAnchor>
  <xdr:twoCellAnchor>
    <xdr:from>
      <xdr:col>7</xdr:col>
      <xdr:colOff>520514</xdr:colOff>
      <xdr:row>6</xdr:row>
      <xdr:rowOff>135031</xdr:rowOff>
    </xdr:from>
    <xdr:to>
      <xdr:col>10</xdr:col>
      <xdr:colOff>310964</xdr:colOff>
      <xdr:row>8</xdr:row>
      <xdr:rowOff>135031</xdr:rowOff>
    </xdr:to>
    <xdr:sp macro="" textlink="Pivot_Table!B5">
      <xdr:nvSpPr>
        <xdr:cNvPr id="40" name="TextBox 39">
          <a:extLst>
            <a:ext uri="{FF2B5EF4-FFF2-40B4-BE49-F238E27FC236}">
              <a16:creationId xmlns:a16="http://schemas.microsoft.com/office/drawing/2014/main" id="{5514A5CB-A2CB-7077-C532-5A5DC7C4F12E}"/>
            </a:ext>
          </a:extLst>
        </xdr:cNvPr>
        <xdr:cNvSpPr txBox="1"/>
      </xdr:nvSpPr>
      <xdr:spPr>
        <a:xfrm>
          <a:off x="4787714" y="1210796"/>
          <a:ext cx="1619250" cy="358588"/>
        </a:xfrm>
        <a:prstGeom prst="rect">
          <a:avLst/>
        </a:prstGeom>
        <a:solidFill>
          <a:srgbClr val="FDF9F3"/>
        </a:solidFill>
        <a:ln w="9525" cmpd="sng">
          <a:solidFill>
            <a:srgbClr val="FDF9F3"/>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2400" b="1" i="0" u="none" strike="noStrike">
              <a:solidFill>
                <a:srgbClr val="49260C"/>
              </a:solidFill>
              <a:latin typeface="Calibri"/>
              <a:ea typeface="Calibri"/>
              <a:cs typeface="Calibri"/>
            </a:rPr>
            <a:t>₹</a:t>
          </a:r>
          <a:fld id="{0A65F762-8233-4FE7-A13A-C00F15404FB4}" type="TxLink">
            <a:rPr lang="en-US" sz="2400" b="1" i="0" u="none" strike="noStrike">
              <a:solidFill>
                <a:srgbClr val="49260C"/>
              </a:solidFill>
              <a:latin typeface="Calibri"/>
              <a:ea typeface="Calibri"/>
              <a:cs typeface="Calibri"/>
            </a:rPr>
            <a:t>27748.25</a:t>
          </a:fld>
          <a:endParaRPr lang="en-US" sz="4800" b="1" i="0" u="none" strike="noStrike">
            <a:solidFill>
              <a:srgbClr val="49260C"/>
            </a:solidFill>
            <a:latin typeface="Calibri"/>
            <a:ea typeface="Calibri"/>
            <a:cs typeface="Calibri"/>
          </a:endParaRPr>
        </a:p>
      </xdr:txBody>
    </xdr:sp>
    <xdr:clientData/>
  </xdr:twoCellAnchor>
  <xdr:twoCellAnchor>
    <xdr:from>
      <xdr:col>7</xdr:col>
      <xdr:colOff>590550</xdr:colOff>
      <xdr:row>9</xdr:row>
      <xdr:rowOff>0</xdr:rowOff>
    </xdr:from>
    <xdr:to>
      <xdr:col>10</xdr:col>
      <xdr:colOff>180975</xdr:colOff>
      <xdr:row>10</xdr:row>
      <xdr:rowOff>95250</xdr:rowOff>
    </xdr:to>
    <xdr:sp macro="" textlink="">
      <xdr:nvSpPr>
        <xdr:cNvPr id="41" name="Rectangle 40">
          <a:extLst>
            <a:ext uri="{FF2B5EF4-FFF2-40B4-BE49-F238E27FC236}">
              <a16:creationId xmlns:a16="http://schemas.microsoft.com/office/drawing/2014/main" id="{785F579A-AA70-DD84-677B-9BDBA3DEED4B}"/>
            </a:ext>
          </a:extLst>
        </xdr:cNvPr>
        <xdr:cNvSpPr/>
      </xdr:nvSpPr>
      <xdr:spPr>
        <a:xfrm>
          <a:off x="4857750" y="1628775"/>
          <a:ext cx="1419225" cy="276225"/>
        </a:xfrm>
        <a:prstGeom prst="rect">
          <a:avLst/>
        </a:prstGeom>
        <a:solidFill>
          <a:srgbClr val="FDF9F3"/>
        </a:solidFill>
        <a:ln>
          <a:solidFill>
            <a:srgbClr val="FDF9F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rgbClr val="4D290D"/>
              </a:solidFill>
              <a:latin typeface="Arial Rounded MT Bold" panose="020F0704030504030204" pitchFamily="34" charset="0"/>
            </a:rPr>
            <a:t>Total Sales</a:t>
          </a:r>
        </a:p>
      </xdr:txBody>
    </xdr:sp>
    <xdr:clientData/>
  </xdr:twoCellAnchor>
  <xdr:twoCellAnchor>
    <xdr:from>
      <xdr:col>13</xdr:col>
      <xdr:colOff>47626</xdr:colOff>
      <xdr:row>8</xdr:row>
      <xdr:rowOff>123825</xdr:rowOff>
    </xdr:from>
    <xdr:to>
      <xdr:col>15</xdr:col>
      <xdr:colOff>295276</xdr:colOff>
      <xdr:row>10</xdr:row>
      <xdr:rowOff>114300</xdr:rowOff>
    </xdr:to>
    <xdr:sp macro="" textlink="">
      <xdr:nvSpPr>
        <xdr:cNvPr id="42" name="Rectangle 41">
          <a:extLst>
            <a:ext uri="{FF2B5EF4-FFF2-40B4-BE49-F238E27FC236}">
              <a16:creationId xmlns:a16="http://schemas.microsoft.com/office/drawing/2014/main" id="{4ACD24D0-F057-8D47-6A96-ACCDF8BB0CFD}"/>
            </a:ext>
          </a:extLst>
        </xdr:cNvPr>
        <xdr:cNvSpPr/>
      </xdr:nvSpPr>
      <xdr:spPr>
        <a:xfrm>
          <a:off x="7972426" y="1571625"/>
          <a:ext cx="1466850" cy="352425"/>
        </a:xfrm>
        <a:prstGeom prst="rect">
          <a:avLst/>
        </a:prstGeom>
        <a:solidFill>
          <a:srgbClr val="FDF9F3"/>
        </a:solidFill>
        <a:ln>
          <a:solidFill>
            <a:srgbClr val="FDF9F3"/>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400" b="1">
              <a:solidFill>
                <a:srgbClr val="4D290D"/>
              </a:solidFill>
              <a:latin typeface="Arial Rounded MT Bold" panose="020F0704030504030204" pitchFamily="34" charset="0"/>
              <a:ea typeface="+mn-ea"/>
              <a:cs typeface="+mn-cs"/>
            </a:rPr>
            <a:t>Total FootFall</a:t>
          </a:r>
        </a:p>
      </xdr:txBody>
    </xdr:sp>
    <xdr:clientData/>
  </xdr:twoCellAnchor>
  <xdr:twoCellAnchor>
    <xdr:from>
      <xdr:col>18</xdr:col>
      <xdr:colOff>238124</xdr:colOff>
      <xdr:row>8</xdr:row>
      <xdr:rowOff>114300</xdr:rowOff>
    </xdr:from>
    <xdr:to>
      <xdr:col>21</xdr:col>
      <xdr:colOff>19049</xdr:colOff>
      <xdr:row>10</xdr:row>
      <xdr:rowOff>123825</xdr:rowOff>
    </xdr:to>
    <xdr:sp macro="" textlink="">
      <xdr:nvSpPr>
        <xdr:cNvPr id="43" name="Rectangle 42">
          <a:extLst>
            <a:ext uri="{FF2B5EF4-FFF2-40B4-BE49-F238E27FC236}">
              <a16:creationId xmlns:a16="http://schemas.microsoft.com/office/drawing/2014/main" id="{A4F3B9A2-41BD-9391-D960-2E1DF7B7D265}"/>
            </a:ext>
          </a:extLst>
        </xdr:cNvPr>
        <xdr:cNvSpPr/>
      </xdr:nvSpPr>
      <xdr:spPr>
        <a:xfrm>
          <a:off x="11210924" y="1562100"/>
          <a:ext cx="1609725" cy="371475"/>
        </a:xfrm>
        <a:prstGeom prst="rect">
          <a:avLst/>
        </a:prstGeom>
        <a:solidFill>
          <a:srgbClr val="FDF9F3"/>
        </a:solidFill>
        <a:ln>
          <a:solidFill>
            <a:srgbClr val="FDF9F3"/>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400" b="1">
              <a:solidFill>
                <a:srgbClr val="4D290D"/>
              </a:solidFill>
              <a:latin typeface="Arial Rounded MT Bold" panose="020F0704030504030204" pitchFamily="34" charset="0"/>
              <a:ea typeface="+mn-ea"/>
              <a:cs typeface="+mn-cs"/>
            </a:rPr>
            <a:t>AVG Bill/Person</a:t>
          </a:r>
        </a:p>
        <a:p>
          <a:pPr marL="0" indent="0" algn="ctr"/>
          <a:endParaRPr lang="en-IN" sz="1400" b="1">
            <a:solidFill>
              <a:srgbClr val="4D290D"/>
            </a:solidFill>
            <a:latin typeface="Arial Rounded MT Bold" panose="020F0704030504030204" pitchFamily="34" charset="0"/>
            <a:ea typeface="+mn-ea"/>
            <a:cs typeface="+mn-cs"/>
          </a:endParaRPr>
        </a:p>
      </xdr:txBody>
    </xdr:sp>
    <xdr:clientData/>
  </xdr:twoCellAnchor>
  <xdr:twoCellAnchor>
    <xdr:from>
      <xdr:col>23</xdr:col>
      <xdr:colOff>337857</xdr:colOff>
      <xdr:row>8</xdr:row>
      <xdr:rowOff>141195</xdr:rowOff>
    </xdr:from>
    <xdr:to>
      <xdr:col>26</xdr:col>
      <xdr:colOff>118782</xdr:colOff>
      <xdr:row>10</xdr:row>
      <xdr:rowOff>103094</xdr:rowOff>
    </xdr:to>
    <xdr:sp macro="" textlink="">
      <xdr:nvSpPr>
        <xdr:cNvPr id="44" name="Rectangle 43">
          <a:extLst>
            <a:ext uri="{FF2B5EF4-FFF2-40B4-BE49-F238E27FC236}">
              <a16:creationId xmlns:a16="http://schemas.microsoft.com/office/drawing/2014/main" id="{96D8FB50-E673-49C6-8A17-8FE21CA87EAF}"/>
            </a:ext>
          </a:extLst>
        </xdr:cNvPr>
        <xdr:cNvSpPr/>
      </xdr:nvSpPr>
      <xdr:spPr>
        <a:xfrm>
          <a:off x="14358657" y="1575548"/>
          <a:ext cx="1609725" cy="320487"/>
        </a:xfrm>
        <a:prstGeom prst="rect">
          <a:avLst/>
        </a:prstGeom>
        <a:solidFill>
          <a:srgbClr val="FDF9F3"/>
        </a:solidFill>
        <a:ln>
          <a:solidFill>
            <a:srgbClr val="FDF9F3"/>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200" b="1">
              <a:solidFill>
                <a:srgbClr val="4D290D"/>
              </a:solidFill>
              <a:latin typeface="Arial Rounded MT Bold" panose="020F0704030504030204" pitchFamily="34" charset="0"/>
              <a:ea typeface="+mn-ea"/>
              <a:cs typeface="+mn-cs"/>
            </a:rPr>
            <a:t>AVG Qty/Orders</a:t>
          </a:r>
        </a:p>
      </xdr:txBody>
    </xdr:sp>
    <xdr:clientData/>
  </xdr:twoCellAnchor>
  <xdr:twoCellAnchor>
    <xdr:from>
      <xdr:col>6</xdr:col>
      <xdr:colOff>142872</xdr:colOff>
      <xdr:row>11</xdr:row>
      <xdr:rowOff>152399</xdr:rowOff>
    </xdr:from>
    <xdr:to>
      <xdr:col>12</xdr:col>
      <xdr:colOff>492072</xdr:colOff>
      <xdr:row>23</xdr:row>
      <xdr:rowOff>158699</xdr:rowOff>
    </xdr:to>
    <xdr:sp macro="" textlink="">
      <xdr:nvSpPr>
        <xdr:cNvPr id="50" name="Rectangle: Rounded Corners 49">
          <a:extLst>
            <a:ext uri="{FF2B5EF4-FFF2-40B4-BE49-F238E27FC236}">
              <a16:creationId xmlns:a16="http://schemas.microsoft.com/office/drawing/2014/main" id="{84EC264D-97D9-DA10-A6D8-395C71D95765}"/>
            </a:ext>
          </a:extLst>
        </xdr:cNvPr>
        <xdr:cNvSpPr/>
      </xdr:nvSpPr>
      <xdr:spPr>
        <a:xfrm>
          <a:off x="3800472" y="2143124"/>
          <a:ext cx="4006800" cy="2178000"/>
        </a:xfrm>
        <a:prstGeom prst="roundRect">
          <a:avLst>
            <a:gd name="adj" fmla="val 4208"/>
          </a:avLst>
        </a:prstGeom>
        <a:solidFill>
          <a:srgbClr val="FFF7ED"/>
        </a:solidFill>
        <a:ln w="12700">
          <a:solidFill>
            <a:srgbClr val="C59A70"/>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185905</xdr:colOff>
      <xdr:row>11</xdr:row>
      <xdr:rowOff>153071</xdr:rowOff>
    </xdr:from>
    <xdr:to>
      <xdr:col>12</xdr:col>
      <xdr:colOff>535105</xdr:colOff>
      <xdr:row>23</xdr:row>
      <xdr:rowOff>159371</xdr:rowOff>
    </xdr:to>
    <xdr:graphicFrame macro="">
      <xdr:nvGraphicFramePr>
        <xdr:cNvPr id="45" name="Chart 44">
          <a:extLst>
            <a:ext uri="{FF2B5EF4-FFF2-40B4-BE49-F238E27FC236}">
              <a16:creationId xmlns:a16="http://schemas.microsoft.com/office/drawing/2014/main" id="{C10FFFFA-C66E-4A4A-B38C-66A88F2422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19</xdr:col>
      <xdr:colOff>542924</xdr:colOff>
      <xdr:row>11</xdr:row>
      <xdr:rowOff>138793</xdr:rowOff>
    </xdr:from>
    <xdr:to>
      <xdr:col>26</xdr:col>
      <xdr:colOff>282524</xdr:colOff>
      <xdr:row>23</xdr:row>
      <xdr:rowOff>145093</xdr:rowOff>
    </xdr:to>
    <xdr:sp macro="" textlink="">
      <xdr:nvSpPr>
        <xdr:cNvPr id="52" name="Rectangle: Rounded Corners 51">
          <a:extLst>
            <a:ext uri="{FF2B5EF4-FFF2-40B4-BE49-F238E27FC236}">
              <a16:creationId xmlns:a16="http://schemas.microsoft.com/office/drawing/2014/main" id="{6519C9A3-145B-9E20-737B-FC3329264305}"/>
            </a:ext>
          </a:extLst>
        </xdr:cNvPr>
        <xdr:cNvSpPr/>
      </xdr:nvSpPr>
      <xdr:spPr>
        <a:xfrm>
          <a:off x="12125324" y="2174422"/>
          <a:ext cx="4006800" cy="2226985"/>
        </a:xfrm>
        <a:prstGeom prst="roundRect">
          <a:avLst>
            <a:gd name="adj" fmla="val 3110"/>
          </a:avLst>
        </a:prstGeom>
        <a:solidFill>
          <a:srgbClr val="FFF7ED"/>
        </a:solidFill>
        <a:ln w="12700">
          <a:solidFill>
            <a:srgbClr val="C59A70"/>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13</xdr:col>
      <xdr:colOff>47624</xdr:colOff>
      <xdr:row>11</xdr:row>
      <xdr:rowOff>152400</xdr:rowOff>
    </xdr:from>
    <xdr:to>
      <xdr:col>19</xdr:col>
      <xdr:colOff>396824</xdr:colOff>
      <xdr:row>23</xdr:row>
      <xdr:rowOff>158700</xdr:rowOff>
    </xdr:to>
    <xdr:sp macro="" textlink="">
      <xdr:nvSpPr>
        <xdr:cNvPr id="54" name="Rectangle: Rounded Corners 53">
          <a:extLst>
            <a:ext uri="{FF2B5EF4-FFF2-40B4-BE49-F238E27FC236}">
              <a16:creationId xmlns:a16="http://schemas.microsoft.com/office/drawing/2014/main" id="{985B9395-FAA6-C2F2-D8AB-E39D29BE2258}"/>
            </a:ext>
          </a:extLst>
        </xdr:cNvPr>
        <xdr:cNvSpPr/>
      </xdr:nvSpPr>
      <xdr:spPr>
        <a:xfrm>
          <a:off x="7972424" y="2143125"/>
          <a:ext cx="4006800" cy="2178000"/>
        </a:xfrm>
        <a:prstGeom prst="roundRect">
          <a:avLst>
            <a:gd name="adj" fmla="val 3234"/>
          </a:avLst>
        </a:prstGeom>
        <a:solidFill>
          <a:srgbClr val="FFF7ED"/>
        </a:solidFill>
        <a:ln w="12700">
          <a:solidFill>
            <a:srgbClr val="C59A70"/>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141754</xdr:colOff>
      <xdr:row>25</xdr:row>
      <xdr:rowOff>80682</xdr:rowOff>
    </xdr:from>
    <xdr:to>
      <xdr:col>12</xdr:col>
      <xdr:colOff>490954</xdr:colOff>
      <xdr:row>37</xdr:row>
      <xdr:rowOff>86982</xdr:rowOff>
    </xdr:to>
    <xdr:sp macro="" textlink="">
      <xdr:nvSpPr>
        <xdr:cNvPr id="55" name="Rectangle: Rounded Corners 54">
          <a:extLst>
            <a:ext uri="{FF2B5EF4-FFF2-40B4-BE49-F238E27FC236}">
              <a16:creationId xmlns:a16="http://schemas.microsoft.com/office/drawing/2014/main" id="{52B713AE-AC43-603E-8D8C-4C9D8C46B416}"/>
            </a:ext>
          </a:extLst>
        </xdr:cNvPr>
        <xdr:cNvSpPr/>
      </xdr:nvSpPr>
      <xdr:spPr>
        <a:xfrm>
          <a:off x="3799354" y="4563035"/>
          <a:ext cx="4006800" cy="2157829"/>
        </a:xfrm>
        <a:prstGeom prst="roundRect">
          <a:avLst>
            <a:gd name="adj" fmla="val 3234"/>
          </a:avLst>
        </a:prstGeom>
        <a:solidFill>
          <a:srgbClr val="FFF7ED"/>
        </a:solidFill>
        <a:ln w="12700">
          <a:solidFill>
            <a:srgbClr val="C59A70"/>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66674</xdr:colOff>
      <xdr:row>25</xdr:row>
      <xdr:rowOff>81805</xdr:rowOff>
    </xdr:from>
    <xdr:to>
      <xdr:col>19</xdr:col>
      <xdr:colOff>415874</xdr:colOff>
      <xdr:row>37</xdr:row>
      <xdr:rowOff>88105</xdr:rowOff>
    </xdr:to>
    <xdr:sp macro="" textlink="">
      <xdr:nvSpPr>
        <xdr:cNvPr id="56" name="Rectangle: Rounded Corners 55">
          <a:extLst>
            <a:ext uri="{FF2B5EF4-FFF2-40B4-BE49-F238E27FC236}">
              <a16:creationId xmlns:a16="http://schemas.microsoft.com/office/drawing/2014/main" id="{8A833FA5-C58A-2A8E-7AB3-22CA251BD18C}"/>
            </a:ext>
          </a:extLst>
        </xdr:cNvPr>
        <xdr:cNvSpPr/>
      </xdr:nvSpPr>
      <xdr:spPr>
        <a:xfrm>
          <a:off x="7991474" y="4564158"/>
          <a:ext cx="4006800" cy="2157829"/>
        </a:xfrm>
        <a:prstGeom prst="roundRect">
          <a:avLst>
            <a:gd name="adj" fmla="val 3234"/>
          </a:avLst>
        </a:prstGeom>
        <a:solidFill>
          <a:srgbClr val="FFF7ED"/>
        </a:solidFill>
        <a:ln w="12700">
          <a:solidFill>
            <a:srgbClr val="C59A70"/>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581024</xdr:colOff>
      <xdr:row>25</xdr:row>
      <xdr:rowOff>81805</xdr:rowOff>
    </xdr:from>
    <xdr:to>
      <xdr:col>26</xdr:col>
      <xdr:colOff>320624</xdr:colOff>
      <xdr:row>37</xdr:row>
      <xdr:rowOff>88105</xdr:rowOff>
    </xdr:to>
    <xdr:sp macro="" textlink="">
      <xdr:nvSpPr>
        <xdr:cNvPr id="57" name="Rectangle: Rounded Corners 56">
          <a:extLst>
            <a:ext uri="{FF2B5EF4-FFF2-40B4-BE49-F238E27FC236}">
              <a16:creationId xmlns:a16="http://schemas.microsoft.com/office/drawing/2014/main" id="{27A71511-BF8B-741A-1A6F-A76805CE591A}"/>
            </a:ext>
          </a:extLst>
        </xdr:cNvPr>
        <xdr:cNvSpPr/>
      </xdr:nvSpPr>
      <xdr:spPr>
        <a:xfrm>
          <a:off x="12163424" y="4564158"/>
          <a:ext cx="4006800" cy="2157829"/>
        </a:xfrm>
        <a:prstGeom prst="roundRect">
          <a:avLst>
            <a:gd name="adj" fmla="val 3234"/>
          </a:avLst>
        </a:prstGeom>
        <a:solidFill>
          <a:srgbClr val="FFF7ED"/>
        </a:solidFill>
        <a:ln w="12700">
          <a:solidFill>
            <a:srgbClr val="C59A70"/>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47625</xdr:colOff>
      <xdr:row>11</xdr:row>
      <xdr:rowOff>146685</xdr:rowOff>
    </xdr:from>
    <xdr:to>
      <xdr:col>19</xdr:col>
      <xdr:colOff>396825</xdr:colOff>
      <xdr:row>23</xdr:row>
      <xdr:rowOff>152985</xdr:rowOff>
    </xdr:to>
    <xdr:graphicFrame macro="">
      <xdr:nvGraphicFramePr>
        <xdr:cNvPr id="46" name="Chart 45">
          <a:extLst>
            <a:ext uri="{FF2B5EF4-FFF2-40B4-BE49-F238E27FC236}">
              <a16:creationId xmlns:a16="http://schemas.microsoft.com/office/drawing/2014/main" id="{523B531A-1436-4363-9788-FC3FDFD6FE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19</xdr:col>
      <xdr:colOff>529478</xdr:colOff>
      <xdr:row>12</xdr:row>
      <xdr:rowOff>74183</xdr:rowOff>
    </xdr:from>
    <xdr:to>
      <xdr:col>26</xdr:col>
      <xdr:colOff>269078</xdr:colOff>
      <xdr:row>24</xdr:row>
      <xdr:rowOff>80483</xdr:rowOff>
    </xdr:to>
    <xdr:graphicFrame macro="">
      <xdr:nvGraphicFramePr>
        <xdr:cNvPr id="47" name="Chart 46">
          <a:extLst>
            <a:ext uri="{FF2B5EF4-FFF2-40B4-BE49-F238E27FC236}">
              <a16:creationId xmlns:a16="http://schemas.microsoft.com/office/drawing/2014/main" id="{82BE8CB9-6002-4446-9BD0-31CF9DC585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13</xdr:col>
      <xdr:colOff>127635</xdr:colOff>
      <xdr:row>25</xdr:row>
      <xdr:rowOff>35861</xdr:rowOff>
    </xdr:from>
    <xdr:to>
      <xdr:col>19</xdr:col>
      <xdr:colOff>476835</xdr:colOff>
      <xdr:row>37</xdr:row>
      <xdr:rowOff>42161</xdr:rowOff>
    </xdr:to>
    <xdr:graphicFrame macro="">
      <xdr:nvGraphicFramePr>
        <xdr:cNvPr id="49" name="Chart 48">
          <a:extLst>
            <a:ext uri="{FF2B5EF4-FFF2-40B4-BE49-F238E27FC236}">
              <a16:creationId xmlns:a16="http://schemas.microsoft.com/office/drawing/2014/main" id="{99C2DCC7-6BB9-4714-80DE-CB4E3DD8FE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6</xdr:col>
      <xdr:colOff>128196</xdr:colOff>
      <xdr:row>25</xdr:row>
      <xdr:rowOff>124160</xdr:rowOff>
    </xdr:from>
    <xdr:to>
      <xdr:col>12</xdr:col>
      <xdr:colOff>477396</xdr:colOff>
      <xdr:row>37</xdr:row>
      <xdr:rowOff>130460</xdr:rowOff>
    </xdr:to>
    <xdr:graphicFrame macro="">
      <xdr:nvGraphicFramePr>
        <xdr:cNvPr id="48" name="Chart 47">
          <a:extLst>
            <a:ext uri="{FF2B5EF4-FFF2-40B4-BE49-F238E27FC236}">
              <a16:creationId xmlns:a16="http://schemas.microsoft.com/office/drawing/2014/main" id="{97CC622D-18C7-4A1D-BC31-8F1ED4ABD2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3</xdr:col>
      <xdr:colOff>19049</xdr:colOff>
      <xdr:row>4</xdr:row>
      <xdr:rowOff>57150</xdr:rowOff>
    </xdr:from>
    <xdr:to>
      <xdr:col>5</xdr:col>
      <xdr:colOff>542249</xdr:colOff>
      <xdr:row>17</xdr:row>
      <xdr:rowOff>141675</xdr:rowOff>
    </xdr:to>
    <xdr:sp macro="" textlink="">
      <xdr:nvSpPr>
        <xdr:cNvPr id="59" name="Rectangle: Rounded Corners 58">
          <a:extLst>
            <a:ext uri="{FF2B5EF4-FFF2-40B4-BE49-F238E27FC236}">
              <a16:creationId xmlns:a16="http://schemas.microsoft.com/office/drawing/2014/main" id="{4CC1F97F-9EDF-D83C-130A-9B581502D87F}"/>
            </a:ext>
          </a:extLst>
        </xdr:cNvPr>
        <xdr:cNvSpPr/>
      </xdr:nvSpPr>
      <xdr:spPr>
        <a:xfrm>
          <a:off x="1847849" y="781050"/>
          <a:ext cx="1742400" cy="2437200"/>
        </a:xfrm>
        <a:prstGeom prst="roundRect">
          <a:avLst>
            <a:gd name="adj" fmla="val 0"/>
          </a:avLst>
        </a:prstGeom>
        <a:solidFill>
          <a:srgbClr val="FFF7ED"/>
        </a:solidFill>
        <a:ln w="12700">
          <a:solidFill>
            <a:srgbClr val="C59A70"/>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600074</xdr:colOff>
      <xdr:row>25</xdr:row>
      <xdr:rowOff>152965</xdr:rowOff>
    </xdr:from>
    <xdr:to>
      <xdr:col>26</xdr:col>
      <xdr:colOff>339674</xdr:colOff>
      <xdr:row>37</xdr:row>
      <xdr:rowOff>159265</xdr:rowOff>
    </xdr:to>
    <xdr:graphicFrame macro="">
      <xdr:nvGraphicFramePr>
        <xdr:cNvPr id="58" name="Chart 57">
          <a:extLst>
            <a:ext uri="{FF2B5EF4-FFF2-40B4-BE49-F238E27FC236}">
              <a16:creationId xmlns:a16="http://schemas.microsoft.com/office/drawing/2014/main" id="{D02CCB68-B310-4340-8811-7ACC67B61B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oneCell">
    <xdr:from>
      <xdr:col>3</xdr:col>
      <xdr:colOff>38447</xdr:colOff>
      <xdr:row>4</xdr:row>
      <xdr:rowOff>57150</xdr:rowOff>
    </xdr:from>
    <xdr:to>
      <xdr:col>5</xdr:col>
      <xdr:colOff>561975</xdr:colOff>
      <xdr:row>17</xdr:row>
      <xdr:rowOff>140277</xdr:rowOff>
    </xdr:to>
    <mc:AlternateContent xmlns:mc="http://schemas.openxmlformats.org/markup-compatibility/2006" xmlns:a14="http://schemas.microsoft.com/office/drawing/2010/main">
      <mc:Choice Requires="a14">
        <xdr:graphicFrame macro="">
          <xdr:nvGraphicFramePr>
            <xdr:cNvPr id="11" name="Month Name 1">
              <a:extLst>
                <a:ext uri="{FF2B5EF4-FFF2-40B4-BE49-F238E27FC236}">
                  <a16:creationId xmlns:a16="http://schemas.microsoft.com/office/drawing/2014/main" id="{51BF0C27-DD3E-4EB1-8ED8-008B23526B7C}"/>
                </a:ext>
              </a:extLst>
            </xdr:cNvPr>
            <xdr:cNvGraphicFramePr/>
          </xdr:nvGraphicFramePr>
          <xdr:xfrm>
            <a:off x="0" y="0"/>
            <a:ext cx="0" cy="0"/>
          </xdr:xfrm>
          <a:graphic>
            <a:graphicData uri="http://schemas.microsoft.com/office/drawing/2010/slicer">
              <sle:slicer xmlns:sle="http://schemas.microsoft.com/office/drawing/2010/slicer" name="Month Name 1"/>
            </a:graphicData>
          </a:graphic>
        </xdr:graphicFrame>
      </mc:Choice>
      <mc:Fallback xmlns="">
        <xdr:sp macro="" textlink="">
          <xdr:nvSpPr>
            <xdr:cNvPr id="0" name=""/>
            <xdr:cNvSpPr>
              <a:spLocks noTextEdit="1"/>
            </xdr:cNvSpPr>
          </xdr:nvSpPr>
          <xdr:spPr>
            <a:xfrm>
              <a:off x="1867247" y="774326"/>
              <a:ext cx="1742728" cy="24139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19049</xdr:colOff>
      <xdr:row>18</xdr:row>
      <xdr:rowOff>47625</xdr:rowOff>
    </xdr:from>
    <xdr:to>
      <xdr:col>5</xdr:col>
      <xdr:colOff>542249</xdr:colOff>
      <xdr:row>30</xdr:row>
      <xdr:rowOff>82725</xdr:rowOff>
    </xdr:to>
    <xdr:sp macro="" textlink="">
      <xdr:nvSpPr>
        <xdr:cNvPr id="60" name="Rectangle 59">
          <a:extLst>
            <a:ext uri="{FF2B5EF4-FFF2-40B4-BE49-F238E27FC236}">
              <a16:creationId xmlns:a16="http://schemas.microsoft.com/office/drawing/2014/main" id="{298BA676-8B11-6C41-93F9-4F6EF4F9186C}"/>
            </a:ext>
          </a:extLst>
        </xdr:cNvPr>
        <xdr:cNvSpPr/>
      </xdr:nvSpPr>
      <xdr:spPr>
        <a:xfrm>
          <a:off x="1847849" y="3305175"/>
          <a:ext cx="1742400" cy="2206800"/>
        </a:xfrm>
        <a:prstGeom prst="rect">
          <a:avLst/>
        </a:prstGeom>
        <a:solidFill>
          <a:srgbClr val="FFF7ED"/>
        </a:solidFill>
        <a:ln w="12700">
          <a:solidFill>
            <a:srgbClr val="FFF7ED"/>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3</xdr:col>
      <xdr:colOff>30480</xdr:colOff>
      <xdr:row>18</xdr:row>
      <xdr:rowOff>51434</xdr:rowOff>
    </xdr:from>
    <xdr:to>
      <xdr:col>5</xdr:col>
      <xdr:colOff>552450</xdr:colOff>
      <xdr:row>30</xdr:row>
      <xdr:rowOff>85725</xdr:rowOff>
    </xdr:to>
    <mc:AlternateContent xmlns:mc="http://schemas.openxmlformats.org/markup-compatibility/2006" xmlns:a14="http://schemas.microsoft.com/office/drawing/2010/main">
      <mc:Choice Requires="a14">
        <xdr:graphicFrame macro="">
          <xdr:nvGraphicFramePr>
            <xdr:cNvPr id="10" name="Day Name 1">
              <a:extLst>
                <a:ext uri="{FF2B5EF4-FFF2-40B4-BE49-F238E27FC236}">
                  <a16:creationId xmlns:a16="http://schemas.microsoft.com/office/drawing/2014/main" id="{82678102-6079-42F4-829C-B007AAD026E0}"/>
                </a:ext>
              </a:extLst>
            </xdr:cNvPr>
            <xdr:cNvGraphicFramePr/>
          </xdr:nvGraphicFramePr>
          <xdr:xfrm>
            <a:off x="0" y="0"/>
            <a:ext cx="0" cy="0"/>
          </xdr:xfrm>
          <a:graphic>
            <a:graphicData uri="http://schemas.microsoft.com/office/drawing/2010/slicer">
              <sle:slicer xmlns:sle="http://schemas.microsoft.com/office/drawing/2010/slicer" name="Day Name 1"/>
            </a:graphicData>
          </a:graphic>
        </xdr:graphicFrame>
      </mc:Choice>
      <mc:Fallback xmlns="">
        <xdr:sp macro="" textlink="">
          <xdr:nvSpPr>
            <xdr:cNvPr id="0" name=""/>
            <xdr:cNvSpPr>
              <a:spLocks noTextEdit="1"/>
            </xdr:cNvSpPr>
          </xdr:nvSpPr>
          <xdr:spPr>
            <a:xfrm>
              <a:off x="1859280" y="3278728"/>
              <a:ext cx="1741170" cy="21858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0</xdr:colOff>
      <xdr:row>30</xdr:row>
      <xdr:rowOff>171450</xdr:rowOff>
    </xdr:from>
    <xdr:to>
      <xdr:col>5</xdr:col>
      <xdr:colOff>516000</xdr:colOff>
      <xdr:row>37</xdr:row>
      <xdr:rowOff>56625</xdr:rowOff>
    </xdr:to>
    <xdr:sp macro="" textlink="">
      <xdr:nvSpPr>
        <xdr:cNvPr id="61" name="Rectangle 60">
          <a:extLst>
            <a:ext uri="{FF2B5EF4-FFF2-40B4-BE49-F238E27FC236}">
              <a16:creationId xmlns:a16="http://schemas.microsoft.com/office/drawing/2014/main" id="{29D435F6-49EA-8EA0-A8DC-5AAC83B2A53F}"/>
            </a:ext>
          </a:extLst>
        </xdr:cNvPr>
        <xdr:cNvSpPr/>
      </xdr:nvSpPr>
      <xdr:spPr>
        <a:xfrm>
          <a:off x="1828800" y="5600700"/>
          <a:ext cx="1735200" cy="1152000"/>
        </a:xfrm>
        <a:prstGeom prst="rect">
          <a:avLst/>
        </a:prstGeom>
        <a:solidFill>
          <a:srgbClr val="FFF7ED"/>
        </a:solidFill>
        <a:ln w="12700">
          <a:solidFill>
            <a:srgbClr val="FFF7ED"/>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3</xdr:col>
      <xdr:colOff>9525</xdr:colOff>
      <xdr:row>31</xdr:row>
      <xdr:rowOff>0</xdr:rowOff>
    </xdr:from>
    <xdr:to>
      <xdr:col>5</xdr:col>
      <xdr:colOff>523875</xdr:colOff>
      <xdr:row>37</xdr:row>
      <xdr:rowOff>66675</xdr:rowOff>
    </xdr:to>
    <mc:AlternateContent xmlns:mc="http://schemas.openxmlformats.org/markup-compatibility/2006" xmlns:a14="http://schemas.microsoft.com/office/drawing/2010/main">
      <mc:Choice Requires="a14">
        <xdr:graphicFrame macro="">
          <xdr:nvGraphicFramePr>
            <xdr:cNvPr id="12" name="store_location 1">
              <a:extLst>
                <a:ext uri="{FF2B5EF4-FFF2-40B4-BE49-F238E27FC236}">
                  <a16:creationId xmlns:a16="http://schemas.microsoft.com/office/drawing/2014/main" id="{7D55ED25-2E6C-463E-A1D6-2A10D841CF96}"/>
                </a:ext>
              </a:extLst>
            </xdr:cNvPr>
            <xdr:cNvGraphicFramePr/>
          </xdr:nvGraphicFramePr>
          <xdr:xfrm>
            <a:off x="0" y="0"/>
            <a:ext cx="0" cy="0"/>
          </xdr:xfrm>
          <a:graphic>
            <a:graphicData uri="http://schemas.microsoft.com/office/drawing/2010/slicer">
              <sle:slicer xmlns:sle="http://schemas.microsoft.com/office/drawing/2010/slicer" name="store_location 1"/>
            </a:graphicData>
          </a:graphic>
        </xdr:graphicFrame>
      </mc:Choice>
      <mc:Fallback xmlns="">
        <xdr:sp macro="" textlink="">
          <xdr:nvSpPr>
            <xdr:cNvPr id="0" name=""/>
            <xdr:cNvSpPr>
              <a:spLocks noTextEdit="1"/>
            </xdr:cNvSpPr>
          </xdr:nvSpPr>
          <xdr:spPr>
            <a:xfrm>
              <a:off x="1838325" y="5558118"/>
              <a:ext cx="1733550" cy="11424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143435</xdr:colOff>
      <xdr:row>11</xdr:row>
      <xdr:rowOff>161365</xdr:rowOff>
    </xdr:from>
    <xdr:to>
      <xdr:col>12</xdr:col>
      <xdr:colOff>493058</xdr:colOff>
      <xdr:row>13</xdr:row>
      <xdr:rowOff>26894</xdr:rowOff>
    </xdr:to>
    <xdr:sp macro="" textlink="">
      <xdr:nvSpPr>
        <xdr:cNvPr id="4" name="Rectangle 3">
          <a:extLst>
            <a:ext uri="{FF2B5EF4-FFF2-40B4-BE49-F238E27FC236}">
              <a16:creationId xmlns:a16="http://schemas.microsoft.com/office/drawing/2014/main" id="{175807E1-E0B5-4336-30D1-FE1A8BF5EF98}"/>
            </a:ext>
          </a:extLst>
        </xdr:cNvPr>
        <xdr:cNvSpPr/>
      </xdr:nvSpPr>
      <xdr:spPr>
        <a:xfrm>
          <a:off x="3801035" y="2133600"/>
          <a:ext cx="4007223" cy="224118"/>
        </a:xfrm>
        <a:prstGeom prst="rect">
          <a:avLst/>
        </a:prstGeom>
        <a:solidFill>
          <a:srgbClr val="49260C"/>
        </a:solidFill>
        <a:ln w="3175">
          <a:solidFill>
            <a:srgbClr val="49260C"/>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solidFill>
                <a:schemeClr val="bg1"/>
              </a:solidFill>
              <a:latin typeface="Aptos" panose="020B0004020202020204" pitchFamily="34" charset="0"/>
            </a:rPr>
            <a:t>1. Quantity Ordered by Hour</a:t>
          </a:r>
        </a:p>
      </xdr:txBody>
    </xdr:sp>
    <xdr:clientData/>
  </xdr:twoCellAnchor>
  <xdr:twoCellAnchor>
    <xdr:from>
      <xdr:col>13</xdr:col>
      <xdr:colOff>53787</xdr:colOff>
      <xdr:row>11</xdr:row>
      <xdr:rowOff>152401</xdr:rowOff>
    </xdr:from>
    <xdr:to>
      <xdr:col>19</xdr:col>
      <xdr:colOff>403410</xdr:colOff>
      <xdr:row>13</xdr:row>
      <xdr:rowOff>17930</xdr:rowOff>
    </xdr:to>
    <xdr:sp macro="" textlink="">
      <xdr:nvSpPr>
        <xdr:cNvPr id="6" name="Rectangle 5">
          <a:extLst>
            <a:ext uri="{FF2B5EF4-FFF2-40B4-BE49-F238E27FC236}">
              <a16:creationId xmlns:a16="http://schemas.microsoft.com/office/drawing/2014/main" id="{8A630772-925C-9775-F848-8925BB3C5BC4}"/>
            </a:ext>
          </a:extLst>
        </xdr:cNvPr>
        <xdr:cNvSpPr/>
      </xdr:nvSpPr>
      <xdr:spPr>
        <a:xfrm>
          <a:off x="7978587" y="2124636"/>
          <a:ext cx="4007223" cy="224118"/>
        </a:xfrm>
        <a:prstGeom prst="rect">
          <a:avLst/>
        </a:prstGeom>
        <a:solidFill>
          <a:srgbClr val="49260C"/>
        </a:solidFill>
        <a:ln w="3175">
          <a:solidFill>
            <a:srgbClr val="49260C"/>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100" b="1">
              <a:solidFill>
                <a:schemeClr val="lt1"/>
              </a:solidFill>
              <a:effectLst/>
              <a:latin typeface="Aptos" panose="020B0004020202020204" pitchFamily="34" charset="0"/>
              <a:ea typeface="+mn-ea"/>
              <a:cs typeface="+mn-cs"/>
            </a:rPr>
            <a:t>2. Category Sales Distribution</a:t>
          </a:r>
          <a:endParaRPr lang="en-IN" b="1">
            <a:effectLst/>
            <a:latin typeface="Aptos" panose="020B0004020202020204" pitchFamily="34" charset="0"/>
          </a:endParaRPr>
        </a:p>
        <a:p>
          <a:pPr algn="ctr"/>
          <a:endParaRPr lang="en-IN" sz="1100" b="1">
            <a:latin typeface="Aptos" panose="020B0004020202020204" pitchFamily="34" charset="0"/>
          </a:endParaRPr>
        </a:p>
      </xdr:txBody>
    </xdr:sp>
    <xdr:clientData/>
  </xdr:twoCellAnchor>
  <xdr:twoCellAnchor>
    <xdr:from>
      <xdr:col>19</xdr:col>
      <xdr:colOff>555809</xdr:colOff>
      <xdr:row>11</xdr:row>
      <xdr:rowOff>143437</xdr:rowOff>
    </xdr:from>
    <xdr:to>
      <xdr:col>26</xdr:col>
      <xdr:colOff>295832</xdr:colOff>
      <xdr:row>13</xdr:row>
      <xdr:rowOff>8966</xdr:rowOff>
    </xdr:to>
    <xdr:sp macro="" textlink="">
      <xdr:nvSpPr>
        <xdr:cNvPr id="7" name="Rectangle 6">
          <a:extLst>
            <a:ext uri="{FF2B5EF4-FFF2-40B4-BE49-F238E27FC236}">
              <a16:creationId xmlns:a16="http://schemas.microsoft.com/office/drawing/2014/main" id="{46A4B720-DF2B-73B8-1991-803321B697FF}"/>
            </a:ext>
          </a:extLst>
        </xdr:cNvPr>
        <xdr:cNvSpPr/>
      </xdr:nvSpPr>
      <xdr:spPr>
        <a:xfrm>
          <a:off x="12138209" y="2115672"/>
          <a:ext cx="4007223" cy="224118"/>
        </a:xfrm>
        <a:prstGeom prst="rect">
          <a:avLst/>
        </a:prstGeom>
        <a:solidFill>
          <a:srgbClr val="49260C"/>
        </a:solidFill>
        <a:ln w="3175">
          <a:solidFill>
            <a:srgbClr val="49260C"/>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latin typeface="Aptos" panose="020B0004020202020204" pitchFamily="34" charset="0"/>
            </a:rPr>
            <a:t>3.</a:t>
          </a:r>
          <a:r>
            <a:rPr lang="en-IN" sz="1100" b="1" baseline="0">
              <a:latin typeface="Aptos" panose="020B0004020202020204" pitchFamily="34" charset="0"/>
            </a:rPr>
            <a:t> Size Distribution</a:t>
          </a:r>
          <a:endParaRPr lang="en-IN" sz="1100" b="1">
            <a:latin typeface="Aptos" panose="020B0004020202020204" pitchFamily="34" charset="0"/>
          </a:endParaRPr>
        </a:p>
      </xdr:txBody>
    </xdr:sp>
    <xdr:clientData/>
  </xdr:twoCellAnchor>
  <xdr:twoCellAnchor>
    <xdr:from>
      <xdr:col>6</xdr:col>
      <xdr:colOff>152397</xdr:colOff>
      <xdr:row>24</xdr:row>
      <xdr:rowOff>80684</xdr:rowOff>
    </xdr:from>
    <xdr:to>
      <xdr:col>12</xdr:col>
      <xdr:colOff>502020</xdr:colOff>
      <xdr:row>25</xdr:row>
      <xdr:rowOff>125508</xdr:rowOff>
    </xdr:to>
    <xdr:sp macro="" textlink="">
      <xdr:nvSpPr>
        <xdr:cNvPr id="8" name="Rectangle 7">
          <a:extLst>
            <a:ext uri="{FF2B5EF4-FFF2-40B4-BE49-F238E27FC236}">
              <a16:creationId xmlns:a16="http://schemas.microsoft.com/office/drawing/2014/main" id="{AEC243AC-9753-C7D0-85DC-5E5194C7D2F3}"/>
            </a:ext>
          </a:extLst>
        </xdr:cNvPr>
        <xdr:cNvSpPr/>
      </xdr:nvSpPr>
      <xdr:spPr>
        <a:xfrm>
          <a:off x="3809997" y="4383743"/>
          <a:ext cx="4007223" cy="224118"/>
        </a:xfrm>
        <a:prstGeom prst="rect">
          <a:avLst/>
        </a:prstGeom>
        <a:solidFill>
          <a:srgbClr val="49260C"/>
        </a:solidFill>
        <a:ln w="3175">
          <a:solidFill>
            <a:srgbClr val="49260C"/>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solidFill>
                <a:schemeClr val="bg1"/>
              </a:solidFill>
              <a:latin typeface="Aptos" panose="020B0004020202020204" pitchFamily="34" charset="0"/>
            </a:rPr>
            <a:t>4.</a:t>
          </a:r>
          <a:r>
            <a:rPr lang="en-IN" sz="1200" b="1" baseline="0">
              <a:solidFill>
                <a:schemeClr val="bg1"/>
              </a:solidFill>
              <a:latin typeface="Aptos" panose="020B0004020202020204" pitchFamily="34" charset="0"/>
            </a:rPr>
            <a:t> Store-wise Sales And FootFall</a:t>
          </a:r>
          <a:endParaRPr lang="en-IN" sz="1200" b="1">
            <a:solidFill>
              <a:schemeClr val="bg1"/>
            </a:solidFill>
            <a:latin typeface="Aptos" panose="020B0004020202020204" pitchFamily="34" charset="0"/>
          </a:endParaRPr>
        </a:p>
      </xdr:txBody>
    </xdr:sp>
    <xdr:clientData/>
  </xdr:twoCellAnchor>
  <xdr:twoCellAnchor>
    <xdr:from>
      <xdr:col>13</xdr:col>
      <xdr:colOff>71715</xdr:colOff>
      <xdr:row>24</xdr:row>
      <xdr:rowOff>71720</xdr:rowOff>
    </xdr:from>
    <xdr:to>
      <xdr:col>19</xdr:col>
      <xdr:colOff>421338</xdr:colOff>
      <xdr:row>25</xdr:row>
      <xdr:rowOff>116544</xdr:rowOff>
    </xdr:to>
    <xdr:sp macro="" textlink="">
      <xdr:nvSpPr>
        <xdr:cNvPr id="18" name="Rectangle 17">
          <a:extLst>
            <a:ext uri="{FF2B5EF4-FFF2-40B4-BE49-F238E27FC236}">
              <a16:creationId xmlns:a16="http://schemas.microsoft.com/office/drawing/2014/main" id="{935667CB-07C7-AA08-733A-C085DD155CE9}"/>
            </a:ext>
          </a:extLst>
        </xdr:cNvPr>
        <xdr:cNvSpPr/>
      </xdr:nvSpPr>
      <xdr:spPr>
        <a:xfrm>
          <a:off x="7996515" y="4374779"/>
          <a:ext cx="4007223" cy="224118"/>
        </a:xfrm>
        <a:prstGeom prst="rect">
          <a:avLst/>
        </a:prstGeom>
        <a:solidFill>
          <a:srgbClr val="49260C"/>
        </a:solidFill>
        <a:ln w="3175">
          <a:solidFill>
            <a:srgbClr val="49260C"/>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latin typeface="Aptos" panose="020B0004020202020204" pitchFamily="34" charset="0"/>
            </a:rPr>
            <a:t>5.</a:t>
          </a:r>
          <a:r>
            <a:rPr lang="en-IN" sz="1200" b="1" baseline="0">
              <a:latin typeface="Aptos" panose="020B0004020202020204" pitchFamily="34" charset="0"/>
            </a:rPr>
            <a:t> Top 5 Product By Sales</a:t>
          </a:r>
          <a:endParaRPr lang="en-IN" sz="1200" b="1">
            <a:latin typeface="Aptos" panose="020B0004020202020204" pitchFamily="34" charset="0"/>
          </a:endParaRPr>
        </a:p>
      </xdr:txBody>
    </xdr:sp>
    <xdr:clientData/>
  </xdr:twoCellAnchor>
  <xdr:twoCellAnchor>
    <xdr:from>
      <xdr:col>19</xdr:col>
      <xdr:colOff>582704</xdr:colOff>
      <xdr:row>24</xdr:row>
      <xdr:rowOff>80685</xdr:rowOff>
    </xdr:from>
    <xdr:to>
      <xdr:col>26</xdr:col>
      <xdr:colOff>322727</xdr:colOff>
      <xdr:row>25</xdr:row>
      <xdr:rowOff>125509</xdr:rowOff>
    </xdr:to>
    <xdr:sp macro="" textlink="">
      <xdr:nvSpPr>
        <xdr:cNvPr id="20" name="Rectangle 19">
          <a:extLst>
            <a:ext uri="{FF2B5EF4-FFF2-40B4-BE49-F238E27FC236}">
              <a16:creationId xmlns:a16="http://schemas.microsoft.com/office/drawing/2014/main" id="{8FC40FF3-A528-274D-F603-FEE599DBB0FF}"/>
            </a:ext>
          </a:extLst>
        </xdr:cNvPr>
        <xdr:cNvSpPr/>
      </xdr:nvSpPr>
      <xdr:spPr>
        <a:xfrm>
          <a:off x="12165104" y="4383744"/>
          <a:ext cx="4007223" cy="224118"/>
        </a:xfrm>
        <a:prstGeom prst="rect">
          <a:avLst/>
        </a:prstGeom>
        <a:solidFill>
          <a:srgbClr val="49260C"/>
        </a:solidFill>
        <a:ln w="3175">
          <a:solidFill>
            <a:srgbClr val="49260C"/>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solidFill>
                <a:schemeClr val="bg1"/>
              </a:solidFill>
              <a:latin typeface="Aptos" panose="020B0004020202020204" pitchFamily="34" charset="0"/>
            </a:rPr>
            <a:t>6.</a:t>
          </a:r>
          <a:r>
            <a:rPr lang="en-IN" sz="1200" b="1" baseline="0">
              <a:solidFill>
                <a:schemeClr val="bg1"/>
              </a:solidFill>
              <a:latin typeface="Aptos" panose="020B0004020202020204" pitchFamily="34" charset="0"/>
            </a:rPr>
            <a:t> Sales By Weekday</a:t>
          </a:r>
          <a:endParaRPr lang="en-IN" sz="1200" b="1">
            <a:solidFill>
              <a:schemeClr val="bg1"/>
            </a:solidFill>
            <a:latin typeface="Aptos" panose="020B00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198120</xdr:colOff>
      <xdr:row>7</xdr:row>
      <xdr:rowOff>83820</xdr:rowOff>
    </xdr:from>
    <xdr:to>
      <xdr:col>4</xdr:col>
      <xdr:colOff>533400</xdr:colOff>
      <xdr:row>18</xdr:row>
      <xdr:rowOff>49530</xdr:rowOff>
    </xdr:to>
    <xdr:graphicFrame macro="">
      <xdr:nvGraphicFramePr>
        <xdr:cNvPr id="2" name="Chart 1">
          <a:extLst>
            <a:ext uri="{FF2B5EF4-FFF2-40B4-BE49-F238E27FC236}">
              <a16:creationId xmlns:a16="http://schemas.microsoft.com/office/drawing/2014/main" id="{D24EB542-CE67-3149-7C32-D3552CDE20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137160</xdr:colOff>
      <xdr:row>27</xdr:row>
      <xdr:rowOff>114300</xdr:rowOff>
    </xdr:from>
    <xdr:to>
      <xdr:col>4</xdr:col>
      <xdr:colOff>381000</xdr:colOff>
      <xdr:row>38</xdr:row>
      <xdr:rowOff>7620</xdr:rowOff>
    </xdr:to>
    <xdr:graphicFrame macro="">
      <xdr:nvGraphicFramePr>
        <xdr:cNvPr id="3" name="Chart 2">
          <a:extLst>
            <a:ext uri="{FF2B5EF4-FFF2-40B4-BE49-F238E27FC236}">
              <a16:creationId xmlns:a16="http://schemas.microsoft.com/office/drawing/2014/main" id="{3C881ADB-D8E1-940B-4347-986CAA703D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15240</xdr:colOff>
      <xdr:row>8</xdr:row>
      <xdr:rowOff>45720</xdr:rowOff>
    </xdr:from>
    <xdr:to>
      <xdr:col>8</xdr:col>
      <xdr:colOff>76200</xdr:colOff>
      <xdr:row>17</xdr:row>
      <xdr:rowOff>45720</xdr:rowOff>
    </xdr:to>
    <xdr:graphicFrame macro="">
      <xdr:nvGraphicFramePr>
        <xdr:cNvPr id="4" name="Chart 3">
          <a:extLst>
            <a:ext uri="{FF2B5EF4-FFF2-40B4-BE49-F238E27FC236}">
              <a16:creationId xmlns:a16="http://schemas.microsoft.com/office/drawing/2014/main" id="{CC14D992-6799-9E2A-A72B-6F9B2C0A7B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266700</xdr:colOff>
      <xdr:row>26</xdr:row>
      <xdr:rowOff>53340</xdr:rowOff>
    </xdr:from>
    <xdr:to>
      <xdr:col>8</xdr:col>
      <xdr:colOff>1432560</xdr:colOff>
      <xdr:row>37</xdr:row>
      <xdr:rowOff>3810</xdr:rowOff>
    </xdr:to>
    <xdr:graphicFrame macro="">
      <xdr:nvGraphicFramePr>
        <xdr:cNvPr id="5" name="Chart 4">
          <a:extLst>
            <a:ext uri="{FF2B5EF4-FFF2-40B4-BE49-F238E27FC236}">
              <a16:creationId xmlns:a16="http://schemas.microsoft.com/office/drawing/2014/main" id="{8A52CA79-9F1D-5FC3-126F-B78597669D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205740</xdr:colOff>
      <xdr:row>5</xdr:row>
      <xdr:rowOff>129540</xdr:rowOff>
    </xdr:from>
    <xdr:to>
      <xdr:col>18</xdr:col>
      <xdr:colOff>182880</xdr:colOff>
      <xdr:row>17</xdr:row>
      <xdr:rowOff>72390</xdr:rowOff>
    </xdr:to>
    <xdr:graphicFrame macro="">
      <xdr:nvGraphicFramePr>
        <xdr:cNvPr id="6" name="Chart 5">
          <a:extLst>
            <a:ext uri="{FF2B5EF4-FFF2-40B4-BE49-F238E27FC236}">
              <a16:creationId xmlns:a16="http://schemas.microsoft.com/office/drawing/2014/main" id="{61FD4641-7CC1-3C12-3B71-1C3800C665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160020</xdr:colOff>
      <xdr:row>19</xdr:row>
      <xdr:rowOff>152400</xdr:rowOff>
    </xdr:from>
    <xdr:to>
      <xdr:col>22</xdr:col>
      <xdr:colOff>99060</xdr:colOff>
      <xdr:row>30</xdr:row>
      <xdr:rowOff>72390</xdr:rowOff>
    </xdr:to>
    <xdr:graphicFrame macro="">
      <xdr:nvGraphicFramePr>
        <xdr:cNvPr id="7" name="Chart 6">
          <a:extLst>
            <a:ext uri="{FF2B5EF4-FFF2-40B4-BE49-F238E27FC236}">
              <a16:creationId xmlns:a16="http://schemas.microsoft.com/office/drawing/2014/main" id="{3B6E5E70-53A2-3C00-4A2C-1DFC59B8C2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xdr:col>
      <xdr:colOff>636616</xdr:colOff>
      <xdr:row>44</xdr:row>
      <xdr:rowOff>124691</xdr:rowOff>
    </xdr:from>
    <xdr:to>
      <xdr:col>6</xdr:col>
      <xdr:colOff>137853</xdr:colOff>
      <xdr:row>58</xdr:row>
      <xdr:rowOff>39659</xdr:rowOff>
    </xdr:to>
    <mc:AlternateContent xmlns:mc="http://schemas.openxmlformats.org/markup-compatibility/2006" xmlns:a14="http://schemas.microsoft.com/office/drawing/2010/main">
      <mc:Choice Requires="a14">
        <xdr:graphicFrame macro="">
          <xdr:nvGraphicFramePr>
            <xdr:cNvPr id="8" name="Day Name">
              <a:extLst>
                <a:ext uri="{FF2B5EF4-FFF2-40B4-BE49-F238E27FC236}">
                  <a16:creationId xmlns:a16="http://schemas.microsoft.com/office/drawing/2014/main" id="{C00CC8D1-9ACA-B41A-BC38-6814982EE77F}"/>
                </a:ext>
              </a:extLst>
            </xdr:cNvPr>
            <xdr:cNvGraphicFramePr/>
          </xdr:nvGraphicFramePr>
          <xdr:xfrm>
            <a:off x="0" y="0"/>
            <a:ext cx="0" cy="0"/>
          </xdr:xfrm>
          <a:graphic>
            <a:graphicData uri="http://schemas.microsoft.com/office/drawing/2010/slicer">
              <sle:slicer xmlns:sle="http://schemas.microsoft.com/office/drawing/2010/slicer" name="Day Name"/>
            </a:graphicData>
          </a:graphic>
        </xdr:graphicFrame>
      </mc:Choice>
      <mc:Fallback xmlns="">
        <xdr:sp macro="" textlink="">
          <xdr:nvSpPr>
            <xdr:cNvPr id="0" name=""/>
            <xdr:cNvSpPr>
              <a:spLocks noTextEdit="1"/>
            </xdr:cNvSpPr>
          </xdr:nvSpPr>
          <xdr:spPr>
            <a:xfrm>
              <a:off x="3844636" y="8308571"/>
              <a:ext cx="1832957" cy="24752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1179715</xdr:colOff>
      <xdr:row>43</xdr:row>
      <xdr:rowOff>91441</xdr:rowOff>
    </xdr:from>
    <xdr:to>
      <xdr:col>3</xdr:col>
      <xdr:colOff>876993</xdr:colOff>
      <xdr:row>57</xdr:row>
      <xdr:rowOff>5716</xdr:rowOff>
    </xdr:to>
    <mc:AlternateContent xmlns:mc="http://schemas.openxmlformats.org/markup-compatibility/2006" xmlns:a14="http://schemas.microsoft.com/office/drawing/2010/main">
      <mc:Choice Requires="a14">
        <xdr:graphicFrame macro="">
          <xdr:nvGraphicFramePr>
            <xdr:cNvPr id="9" name="Month Name">
              <a:extLst>
                <a:ext uri="{FF2B5EF4-FFF2-40B4-BE49-F238E27FC236}">
                  <a16:creationId xmlns:a16="http://schemas.microsoft.com/office/drawing/2014/main" id="{1C4FFA2A-1D1C-911D-1F06-A51D1EDA5354}"/>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mlns="">
        <xdr:sp macro="" textlink="">
          <xdr:nvSpPr>
            <xdr:cNvPr id="0" name=""/>
            <xdr:cNvSpPr>
              <a:spLocks noTextEdit="1"/>
            </xdr:cNvSpPr>
          </xdr:nvSpPr>
          <xdr:spPr>
            <a:xfrm>
              <a:off x="2254135" y="8092441"/>
              <a:ext cx="1830878" cy="24745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43</xdr:row>
      <xdr:rowOff>147551</xdr:rowOff>
    </xdr:from>
    <xdr:to>
      <xdr:col>1</xdr:col>
      <xdr:colOff>619298</xdr:colOff>
      <xdr:row>57</xdr:row>
      <xdr:rowOff>61826</xdr:rowOff>
    </xdr:to>
    <mc:AlternateContent xmlns:mc="http://schemas.openxmlformats.org/markup-compatibility/2006" xmlns:a14="http://schemas.microsoft.com/office/drawing/2010/main">
      <mc:Choice Requires="a14">
        <xdr:graphicFrame macro="">
          <xdr:nvGraphicFramePr>
            <xdr:cNvPr id="10" name="store_location">
              <a:extLst>
                <a:ext uri="{FF2B5EF4-FFF2-40B4-BE49-F238E27FC236}">
                  <a16:creationId xmlns:a16="http://schemas.microsoft.com/office/drawing/2014/main" id="{45610C08-0C16-3C54-F17E-4BCD2AE3F85A}"/>
                </a:ext>
              </a:extLst>
            </xdr:cNvPr>
            <xdr:cNvGraphicFramePr/>
          </xdr:nvGraphicFramePr>
          <xdr:xfrm>
            <a:off x="0" y="0"/>
            <a:ext cx="0" cy="0"/>
          </xdr:xfrm>
          <a:graphic>
            <a:graphicData uri="http://schemas.microsoft.com/office/drawing/2010/slicer">
              <sle:slicer xmlns:sle="http://schemas.microsoft.com/office/drawing/2010/slicer" name="store_location"/>
            </a:graphicData>
          </a:graphic>
        </xdr:graphicFrame>
      </mc:Choice>
      <mc:Fallback xmlns="">
        <xdr:sp macro="" textlink="">
          <xdr:nvSpPr>
            <xdr:cNvPr id="0" name=""/>
            <xdr:cNvSpPr>
              <a:spLocks noTextEdit="1"/>
            </xdr:cNvSpPr>
          </xdr:nvSpPr>
          <xdr:spPr>
            <a:xfrm>
              <a:off x="0" y="8148551"/>
              <a:ext cx="1830878" cy="24745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nav Gurav" refreshedDate="46188.651962731485" backgroundQuery="1" createdVersion="8" refreshedVersion="8" minRefreshableVersion="3" recordCount="0" supportSubquery="1" supportAdvancedDrill="1" xr:uid="{D98418BC-8CBD-4DFA-AC45-E084856F1B85}">
  <cacheSource type="external" connectionId="1"/>
  <cacheFields count="3">
    <cacheField name="[Table1].[Day Name].[Day Name]" caption="Day Name" numFmtId="0" hierarchy="14" level="1">
      <sharedItems count="7">
        <s v="Friday"/>
        <s v="Monday"/>
        <s v="Saturday"/>
        <s v="Sunday"/>
        <s v="Thursday"/>
        <s v="Tuesday"/>
        <s v="Wednesday"/>
      </sharedItems>
    </cacheField>
    <cacheField name="[Measures].[Sum of Total_bill]" caption="Sum of Total_bill" numFmtId="0" hierarchy="21" level="32767"/>
    <cacheField name="[Table1].[store_location].[store_location]" caption="store_location" numFmtId="0" hierarchy="4" level="1">
      <sharedItems containsSemiMixedTypes="0" containsNonDate="0" containsString="0"/>
    </cacheField>
  </cacheFields>
  <cacheHierarchies count="26">
    <cacheHierarchy uniqueName="[Table1].[transaction_id]" caption="transaction_id" attribute="1" defaultMemberUniqueName="[Table1].[transaction_id].[All]" allUniqueName="[Table1].[transaction_id].[All]" dimensionUniqueName="[Table1]" displayFolder="" count="2" memberValueDatatype="20" unbalanced="0"/>
    <cacheHierarchy uniqueName="[Table1].[transaction_date]" caption="transaction_date" attribute="1" time="1" defaultMemberUniqueName="[Table1].[transaction_date].[All]" allUniqueName="[Table1].[transaction_date].[All]" dimensionUniqueName="[Table1]" displayFolder="" count="2" memberValueDatatype="7" unbalanced="0"/>
    <cacheHierarchy uniqueName="[Table1].[transaction_time]" caption="transaction_time" attribute="1" defaultMemberUniqueName="[Table1].[transaction_time].[All]" allUniqueName="[Table1].[transaction_time].[All]" dimensionUniqueName="[Table1]" displayFolder="" count="2" memberValueDatatype="130" unbalanced="0"/>
    <cacheHierarchy uniqueName="[Table1].[store_id]" caption="store_id" attribute="1" defaultMemberUniqueName="[Table1].[store_id].[All]" allUniqueName="[Table1].[store_id].[All]" dimensionUniqueName="[Table1]" displayFolder="" count="2" memberValueDatatype="130" unbalanced="0"/>
    <cacheHierarchy uniqueName="[Table1].[store_location]" caption="store_location" attribute="1" defaultMemberUniqueName="[Table1].[store_location].[All]" allUniqueName="[Table1].[store_location].[All]" dimensionUniqueName="[Table1]" displayFolder="" count="2" memberValueDatatype="130" unbalanced="0">
      <fieldsUsage count="2">
        <fieldUsage x="-1"/>
        <fieldUsage x="2"/>
      </fieldsUsage>
    </cacheHierarchy>
    <cacheHierarchy uniqueName="[Table1].[product_id]" caption="product_id" attribute="1" defaultMemberUniqueName="[Table1].[product_id].[All]" allUniqueName="[Table1].[product_id].[All]" dimensionUniqueName="[Table1]" displayFolder="" count="2" memberValueDatatype="130" unbalanced="0"/>
    <cacheHierarchy uniqueName="[Table1].[transaction_qty]" caption="transaction_qty" attribute="1" defaultMemberUniqueName="[Table1].[transaction_qty].[All]" allUniqueName="[Table1].[transaction_qty].[All]" dimensionUniqueName="[Table1]" displayFolder="" count="2" memberValueDatatype="20" unbalanced="0"/>
    <cacheHierarchy uniqueName="[Table1].[unit_price]" caption="unit_price" attribute="1" defaultMemberUniqueName="[Table1].[unit_price].[All]" allUniqueName="[Table1].[unit_price].[All]" dimensionUniqueName="[Table1]" displayFolder="" count="2" memberValueDatatype="5" unbalanced="0"/>
    <cacheHierarchy uniqueName="[Table1].[product_category]" caption="product_category" attribute="1" defaultMemberUniqueName="[Table1].[product_category].[All]" allUniqueName="[Table1].[product_category].[All]" dimensionUniqueName="[Table1]" displayFolder="" count="2" memberValueDatatype="130" unbalanced="0"/>
    <cacheHierarchy uniqueName="[Table1].[product_type]" caption="product_type" attribute="1" defaultMemberUniqueName="[Table1].[product_type].[All]" allUniqueName="[Table1].[product_type].[All]" dimensionUniqueName="[Table1]" displayFolder="" count="2" memberValueDatatype="130" unbalanced="0"/>
    <cacheHierarchy uniqueName="[Table1].[product_detail]" caption="product_detail" attribute="1" defaultMemberUniqueName="[Table1].[product_detail].[All]" allUniqueName="[Table1].[product_detail].[All]" dimensionUniqueName="[Table1]" displayFolder="" count="2" memberValueDatatype="130" unbalanced="0"/>
    <cacheHierarchy uniqueName="[Table1].[Smallize]" caption="Smallize" attribute="1" defaultMemberUniqueName="[Table1].[Smallize].[All]" allUniqueName="[Table1].[Smallize].[All]" dimensionUniqueName="[Table1]" displayFolder="" count="2" memberValueDatatype="130" unbalanced="0"/>
    <cacheHierarchy uniqueName="[Table1].[Total_bill]" caption="Total_bill" attribute="1" defaultMemberUniqueName="[Table1].[Total_bill].[All]" allUniqueName="[Table1].[Total_bill].[All]" dimensionUniqueName="[Table1]" displayFolder="" count="2" memberValueDatatype="5" unbalanced="0"/>
    <cacheHierarchy uniqueName="[Table1].[Month Name]" caption="Month Name" attribute="1" defaultMemberUniqueName="[Table1].[Month Name].[All]" allUniqueName="[Table1].[Month Name].[All]" dimensionUniqueName="[Table1]" displayFolder="" count="2" memberValueDatatype="130" unbalanced="0"/>
    <cacheHierarchy uniqueName="[Table1].[Day Name]" caption="Day Name" attribute="1" defaultMemberUniqueName="[Table1].[Day Name].[All]" allUniqueName="[Table1].[Day Name].[All]" dimensionUniqueName="[Table1]" displayFolder="" count="2" memberValueDatatype="130" unbalanced="0">
      <fieldsUsage count="2">
        <fieldUsage x="-1"/>
        <fieldUsage x="0"/>
      </fieldsUsage>
    </cacheHierarchy>
    <cacheHierarchy uniqueName="[Table1].[Hour]" caption="Hour" attribute="1" defaultMemberUniqueName="[Table1].[Hour].[All]" allUniqueName="[Table1].[Hour].[All]" dimensionUniqueName="[Table1]" displayFolder="" count="2" memberValueDatatype="20" unbalanced="0"/>
    <cacheHierarchy uniqueName="[Table1].[Day of Week]" caption="Day of Week" attribute="1" defaultMemberUniqueName="[Table1].[Day of Week].[All]" allUniqueName="[Table1].[Day of Week].[All]" dimensionUniqueName="[Table1]" displayFolder="" count="2" memberValueDatatype="20" unbalanced="0"/>
    <cacheHierarchy uniqueName="[Table1].[Month]" caption="Month" attribute="1" defaultMemberUniqueName="[Table1].[Month].[All]" allUniqueName="[Table1].[Month].[All]" dimensionUniqueName="[Table1]" displayFolder="" count="2"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ransaction_id]" caption="Sum of transaction_id" measure="1" displayFolder="" measureGroup="Table1" count="0" hidden="1">
      <extLst>
        <ext xmlns:x15="http://schemas.microsoft.com/office/spreadsheetml/2010/11/main" uri="{B97F6D7D-B522-45F9-BDA1-12C45D357490}">
          <x15:cacheHierarchy aggregatedColumn="0"/>
        </ext>
      </extLst>
    </cacheHierarchy>
    <cacheHierarchy uniqueName="[Measures].[Sum of Total_bill]" caption="Sum of Total_bill" measure="1" displayFolder="" measureGroup="Table1" count="0" oneField="1" hidden="1">
      <fieldsUsage count="1">
        <fieldUsage x="1"/>
      </fieldsUsage>
      <extLst>
        <ext xmlns:x15="http://schemas.microsoft.com/office/spreadsheetml/2010/11/main" uri="{B97F6D7D-B522-45F9-BDA1-12C45D357490}">
          <x15:cacheHierarchy aggregatedColumn="12"/>
        </ext>
      </extLst>
    </cacheHierarchy>
    <cacheHierarchy uniqueName="[Measures].[Average of Total_bill]" caption="Average of Total_bill" measure="1" displayFolder="" measureGroup="Table1" count="0" hidden="1">
      <extLst>
        <ext xmlns:x15="http://schemas.microsoft.com/office/spreadsheetml/2010/11/main" uri="{B97F6D7D-B522-45F9-BDA1-12C45D357490}">
          <x15:cacheHierarchy aggregatedColumn="12"/>
        </ext>
      </extLst>
    </cacheHierarchy>
    <cacheHierarchy uniqueName="[Measures].[Count of transaction_id]" caption="Count of transaction_id" measure="1" displayFolder="" measureGroup="Table1" count="0" hidden="1">
      <extLst>
        <ext xmlns:x15="http://schemas.microsoft.com/office/spreadsheetml/2010/11/main" uri="{B97F6D7D-B522-45F9-BDA1-12C45D357490}">
          <x15:cacheHierarchy aggregatedColumn="0"/>
        </ext>
      </extLst>
    </cacheHierarchy>
    <cacheHierarchy uniqueName="[Measures].[Sum of transaction_qty]" caption="Sum of transaction_qty" measure="1" displayFolder="" measureGroup="Table1" count="0" hidden="1">
      <extLst>
        <ext xmlns:x15="http://schemas.microsoft.com/office/spreadsheetml/2010/11/main" uri="{B97F6D7D-B522-45F9-BDA1-12C45D357490}">
          <x15:cacheHierarchy aggregatedColumn="6"/>
        </ext>
      </extLst>
    </cacheHierarchy>
    <cacheHierarchy uniqueName="[Measures].[Average of transaction_qty]" caption="Average of transaction_qty" measure="1" displayFolder="" measureGroup="Table1"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nav Gurav" refreshedDate="46188.651963194447" backgroundQuery="1" createdVersion="8" refreshedVersion="8" minRefreshableVersion="3" recordCount="0" supportSubquery="1" supportAdvancedDrill="1" xr:uid="{602E6CA3-8D78-4F82-B71D-D5C20D833344}">
  <cacheSource type="external" connectionId="1"/>
  <cacheFields count="5">
    <cacheField name="[Measures].[Sum of Total_bill]" caption="Sum of Total_bill" numFmtId="0" hierarchy="21" level="32767"/>
    <cacheField name="[Measures].[Average of Total_bill]" caption="Average of Total_bill" numFmtId="0" hierarchy="22" level="32767"/>
    <cacheField name="[Measures].[Count of transaction_id]" caption="Count of transaction_id" numFmtId="0" hierarchy="23" level="32767"/>
    <cacheField name="[Measures].[Average of transaction_qty]" caption="Average of transaction_qty" numFmtId="0" hierarchy="25" level="32767"/>
    <cacheField name="[Table1].[store_location].[store_location]" caption="store_location" numFmtId="0" hierarchy="4" level="1">
      <sharedItems containsSemiMixedTypes="0" containsNonDate="0" containsString="0"/>
    </cacheField>
  </cacheFields>
  <cacheHierarchies count="26">
    <cacheHierarchy uniqueName="[Table1].[transaction_id]" caption="transaction_id" attribute="1" defaultMemberUniqueName="[Table1].[transaction_id].[All]" allUniqueName="[Table1].[transaction_id].[All]" dimensionUniqueName="[Table1]" displayFolder="" count="0" memberValueDatatype="20" unbalanced="0"/>
    <cacheHierarchy uniqueName="[Table1].[transaction_date]" caption="transaction_date" attribute="1" time="1" defaultMemberUniqueName="[Table1].[transaction_date].[All]" allUniqueName="[Table1].[transaction_date].[All]" dimensionUniqueName="[Table1]" displayFolder="" count="0" memberValueDatatype="7" unbalanced="0"/>
    <cacheHierarchy uniqueName="[Table1].[transaction_time]" caption="transaction_time" attribute="1" defaultMemberUniqueName="[Table1].[transaction_time].[All]" allUniqueName="[Table1].[transaction_time].[All]" dimensionUniqueName="[Table1]" displayFolder="" count="0" memberValueDatatype="130" unbalanced="0"/>
    <cacheHierarchy uniqueName="[Table1].[store_id]" caption="store_id" attribute="1" defaultMemberUniqueName="[Table1].[store_id].[All]" allUniqueName="[Table1].[store_id].[All]" dimensionUniqueName="[Table1]" displayFolder="" count="0" memberValueDatatype="130" unbalanced="0"/>
    <cacheHierarchy uniqueName="[Table1].[store_location]" caption="store_location" attribute="1" defaultMemberUniqueName="[Table1].[store_location].[All]" allUniqueName="[Table1].[store_location].[All]" dimensionUniqueName="[Table1]" displayFolder="" count="2" memberValueDatatype="130" unbalanced="0">
      <fieldsUsage count="2">
        <fieldUsage x="-1"/>
        <fieldUsage x="4"/>
      </fieldsUsage>
    </cacheHierarchy>
    <cacheHierarchy uniqueName="[Table1].[product_id]" caption="product_id" attribute="1" defaultMemberUniqueName="[Table1].[product_id].[All]" allUniqueName="[Table1].[product_id].[All]" dimensionUniqueName="[Table1]" displayFolder="" count="0" memberValueDatatype="130" unbalanced="0"/>
    <cacheHierarchy uniqueName="[Table1].[transaction_qty]" caption="transaction_qty" attribute="1" defaultMemberUniqueName="[Table1].[transaction_qty].[All]" allUniqueName="[Table1].[transaction_qty].[All]" dimensionUniqueName="[Table1]" displayFolder="" count="0" memberValueDatatype="20" unbalanced="0"/>
    <cacheHierarchy uniqueName="[Table1].[unit_price]" caption="unit_price" attribute="1" defaultMemberUniqueName="[Table1].[unit_price].[All]" allUniqueName="[Table1].[unit_price].[All]" dimensionUniqueName="[Table1]" displayFolder="" count="0" memberValueDatatype="5" unbalanced="0"/>
    <cacheHierarchy uniqueName="[Table1].[product_category]" caption="product_category" attribute="1" defaultMemberUniqueName="[Table1].[product_category].[All]" allUniqueName="[Table1].[product_category].[All]" dimensionUniqueName="[Table1]" displayFolder="" count="0" memberValueDatatype="130" unbalanced="0"/>
    <cacheHierarchy uniqueName="[Table1].[product_type]" caption="product_type" attribute="1" defaultMemberUniqueName="[Table1].[product_type].[All]" allUniqueName="[Table1].[product_type].[All]" dimensionUniqueName="[Table1]" displayFolder="" count="0" memberValueDatatype="130" unbalanced="0"/>
    <cacheHierarchy uniqueName="[Table1].[product_detail]" caption="product_detail" attribute="1" defaultMemberUniqueName="[Table1].[product_detail].[All]" allUniqueName="[Table1].[product_detail].[All]" dimensionUniqueName="[Table1]" displayFolder="" count="0" memberValueDatatype="130" unbalanced="0"/>
    <cacheHierarchy uniqueName="[Table1].[Smallize]" caption="Smallize" attribute="1" defaultMemberUniqueName="[Table1].[Smallize].[All]" allUniqueName="[Table1].[Smallize].[All]" dimensionUniqueName="[Table1]" displayFolder="" count="0" memberValueDatatype="130" unbalanced="0"/>
    <cacheHierarchy uniqueName="[Table1].[Total_bill]" caption="Total_bill" attribute="1" defaultMemberUniqueName="[Table1].[Total_bill].[All]" allUniqueName="[Table1].[Total_bill].[All]" dimensionUniqueName="[Table1]" displayFolder="" count="0" memberValueDatatype="5" unbalanced="0"/>
    <cacheHierarchy uniqueName="[Table1].[Month Name]" caption="Month Name" attribute="1" defaultMemberUniqueName="[Table1].[Month Name].[All]" allUniqueName="[Table1].[Month Name].[All]" dimensionUniqueName="[Table1]" displayFolder="" count="2" memberValueDatatype="130" unbalanced="0"/>
    <cacheHierarchy uniqueName="[Table1].[Day Name]" caption="Day Name" attribute="1" defaultMemberUniqueName="[Table1].[Day Name].[All]" allUniqueName="[Table1].[Day Name].[All]" dimensionUniqueName="[Table1]" displayFolder="" count="2" memberValueDatatype="130" unbalanced="0"/>
    <cacheHierarchy uniqueName="[Table1].[Hour]" caption="Hour" attribute="1" defaultMemberUniqueName="[Table1].[Hour].[All]" allUniqueName="[Table1].[Hour].[All]" dimensionUniqueName="[Table1]" displayFolder="" count="0" memberValueDatatype="20" unbalanced="0"/>
    <cacheHierarchy uniqueName="[Table1].[Day of Week]" caption="Day of Week" attribute="1" defaultMemberUniqueName="[Table1].[Day of Week].[All]" allUniqueName="[Table1].[Day of Week].[All]" dimensionUniqueName="[Table1]" displayFolder="" count="0" memberValueDatatype="20" unbalanced="0"/>
    <cacheHierarchy uniqueName="[Table1].[Month]" caption="Month" attribute="1" defaultMemberUniqueName="[Table1].[Month].[All]" allUniqueName="[Table1].[Month].[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ransaction_id]" caption="Sum of transaction_id" measure="1" displayFolder="" measureGroup="Table1" count="0" hidden="1">
      <extLst>
        <ext xmlns:x15="http://schemas.microsoft.com/office/spreadsheetml/2010/11/main" uri="{B97F6D7D-B522-45F9-BDA1-12C45D357490}">
          <x15:cacheHierarchy aggregatedColumn="0"/>
        </ext>
      </extLst>
    </cacheHierarchy>
    <cacheHierarchy uniqueName="[Measures].[Sum of Total_bill]" caption="Sum of Total_bill" measure="1" displayFolder="" measureGroup="Table1" count="0" oneField="1" hidden="1">
      <fieldsUsage count="1">
        <fieldUsage x="0"/>
      </fieldsUsage>
      <extLst>
        <ext xmlns:x15="http://schemas.microsoft.com/office/spreadsheetml/2010/11/main" uri="{B97F6D7D-B522-45F9-BDA1-12C45D357490}">
          <x15:cacheHierarchy aggregatedColumn="12"/>
        </ext>
      </extLst>
    </cacheHierarchy>
    <cacheHierarchy uniqueName="[Measures].[Average of Total_bill]" caption="Average of Total_bill" measure="1" displayFolder="" measureGroup="Table1" count="0" oneField="1" hidden="1">
      <fieldsUsage count="1">
        <fieldUsage x="1"/>
      </fieldsUsage>
      <extLst>
        <ext xmlns:x15="http://schemas.microsoft.com/office/spreadsheetml/2010/11/main" uri="{B97F6D7D-B522-45F9-BDA1-12C45D357490}">
          <x15:cacheHierarchy aggregatedColumn="12"/>
        </ext>
      </extLst>
    </cacheHierarchy>
    <cacheHierarchy uniqueName="[Measures].[Count of transaction_id]" caption="Count of transaction_id" measure="1" displayFolder="" measureGroup="Table1" count="0" oneField="1" hidden="1">
      <fieldsUsage count="1">
        <fieldUsage x="2"/>
      </fieldsUsage>
      <extLst>
        <ext xmlns:x15="http://schemas.microsoft.com/office/spreadsheetml/2010/11/main" uri="{B97F6D7D-B522-45F9-BDA1-12C45D357490}">
          <x15:cacheHierarchy aggregatedColumn="0"/>
        </ext>
      </extLst>
    </cacheHierarchy>
    <cacheHierarchy uniqueName="[Measures].[Sum of transaction_qty]" caption="Sum of transaction_qty" measure="1" displayFolder="" measureGroup="Table1" count="0" hidden="1">
      <extLst>
        <ext xmlns:x15="http://schemas.microsoft.com/office/spreadsheetml/2010/11/main" uri="{B97F6D7D-B522-45F9-BDA1-12C45D357490}">
          <x15:cacheHierarchy aggregatedColumn="6"/>
        </ext>
      </extLst>
    </cacheHierarchy>
    <cacheHierarchy uniqueName="[Measures].[Average of transaction_qty]" caption="Average of transaction_qty" measure="1" displayFolder="" measureGroup="Table1" count="0" oneField="1" hidden="1">
      <fieldsUsage count="1">
        <fieldUsage x="3"/>
      </fieldsUsage>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nav Gurav" refreshedDate="46188.651963657408" backgroundQuery="1" createdVersion="8" refreshedVersion="8" minRefreshableVersion="3" recordCount="0" supportSubquery="1" supportAdvancedDrill="1" xr:uid="{D74E968B-2462-4991-9A00-31974DE2F984}">
  <cacheSource type="external" connectionId="1"/>
  <cacheFields count="3">
    <cacheField name="[Table1].[Hour].[Hour]" caption="Hour" numFmtId="0" hierarchy="15" level="1">
      <sharedItems containsSemiMixedTypes="0" containsString="0" containsNumber="1" containsInteger="1" minValue="6" maxValue="20" count="15">
        <n v="6"/>
        <n v="7"/>
        <n v="8"/>
        <n v="9"/>
        <n v="10"/>
        <n v="11"/>
        <n v="12"/>
        <n v="13"/>
        <n v="14"/>
        <n v="15"/>
        <n v="16"/>
        <n v="17"/>
        <n v="18"/>
        <n v="19"/>
        <n v="20"/>
      </sharedItems>
      <extLst>
        <ext xmlns:x15="http://schemas.microsoft.com/office/spreadsheetml/2010/11/main" uri="{4F2E5C28-24EA-4eb8-9CBF-B6C8F9C3D259}">
          <x15:cachedUniqueNames>
            <x15:cachedUniqueName index="0" name="[Table1].[Hour].&amp;[6]"/>
            <x15:cachedUniqueName index="1" name="[Table1].[Hour].&amp;[7]"/>
            <x15:cachedUniqueName index="2" name="[Table1].[Hour].&amp;[8]"/>
            <x15:cachedUniqueName index="3" name="[Table1].[Hour].&amp;[9]"/>
            <x15:cachedUniqueName index="4" name="[Table1].[Hour].&amp;[10]"/>
            <x15:cachedUniqueName index="5" name="[Table1].[Hour].&amp;[11]"/>
            <x15:cachedUniqueName index="6" name="[Table1].[Hour].&amp;[12]"/>
            <x15:cachedUniqueName index="7" name="[Table1].[Hour].&amp;[13]"/>
            <x15:cachedUniqueName index="8" name="[Table1].[Hour].&amp;[14]"/>
            <x15:cachedUniqueName index="9" name="[Table1].[Hour].&amp;[15]"/>
            <x15:cachedUniqueName index="10" name="[Table1].[Hour].&amp;[16]"/>
            <x15:cachedUniqueName index="11" name="[Table1].[Hour].&amp;[17]"/>
            <x15:cachedUniqueName index="12" name="[Table1].[Hour].&amp;[18]"/>
            <x15:cachedUniqueName index="13" name="[Table1].[Hour].&amp;[19]"/>
            <x15:cachedUniqueName index="14" name="[Table1].[Hour].&amp;[20]"/>
          </x15:cachedUniqueNames>
        </ext>
      </extLst>
    </cacheField>
    <cacheField name="[Measures].[Sum of transaction_qty]" caption="Sum of transaction_qty" numFmtId="0" hierarchy="24" level="32767"/>
    <cacheField name="[Table1].[store_location].[store_location]" caption="store_location" numFmtId="0" hierarchy="4" level="1">
      <sharedItems containsSemiMixedTypes="0" containsNonDate="0" containsString="0"/>
    </cacheField>
  </cacheFields>
  <cacheHierarchies count="26">
    <cacheHierarchy uniqueName="[Table1].[transaction_id]" caption="transaction_id" attribute="1" defaultMemberUniqueName="[Table1].[transaction_id].[All]" allUniqueName="[Table1].[transaction_id].[All]" dimensionUniqueName="[Table1]" displayFolder="" count="0" memberValueDatatype="20" unbalanced="0"/>
    <cacheHierarchy uniqueName="[Table1].[transaction_date]" caption="transaction_date" attribute="1" time="1" defaultMemberUniqueName="[Table1].[transaction_date].[All]" allUniqueName="[Table1].[transaction_date].[All]" dimensionUniqueName="[Table1]" displayFolder="" count="0" memberValueDatatype="7" unbalanced="0"/>
    <cacheHierarchy uniqueName="[Table1].[transaction_time]" caption="transaction_time" attribute="1" defaultMemberUniqueName="[Table1].[transaction_time].[All]" allUniqueName="[Table1].[transaction_time].[All]" dimensionUniqueName="[Table1]" displayFolder="" count="0" memberValueDatatype="130" unbalanced="0"/>
    <cacheHierarchy uniqueName="[Table1].[store_id]" caption="store_id" attribute="1" defaultMemberUniqueName="[Table1].[store_id].[All]" allUniqueName="[Table1].[store_id].[All]" dimensionUniqueName="[Table1]" displayFolder="" count="0" memberValueDatatype="130" unbalanced="0"/>
    <cacheHierarchy uniqueName="[Table1].[store_location]" caption="store_location" attribute="1" defaultMemberUniqueName="[Table1].[store_location].[All]" allUniqueName="[Table1].[store_location].[All]" dimensionUniqueName="[Table1]" displayFolder="" count="2" memberValueDatatype="130" unbalanced="0">
      <fieldsUsage count="2">
        <fieldUsage x="-1"/>
        <fieldUsage x="2"/>
      </fieldsUsage>
    </cacheHierarchy>
    <cacheHierarchy uniqueName="[Table1].[product_id]" caption="product_id" attribute="1" defaultMemberUniqueName="[Table1].[product_id].[All]" allUniqueName="[Table1].[product_id].[All]" dimensionUniqueName="[Table1]" displayFolder="" count="0" memberValueDatatype="130" unbalanced="0"/>
    <cacheHierarchy uniqueName="[Table1].[transaction_qty]" caption="transaction_qty" attribute="1" defaultMemberUniqueName="[Table1].[transaction_qty].[All]" allUniqueName="[Table1].[transaction_qty].[All]" dimensionUniqueName="[Table1]" displayFolder="" count="0" memberValueDatatype="20" unbalanced="0"/>
    <cacheHierarchy uniqueName="[Table1].[unit_price]" caption="unit_price" attribute="1" defaultMemberUniqueName="[Table1].[unit_price].[All]" allUniqueName="[Table1].[unit_price].[All]" dimensionUniqueName="[Table1]" displayFolder="" count="0" memberValueDatatype="5" unbalanced="0"/>
    <cacheHierarchy uniqueName="[Table1].[product_category]" caption="product_category" attribute="1" defaultMemberUniqueName="[Table1].[product_category].[All]" allUniqueName="[Table1].[product_category].[All]" dimensionUniqueName="[Table1]" displayFolder="" count="0" memberValueDatatype="130" unbalanced="0"/>
    <cacheHierarchy uniqueName="[Table1].[product_type]" caption="product_type" attribute="1" defaultMemberUniqueName="[Table1].[product_type].[All]" allUniqueName="[Table1].[product_type].[All]" dimensionUniqueName="[Table1]" displayFolder="" count="0" memberValueDatatype="130" unbalanced="0"/>
    <cacheHierarchy uniqueName="[Table1].[product_detail]" caption="product_detail" attribute="1" defaultMemberUniqueName="[Table1].[product_detail].[All]" allUniqueName="[Table1].[product_detail].[All]" dimensionUniqueName="[Table1]" displayFolder="" count="0" memberValueDatatype="130" unbalanced="0"/>
    <cacheHierarchy uniqueName="[Table1].[Smallize]" caption="Smallize" attribute="1" defaultMemberUniqueName="[Table1].[Smallize].[All]" allUniqueName="[Table1].[Smallize].[All]" dimensionUniqueName="[Table1]" displayFolder="" count="0" memberValueDatatype="130" unbalanced="0"/>
    <cacheHierarchy uniqueName="[Table1].[Total_bill]" caption="Total_bill" attribute="1" defaultMemberUniqueName="[Table1].[Total_bill].[All]" allUniqueName="[Table1].[Total_bill].[All]" dimensionUniqueName="[Table1]" displayFolder="" count="0" memberValueDatatype="5" unbalanced="0"/>
    <cacheHierarchy uniqueName="[Table1].[Month Name]" caption="Month Name" attribute="1" defaultMemberUniqueName="[Table1].[Month Name].[All]" allUniqueName="[Table1].[Month Name].[All]" dimensionUniqueName="[Table1]" displayFolder="" count="2" memberValueDatatype="130" unbalanced="0"/>
    <cacheHierarchy uniqueName="[Table1].[Day Name]" caption="Day Name" attribute="1" defaultMemberUniqueName="[Table1].[Day Name].[All]" allUniqueName="[Table1].[Day Name].[All]" dimensionUniqueName="[Table1]" displayFolder="" count="2" memberValueDatatype="130" unbalanced="0"/>
    <cacheHierarchy uniqueName="[Table1].[Hour]" caption="Hour" attribute="1" defaultMemberUniqueName="[Table1].[Hour].[All]" allUniqueName="[Table1].[Hour].[All]" dimensionUniqueName="[Table1]" displayFolder="" count="2" memberValueDatatype="20" unbalanced="0">
      <fieldsUsage count="2">
        <fieldUsage x="-1"/>
        <fieldUsage x="0"/>
      </fieldsUsage>
    </cacheHierarchy>
    <cacheHierarchy uniqueName="[Table1].[Day of Week]" caption="Day of Week" attribute="1" defaultMemberUniqueName="[Table1].[Day of Week].[All]" allUniqueName="[Table1].[Day of Week].[All]" dimensionUniqueName="[Table1]" displayFolder="" count="0" memberValueDatatype="20" unbalanced="0"/>
    <cacheHierarchy uniqueName="[Table1].[Month]" caption="Month" attribute="1" defaultMemberUniqueName="[Table1].[Month].[All]" allUniqueName="[Table1].[Month].[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ransaction_id]" caption="Sum of transaction_id" measure="1" displayFolder="" measureGroup="Table1" count="0" hidden="1">
      <extLst>
        <ext xmlns:x15="http://schemas.microsoft.com/office/spreadsheetml/2010/11/main" uri="{B97F6D7D-B522-45F9-BDA1-12C45D357490}">
          <x15:cacheHierarchy aggregatedColumn="0"/>
        </ext>
      </extLst>
    </cacheHierarchy>
    <cacheHierarchy uniqueName="[Measures].[Sum of Total_bill]" caption="Sum of Total_bill" measure="1" displayFolder="" measureGroup="Table1" count="0" hidden="1">
      <extLst>
        <ext xmlns:x15="http://schemas.microsoft.com/office/spreadsheetml/2010/11/main" uri="{B97F6D7D-B522-45F9-BDA1-12C45D357490}">
          <x15:cacheHierarchy aggregatedColumn="12"/>
        </ext>
      </extLst>
    </cacheHierarchy>
    <cacheHierarchy uniqueName="[Measures].[Average of Total_bill]" caption="Average of Total_bill" measure="1" displayFolder="" measureGroup="Table1" count="0" hidden="1">
      <extLst>
        <ext xmlns:x15="http://schemas.microsoft.com/office/spreadsheetml/2010/11/main" uri="{B97F6D7D-B522-45F9-BDA1-12C45D357490}">
          <x15:cacheHierarchy aggregatedColumn="12"/>
        </ext>
      </extLst>
    </cacheHierarchy>
    <cacheHierarchy uniqueName="[Measures].[Count of transaction_id]" caption="Count of transaction_id" measure="1" displayFolder="" measureGroup="Table1" count="0" hidden="1">
      <extLst>
        <ext xmlns:x15="http://schemas.microsoft.com/office/spreadsheetml/2010/11/main" uri="{B97F6D7D-B522-45F9-BDA1-12C45D357490}">
          <x15:cacheHierarchy aggregatedColumn="0"/>
        </ext>
      </extLst>
    </cacheHierarchy>
    <cacheHierarchy uniqueName="[Measures].[Sum of transaction_qty]" caption="Sum of transaction_qty" measure="1" displayFolder="" measureGroup="Table1" count="0" oneField="1" hidden="1">
      <fieldsUsage count="1">
        <fieldUsage x="1"/>
      </fieldsUsage>
      <extLst>
        <ext xmlns:x15="http://schemas.microsoft.com/office/spreadsheetml/2010/11/main" uri="{B97F6D7D-B522-45F9-BDA1-12C45D357490}">
          <x15:cacheHierarchy aggregatedColumn="6"/>
        </ext>
      </extLst>
    </cacheHierarchy>
    <cacheHierarchy uniqueName="[Measures].[Average of transaction_qty]" caption="Average of transaction_qty" measure="1" displayFolder="" measureGroup="Table1"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nav Gurav" refreshedDate="46188.65196412037" backgroundQuery="1" createdVersion="8" refreshedVersion="8" minRefreshableVersion="3" recordCount="0" supportSubquery="1" supportAdvancedDrill="1" xr:uid="{EEC1DB56-1930-4B44-89D5-C663B4F692D2}">
  <cacheSource type="external" connectionId="1"/>
  <cacheFields count="3">
    <cacheField name="[Table1].[product_category].[product_category]" caption="product_category" numFmtId="0" hierarchy="8" level="1">
      <sharedItems count="8">
        <s v="Bakery"/>
        <s v="Branded"/>
        <s v="Coffee"/>
        <s v="Coffee Beans"/>
        <s v="Drinking Chocolate"/>
        <s v="Loose Tea"/>
        <s v="Packaged Chocolate"/>
        <s v="Tea"/>
      </sharedItems>
    </cacheField>
    <cacheField name="[Measures].[Sum of Total_bill]" caption="Sum of Total_bill" numFmtId="0" hierarchy="21" level="32767"/>
    <cacheField name="[Table1].[store_location].[store_location]" caption="store_location" numFmtId="0" hierarchy="4" level="1">
      <sharedItems containsSemiMixedTypes="0" containsNonDate="0" containsString="0"/>
    </cacheField>
  </cacheFields>
  <cacheHierarchies count="26">
    <cacheHierarchy uniqueName="[Table1].[transaction_id]" caption="transaction_id" attribute="1" defaultMemberUniqueName="[Table1].[transaction_id].[All]" allUniqueName="[Table1].[transaction_id].[All]" dimensionUniqueName="[Table1]" displayFolder="" count="0" memberValueDatatype="20" unbalanced="0"/>
    <cacheHierarchy uniqueName="[Table1].[transaction_date]" caption="transaction_date" attribute="1" time="1" defaultMemberUniqueName="[Table1].[transaction_date].[All]" allUniqueName="[Table1].[transaction_date].[All]" dimensionUniqueName="[Table1]" displayFolder="" count="0" memberValueDatatype="7" unbalanced="0"/>
    <cacheHierarchy uniqueName="[Table1].[transaction_time]" caption="transaction_time" attribute="1" defaultMemberUniqueName="[Table1].[transaction_time].[All]" allUniqueName="[Table1].[transaction_time].[All]" dimensionUniqueName="[Table1]" displayFolder="" count="0" memberValueDatatype="130" unbalanced="0"/>
    <cacheHierarchy uniqueName="[Table1].[store_id]" caption="store_id" attribute="1" defaultMemberUniqueName="[Table1].[store_id].[All]" allUniqueName="[Table1].[store_id].[All]" dimensionUniqueName="[Table1]" displayFolder="" count="0" memberValueDatatype="130" unbalanced="0"/>
    <cacheHierarchy uniqueName="[Table1].[store_location]" caption="store_location" attribute="1" defaultMemberUniqueName="[Table1].[store_location].[All]" allUniqueName="[Table1].[store_location].[All]" dimensionUniqueName="[Table1]" displayFolder="" count="2" memberValueDatatype="130" unbalanced="0">
      <fieldsUsage count="2">
        <fieldUsage x="-1"/>
        <fieldUsage x="2"/>
      </fieldsUsage>
    </cacheHierarchy>
    <cacheHierarchy uniqueName="[Table1].[product_id]" caption="product_id" attribute="1" defaultMemberUniqueName="[Table1].[product_id].[All]" allUniqueName="[Table1].[product_id].[All]" dimensionUniqueName="[Table1]" displayFolder="" count="0" memberValueDatatype="130" unbalanced="0"/>
    <cacheHierarchy uniqueName="[Table1].[transaction_qty]" caption="transaction_qty" attribute="1" defaultMemberUniqueName="[Table1].[transaction_qty].[All]" allUniqueName="[Table1].[transaction_qty].[All]" dimensionUniqueName="[Table1]" displayFolder="" count="0" memberValueDatatype="20" unbalanced="0"/>
    <cacheHierarchy uniqueName="[Table1].[unit_price]" caption="unit_price" attribute="1" defaultMemberUniqueName="[Table1].[unit_price].[All]" allUniqueName="[Table1].[unit_price].[All]" dimensionUniqueName="[Table1]" displayFolder="" count="0" memberValueDatatype="5" unbalanced="0"/>
    <cacheHierarchy uniqueName="[Table1].[product_category]" caption="product_category" attribute="1" defaultMemberUniqueName="[Table1].[product_category].[All]" allUniqueName="[Table1].[product_category].[All]" dimensionUniqueName="[Table1]" displayFolder="" count="2" memberValueDatatype="130" unbalanced="0">
      <fieldsUsage count="2">
        <fieldUsage x="-1"/>
        <fieldUsage x="0"/>
      </fieldsUsage>
    </cacheHierarchy>
    <cacheHierarchy uniqueName="[Table1].[product_type]" caption="product_type" attribute="1" defaultMemberUniqueName="[Table1].[product_type].[All]" allUniqueName="[Table1].[product_type].[All]" dimensionUniqueName="[Table1]" displayFolder="" count="0" memberValueDatatype="130" unbalanced="0"/>
    <cacheHierarchy uniqueName="[Table1].[product_detail]" caption="product_detail" attribute="1" defaultMemberUniqueName="[Table1].[product_detail].[All]" allUniqueName="[Table1].[product_detail].[All]" dimensionUniqueName="[Table1]" displayFolder="" count="0" memberValueDatatype="130" unbalanced="0"/>
    <cacheHierarchy uniqueName="[Table1].[Smallize]" caption="Smallize" attribute="1" defaultMemberUniqueName="[Table1].[Smallize].[All]" allUniqueName="[Table1].[Smallize].[All]" dimensionUniqueName="[Table1]" displayFolder="" count="0" memberValueDatatype="130" unbalanced="0"/>
    <cacheHierarchy uniqueName="[Table1].[Total_bill]" caption="Total_bill" attribute="1" defaultMemberUniqueName="[Table1].[Total_bill].[All]" allUniqueName="[Table1].[Total_bill].[All]" dimensionUniqueName="[Table1]" displayFolder="" count="0" memberValueDatatype="5" unbalanced="0"/>
    <cacheHierarchy uniqueName="[Table1].[Month Name]" caption="Month Name" attribute="1" defaultMemberUniqueName="[Table1].[Month Name].[All]" allUniqueName="[Table1].[Month Name].[All]" dimensionUniqueName="[Table1]" displayFolder="" count="2" memberValueDatatype="130" unbalanced="0"/>
    <cacheHierarchy uniqueName="[Table1].[Day Name]" caption="Day Name" attribute="1" defaultMemberUniqueName="[Table1].[Day Name].[All]" allUniqueName="[Table1].[Day Name].[All]" dimensionUniqueName="[Table1]" displayFolder="" count="2" memberValueDatatype="130" unbalanced="0"/>
    <cacheHierarchy uniqueName="[Table1].[Hour]" caption="Hour" attribute="1" defaultMemberUniqueName="[Table1].[Hour].[All]" allUniqueName="[Table1].[Hour].[All]" dimensionUniqueName="[Table1]" displayFolder="" count="0" memberValueDatatype="20" unbalanced="0"/>
    <cacheHierarchy uniqueName="[Table1].[Day of Week]" caption="Day of Week" attribute="1" defaultMemberUniqueName="[Table1].[Day of Week].[All]" allUniqueName="[Table1].[Day of Week].[All]" dimensionUniqueName="[Table1]" displayFolder="" count="0" memberValueDatatype="20" unbalanced="0"/>
    <cacheHierarchy uniqueName="[Table1].[Month]" caption="Month" attribute="1" defaultMemberUniqueName="[Table1].[Month].[All]" allUniqueName="[Table1].[Month].[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ransaction_id]" caption="Sum of transaction_id" measure="1" displayFolder="" measureGroup="Table1" count="0" hidden="1">
      <extLst>
        <ext xmlns:x15="http://schemas.microsoft.com/office/spreadsheetml/2010/11/main" uri="{B97F6D7D-B522-45F9-BDA1-12C45D357490}">
          <x15:cacheHierarchy aggregatedColumn="0"/>
        </ext>
      </extLst>
    </cacheHierarchy>
    <cacheHierarchy uniqueName="[Measures].[Sum of Total_bill]" caption="Sum of Total_bill" measure="1" displayFolder="" measureGroup="Table1" count="0" oneField="1" hidden="1">
      <fieldsUsage count="1">
        <fieldUsage x="1"/>
      </fieldsUsage>
      <extLst>
        <ext xmlns:x15="http://schemas.microsoft.com/office/spreadsheetml/2010/11/main" uri="{B97F6D7D-B522-45F9-BDA1-12C45D357490}">
          <x15:cacheHierarchy aggregatedColumn="12"/>
        </ext>
      </extLst>
    </cacheHierarchy>
    <cacheHierarchy uniqueName="[Measures].[Average of Total_bill]" caption="Average of Total_bill" measure="1" displayFolder="" measureGroup="Table1" count="0" hidden="1">
      <extLst>
        <ext xmlns:x15="http://schemas.microsoft.com/office/spreadsheetml/2010/11/main" uri="{B97F6D7D-B522-45F9-BDA1-12C45D357490}">
          <x15:cacheHierarchy aggregatedColumn="12"/>
        </ext>
      </extLst>
    </cacheHierarchy>
    <cacheHierarchy uniqueName="[Measures].[Count of transaction_id]" caption="Count of transaction_id" measure="1" displayFolder="" measureGroup="Table1" count="0" hidden="1">
      <extLst>
        <ext xmlns:x15="http://schemas.microsoft.com/office/spreadsheetml/2010/11/main" uri="{B97F6D7D-B522-45F9-BDA1-12C45D357490}">
          <x15:cacheHierarchy aggregatedColumn="0"/>
        </ext>
      </extLst>
    </cacheHierarchy>
    <cacheHierarchy uniqueName="[Measures].[Sum of transaction_qty]" caption="Sum of transaction_qty" measure="1" displayFolder="" measureGroup="Table1" count="0" hidden="1">
      <extLst>
        <ext xmlns:x15="http://schemas.microsoft.com/office/spreadsheetml/2010/11/main" uri="{B97F6D7D-B522-45F9-BDA1-12C45D357490}">
          <x15:cacheHierarchy aggregatedColumn="6"/>
        </ext>
      </extLst>
    </cacheHierarchy>
    <cacheHierarchy uniqueName="[Measures].[Average of transaction_qty]" caption="Average of transaction_qty" measure="1" displayFolder="" measureGroup="Table1"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nav Gurav" refreshedDate="46188.651964583332" backgroundQuery="1" createdVersion="8" refreshedVersion="8" minRefreshableVersion="3" recordCount="0" supportSubquery="1" supportAdvancedDrill="1" xr:uid="{306E96D2-34D7-49AA-A9ED-6B0592EE545C}">
  <cacheSource type="external" connectionId="1"/>
  <cacheFields count="3">
    <cacheField name="[Measures].[Count of transaction_id]" caption="Count of transaction_id" numFmtId="0" hierarchy="23" level="32767"/>
    <cacheField name="[Table1].[Smallize].[Smallize]" caption="Smallize" numFmtId="0" hierarchy="11" level="1">
      <sharedItems count="4">
        <s v="Large"/>
        <s v="Not Defined"/>
        <s v="ReguLargear"/>
        <s v="SmaLargeLarge"/>
      </sharedItems>
    </cacheField>
    <cacheField name="[Table1].[store_location].[store_location]" caption="store_location" numFmtId="0" hierarchy="4" level="1">
      <sharedItems containsSemiMixedTypes="0" containsNonDate="0" containsString="0"/>
    </cacheField>
  </cacheFields>
  <cacheHierarchies count="26">
    <cacheHierarchy uniqueName="[Table1].[transaction_id]" caption="transaction_id" attribute="1" defaultMemberUniqueName="[Table1].[transaction_id].[All]" allUniqueName="[Table1].[transaction_id].[All]" dimensionUniqueName="[Table1]" displayFolder="" count="0" memberValueDatatype="20" unbalanced="0"/>
    <cacheHierarchy uniqueName="[Table1].[transaction_date]" caption="transaction_date" attribute="1" time="1" defaultMemberUniqueName="[Table1].[transaction_date].[All]" allUniqueName="[Table1].[transaction_date].[All]" dimensionUniqueName="[Table1]" displayFolder="" count="0" memberValueDatatype="7" unbalanced="0"/>
    <cacheHierarchy uniqueName="[Table1].[transaction_time]" caption="transaction_time" attribute="1" defaultMemberUniqueName="[Table1].[transaction_time].[All]" allUniqueName="[Table1].[transaction_time].[All]" dimensionUniqueName="[Table1]" displayFolder="" count="0" memberValueDatatype="130" unbalanced="0"/>
    <cacheHierarchy uniqueName="[Table1].[store_id]" caption="store_id" attribute="1" defaultMemberUniqueName="[Table1].[store_id].[All]" allUniqueName="[Table1].[store_id].[All]" dimensionUniqueName="[Table1]" displayFolder="" count="0" memberValueDatatype="130" unbalanced="0"/>
    <cacheHierarchy uniqueName="[Table1].[store_location]" caption="store_location" attribute="1" defaultMemberUniqueName="[Table1].[store_location].[All]" allUniqueName="[Table1].[store_location].[All]" dimensionUniqueName="[Table1]" displayFolder="" count="2" memberValueDatatype="130" unbalanced="0">
      <fieldsUsage count="2">
        <fieldUsage x="-1"/>
        <fieldUsage x="2"/>
      </fieldsUsage>
    </cacheHierarchy>
    <cacheHierarchy uniqueName="[Table1].[product_id]" caption="product_id" attribute="1" defaultMemberUniqueName="[Table1].[product_id].[All]" allUniqueName="[Table1].[product_id].[All]" dimensionUniqueName="[Table1]" displayFolder="" count="0" memberValueDatatype="130" unbalanced="0"/>
    <cacheHierarchy uniqueName="[Table1].[transaction_qty]" caption="transaction_qty" attribute="1" defaultMemberUniqueName="[Table1].[transaction_qty].[All]" allUniqueName="[Table1].[transaction_qty].[All]" dimensionUniqueName="[Table1]" displayFolder="" count="0" memberValueDatatype="20" unbalanced="0"/>
    <cacheHierarchy uniqueName="[Table1].[unit_price]" caption="unit_price" attribute="1" defaultMemberUniqueName="[Table1].[unit_price].[All]" allUniqueName="[Table1].[unit_price].[All]" dimensionUniqueName="[Table1]" displayFolder="" count="0" memberValueDatatype="5" unbalanced="0"/>
    <cacheHierarchy uniqueName="[Table1].[product_category]" caption="product_category" attribute="1" defaultMemberUniqueName="[Table1].[product_category].[All]" allUniqueName="[Table1].[product_category].[All]" dimensionUniqueName="[Table1]" displayFolder="" count="0" memberValueDatatype="130" unbalanced="0"/>
    <cacheHierarchy uniqueName="[Table1].[product_type]" caption="product_type" attribute="1" defaultMemberUniqueName="[Table1].[product_type].[All]" allUniqueName="[Table1].[product_type].[All]" dimensionUniqueName="[Table1]" displayFolder="" count="0" memberValueDatatype="130" unbalanced="0"/>
    <cacheHierarchy uniqueName="[Table1].[product_detail]" caption="product_detail" attribute="1" defaultMemberUniqueName="[Table1].[product_detail].[All]" allUniqueName="[Table1].[product_detail].[All]" dimensionUniqueName="[Table1]" displayFolder="" count="0" memberValueDatatype="130" unbalanced="0"/>
    <cacheHierarchy uniqueName="[Table1].[Smallize]" caption="Smallize" attribute="1" defaultMemberUniqueName="[Table1].[Smallize].[All]" allUniqueName="[Table1].[Smallize].[All]" dimensionUniqueName="[Table1]" displayFolder="" count="2" memberValueDatatype="130" unbalanced="0">
      <fieldsUsage count="2">
        <fieldUsage x="-1"/>
        <fieldUsage x="1"/>
      </fieldsUsage>
    </cacheHierarchy>
    <cacheHierarchy uniqueName="[Table1].[Total_bill]" caption="Total_bill" attribute="1" defaultMemberUniqueName="[Table1].[Total_bill].[All]" allUniqueName="[Table1].[Total_bill].[All]" dimensionUniqueName="[Table1]" displayFolder="" count="0" memberValueDatatype="5" unbalanced="0"/>
    <cacheHierarchy uniqueName="[Table1].[Month Name]" caption="Month Name" attribute="1" defaultMemberUniqueName="[Table1].[Month Name].[All]" allUniqueName="[Table1].[Month Name].[All]" dimensionUniqueName="[Table1]" displayFolder="" count="2" memberValueDatatype="130" unbalanced="0"/>
    <cacheHierarchy uniqueName="[Table1].[Day Name]" caption="Day Name" attribute="1" defaultMemberUniqueName="[Table1].[Day Name].[All]" allUniqueName="[Table1].[Day Name].[All]" dimensionUniqueName="[Table1]" displayFolder="" count="2" memberValueDatatype="130" unbalanced="0"/>
    <cacheHierarchy uniqueName="[Table1].[Hour]" caption="Hour" attribute="1" defaultMemberUniqueName="[Table1].[Hour].[All]" allUniqueName="[Table1].[Hour].[All]" dimensionUniqueName="[Table1]" displayFolder="" count="0" memberValueDatatype="20" unbalanced="0"/>
    <cacheHierarchy uniqueName="[Table1].[Day of Week]" caption="Day of Week" attribute="1" defaultMemberUniqueName="[Table1].[Day of Week].[All]" allUniqueName="[Table1].[Day of Week].[All]" dimensionUniqueName="[Table1]" displayFolder="" count="0" memberValueDatatype="20" unbalanced="0"/>
    <cacheHierarchy uniqueName="[Table1].[Month]" caption="Month" attribute="1" defaultMemberUniqueName="[Table1].[Month].[All]" allUniqueName="[Table1].[Month].[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ransaction_id]" caption="Sum of transaction_id" measure="1" displayFolder="" measureGroup="Table1" count="0" hidden="1">
      <extLst>
        <ext xmlns:x15="http://schemas.microsoft.com/office/spreadsheetml/2010/11/main" uri="{B97F6D7D-B522-45F9-BDA1-12C45D357490}">
          <x15:cacheHierarchy aggregatedColumn="0"/>
        </ext>
      </extLst>
    </cacheHierarchy>
    <cacheHierarchy uniqueName="[Measures].[Sum of Total_bill]" caption="Sum of Total_bill" measure="1" displayFolder="" measureGroup="Table1" count="0" hidden="1">
      <extLst>
        <ext xmlns:x15="http://schemas.microsoft.com/office/spreadsheetml/2010/11/main" uri="{B97F6D7D-B522-45F9-BDA1-12C45D357490}">
          <x15:cacheHierarchy aggregatedColumn="12"/>
        </ext>
      </extLst>
    </cacheHierarchy>
    <cacheHierarchy uniqueName="[Measures].[Average of Total_bill]" caption="Average of Total_bill" measure="1" displayFolder="" measureGroup="Table1" count="0" hidden="1">
      <extLst>
        <ext xmlns:x15="http://schemas.microsoft.com/office/spreadsheetml/2010/11/main" uri="{B97F6D7D-B522-45F9-BDA1-12C45D357490}">
          <x15:cacheHierarchy aggregatedColumn="12"/>
        </ext>
      </extLst>
    </cacheHierarchy>
    <cacheHierarchy uniqueName="[Measures].[Count of transaction_id]" caption="Count of transaction_id" measure="1" displayFolder="" measureGroup="Table1"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transaction_qty]" caption="Sum of transaction_qty" measure="1" displayFolder="" measureGroup="Table1" count="0" hidden="1">
      <extLst>
        <ext xmlns:x15="http://schemas.microsoft.com/office/spreadsheetml/2010/11/main" uri="{B97F6D7D-B522-45F9-BDA1-12C45D357490}">
          <x15:cacheHierarchy aggregatedColumn="6"/>
        </ext>
      </extLst>
    </cacheHierarchy>
    <cacheHierarchy uniqueName="[Measures].[Average of transaction_qty]" caption="Average of transaction_qty" measure="1" displayFolder="" measureGroup="Table1"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nav Gurav" refreshedDate="46188.651965046294" backgroundQuery="1" createdVersion="8" refreshedVersion="8" minRefreshableVersion="3" recordCount="0" supportSubquery="1" supportAdvancedDrill="1" xr:uid="{42FAC32D-D470-4600-A5DF-43CD15C969A6}">
  <cacheSource type="external" connectionId="1"/>
  <cacheFields count="2">
    <cacheField name="[Table1].[store_location].[store_location]" caption="store_location" numFmtId="0" hierarchy="4" level="1">
      <sharedItems count="3">
        <s v="Astoria"/>
        <s v="Hell's Kitchen"/>
        <s v="Lower Manhattan"/>
      </sharedItems>
    </cacheField>
    <cacheField name="[Measures].[Sum of Total_bill]" caption="Sum of Total_bill" numFmtId="0" hierarchy="21" level="32767"/>
  </cacheFields>
  <cacheHierarchies count="26">
    <cacheHierarchy uniqueName="[Table1].[transaction_id]" caption="transaction_id" attribute="1" defaultMemberUniqueName="[Table1].[transaction_id].[All]" allUniqueName="[Table1].[transaction_id].[All]" dimensionUniqueName="[Table1]" displayFolder="" count="0" memberValueDatatype="20" unbalanced="0"/>
    <cacheHierarchy uniqueName="[Table1].[transaction_date]" caption="transaction_date" attribute="1" time="1" defaultMemberUniqueName="[Table1].[transaction_date].[All]" allUniqueName="[Table1].[transaction_date].[All]" dimensionUniqueName="[Table1]" displayFolder="" count="0" memberValueDatatype="7" unbalanced="0"/>
    <cacheHierarchy uniqueName="[Table1].[transaction_time]" caption="transaction_time" attribute="1" defaultMemberUniqueName="[Table1].[transaction_time].[All]" allUniqueName="[Table1].[transaction_time].[All]" dimensionUniqueName="[Table1]" displayFolder="" count="0" memberValueDatatype="130" unbalanced="0"/>
    <cacheHierarchy uniqueName="[Table1].[store_id]" caption="store_id" attribute="1" defaultMemberUniqueName="[Table1].[store_id].[All]" allUniqueName="[Table1].[store_id].[All]" dimensionUniqueName="[Table1]" displayFolder="" count="0" memberValueDatatype="130" unbalanced="0"/>
    <cacheHierarchy uniqueName="[Table1].[store_location]" caption="store_location" attribute="1" defaultMemberUniqueName="[Table1].[store_location].[All]" allUniqueName="[Table1].[store_location].[All]" dimensionUniqueName="[Table1]" displayFolder="" count="2" memberValueDatatype="130" unbalanced="0">
      <fieldsUsage count="2">
        <fieldUsage x="-1"/>
        <fieldUsage x="0"/>
      </fieldsUsage>
    </cacheHierarchy>
    <cacheHierarchy uniqueName="[Table1].[product_id]" caption="product_id" attribute="1" defaultMemberUniqueName="[Table1].[product_id].[All]" allUniqueName="[Table1].[product_id].[All]" dimensionUniqueName="[Table1]" displayFolder="" count="0" memberValueDatatype="130" unbalanced="0"/>
    <cacheHierarchy uniqueName="[Table1].[transaction_qty]" caption="transaction_qty" attribute="1" defaultMemberUniqueName="[Table1].[transaction_qty].[All]" allUniqueName="[Table1].[transaction_qty].[All]" dimensionUniqueName="[Table1]" displayFolder="" count="0" memberValueDatatype="20" unbalanced="0"/>
    <cacheHierarchy uniqueName="[Table1].[unit_price]" caption="unit_price" attribute="1" defaultMemberUniqueName="[Table1].[unit_price].[All]" allUniqueName="[Table1].[unit_price].[All]" dimensionUniqueName="[Table1]" displayFolder="" count="0" memberValueDatatype="5" unbalanced="0"/>
    <cacheHierarchy uniqueName="[Table1].[product_category]" caption="product_category" attribute="1" defaultMemberUniqueName="[Table1].[product_category].[All]" allUniqueName="[Table1].[product_category].[All]" dimensionUniqueName="[Table1]" displayFolder="" count="0" memberValueDatatype="130" unbalanced="0"/>
    <cacheHierarchy uniqueName="[Table1].[product_type]" caption="product_type" attribute="1" defaultMemberUniqueName="[Table1].[product_type].[All]" allUniqueName="[Table1].[product_type].[All]" dimensionUniqueName="[Table1]" displayFolder="" count="0" memberValueDatatype="130" unbalanced="0"/>
    <cacheHierarchy uniqueName="[Table1].[product_detail]" caption="product_detail" attribute="1" defaultMemberUniqueName="[Table1].[product_detail].[All]" allUniqueName="[Table1].[product_detail].[All]" dimensionUniqueName="[Table1]" displayFolder="" count="0" memberValueDatatype="130" unbalanced="0"/>
    <cacheHierarchy uniqueName="[Table1].[Smallize]" caption="Smallize" attribute="1" defaultMemberUniqueName="[Table1].[Smallize].[All]" allUniqueName="[Table1].[Smallize].[All]" dimensionUniqueName="[Table1]" displayFolder="" count="0" memberValueDatatype="130" unbalanced="0"/>
    <cacheHierarchy uniqueName="[Table1].[Total_bill]" caption="Total_bill" attribute="1" defaultMemberUniqueName="[Table1].[Total_bill].[All]" allUniqueName="[Table1].[Total_bill].[All]" dimensionUniqueName="[Table1]" displayFolder="" count="0" memberValueDatatype="5" unbalanced="0"/>
    <cacheHierarchy uniqueName="[Table1].[Month Name]" caption="Month Name" attribute="1" defaultMemberUniqueName="[Table1].[Month Name].[All]" allUniqueName="[Table1].[Month Name].[All]" dimensionUniqueName="[Table1]" displayFolder="" count="2" memberValueDatatype="130" unbalanced="0"/>
    <cacheHierarchy uniqueName="[Table1].[Day Name]" caption="Day Name" attribute="1" defaultMemberUniqueName="[Table1].[Day Name].[All]" allUniqueName="[Table1].[Day Name].[All]" dimensionUniqueName="[Table1]" displayFolder="" count="2" memberValueDatatype="130" unbalanced="0"/>
    <cacheHierarchy uniqueName="[Table1].[Hour]" caption="Hour" attribute="1" defaultMemberUniqueName="[Table1].[Hour].[All]" allUniqueName="[Table1].[Hour].[All]" dimensionUniqueName="[Table1]" displayFolder="" count="0" memberValueDatatype="20" unbalanced="0"/>
    <cacheHierarchy uniqueName="[Table1].[Day of Week]" caption="Day of Week" attribute="1" defaultMemberUniqueName="[Table1].[Day of Week].[All]" allUniqueName="[Table1].[Day of Week].[All]" dimensionUniqueName="[Table1]" displayFolder="" count="0" memberValueDatatype="20" unbalanced="0"/>
    <cacheHierarchy uniqueName="[Table1].[Month]" caption="Month" attribute="1" defaultMemberUniqueName="[Table1].[Month].[All]" allUniqueName="[Table1].[Month].[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ransaction_id]" caption="Sum of transaction_id" measure="1" displayFolder="" measureGroup="Table1" count="0" hidden="1">
      <extLst>
        <ext xmlns:x15="http://schemas.microsoft.com/office/spreadsheetml/2010/11/main" uri="{B97F6D7D-B522-45F9-BDA1-12C45D357490}">
          <x15:cacheHierarchy aggregatedColumn="0"/>
        </ext>
      </extLst>
    </cacheHierarchy>
    <cacheHierarchy uniqueName="[Measures].[Sum of Total_bill]" caption="Sum of Total_bill" measure="1" displayFolder="" measureGroup="Table1" count="0" oneField="1" hidden="1">
      <fieldsUsage count="1">
        <fieldUsage x="1"/>
      </fieldsUsage>
      <extLst>
        <ext xmlns:x15="http://schemas.microsoft.com/office/spreadsheetml/2010/11/main" uri="{B97F6D7D-B522-45F9-BDA1-12C45D357490}">
          <x15:cacheHierarchy aggregatedColumn="12"/>
        </ext>
      </extLst>
    </cacheHierarchy>
    <cacheHierarchy uniqueName="[Measures].[Average of Total_bill]" caption="Average of Total_bill" measure="1" displayFolder="" measureGroup="Table1" count="0" hidden="1">
      <extLst>
        <ext xmlns:x15="http://schemas.microsoft.com/office/spreadsheetml/2010/11/main" uri="{B97F6D7D-B522-45F9-BDA1-12C45D357490}">
          <x15:cacheHierarchy aggregatedColumn="12"/>
        </ext>
      </extLst>
    </cacheHierarchy>
    <cacheHierarchy uniqueName="[Measures].[Count of transaction_id]" caption="Count of transaction_id" measure="1" displayFolder="" measureGroup="Table1" count="0" hidden="1">
      <extLst>
        <ext xmlns:x15="http://schemas.microsoft.com/office/spreadsheetml/2010/11/main" uri="{B97F6D7D-B522-45F9-BDA1-12C45D357490}">
          <x15:cacheHierarchy aggregatedColumn="0"/>
        </ext>
      </extLst>
    </cacheHierarchy>
    <cacheHierarchy uniqueName="[Measures].[Sum of transaction_qty]" caption="Sum of transaction_qty" measure="1" displayFolder="" measureGroup="Table1" count="0" hidden="1">
      <extLst>
        <ext xmlns:x15="http://schemas.microsoft.com/office/spreadsheetml/2010/11/main" uri="{B97F6D7D-B522-45F9-BDA1-12C45D357490}">
          <x15:cacheHierarchy aggregatedColumn="6"/>
        </ext>
      </extLst>
    </cacheHierarchy>
    <cacheHierarchy uniqueName="[Measures].[Average of transaction_qty]" caption="Average of transaction_qty" measure="1" displayFolder="" measureGroup="Table1"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nav Gurav" refreshedDate="46188.651965393517" backgroundQuery="1" createdVersion="8" refreshedVersion="8" minRefreshableVersion="3" recordCount="0" supportSubquery="1" supportAdvancedDrill="1" xr:uid="{B81649DC-0B7E-4989-8FA9-1F486D36F95C}">
  <cacheSource type="external" connectionId="1"/>
  <cacheFields count="3">
    <cacheField name="[Table1].[product_type].[product_type]" caption="product_type" numFmtId="0" hierarchy="9" level="1">
      <sharedItems count="5">
        <s v="Brewed Tea"/>
        <s v="Clothing"/>
        <s v="Coffee Beans"/>
        <s v="Loose Tea"/>
        <s v="Packaged Chocolate"/>
      </sharedItems>
    </cacheField>
    <cacheField name="[Measures].[Sum of Total_bill]" caption="Sum of Total_bill" numFmtId="0" hierarchy="21" level="32767"/>
    <cacheField name="[Table1].[store_location].[store_location]" caption="store_location" numFmtId="0" hierarchy="4" level="1">
      <sharedItems containsSemiMixedTypes="0" containsNonDate="0" containsString="0"/>
    </cacheField>
  </cacheFields>
  <cacheHierarchies count="26">
    <cacheHierarchy uniqueName="[Table1].[transaction_id]" caption="transaction_id" attribute="1" defaultMemberUniqueName="[Table1].[transaction_id].[All]" allUniqueName="[Table1].[transaction_id].[All]" dimensionUniqueName="[Table1]" displayFolder="" count="0" memberValueDatatype="20" unbalanced="0"/>
    <cacheHierarchy uniqueName="[Table1].[transaction_date]" caption="transaction_date" attribute="1" time="1" defaultMemberUniqueName="[Table1].[transaction_date].[All]" allUniqueName="[Table1].[transaction_date].[All]" dimensionUniqueName="[Table1]" displayFolder="" count="0" memberValueDatatype="7" unbalanced="0"/>
    <cacheHierarchy uniqueName="[Table1].[transaction_time]" caption="transaction_time" attribute="1" defaultMemberUniqueName="[Table1].[transaction_time].[All]" allUniqueName="[Table1].[transaction_time].[All]" dimensionUniqueName="[Table1]" displayFolder="" count="0" memberValueDatatype="130" unbalanced="0"/>
    <cacheHierarchy uniqueName="[Table1].[store_id]" caption="store_id" attribute="1" defaultMemberUniqueName="[Table1].[store_id].[All]" allUniqueName="[Table1].[store_id].[All]" dimensionUniqueName="[Table1]" displayFolder="" count="0" memberValueDatatype="130" unbalanced="0"/>
    <cacheHierarchy uniqueName="[Table1].[store_location]" caption="store_location" attribute="1" defaultMemberUniqueName="[Table1].[store_location].[All]" allUniqueName="[Table1].[store_location].[All]" dimensionUniqueName="[Table1]" displayFolder="" count="2" memberValueDatatype="130" unbalanced="0">
      <fieldsUsage count="2">
        <fieldUsage x="-1"/>
        <fieldUsage x="2"/>
      </fieldsUsage>
    </cacheHierarchy>
    <cacheHierarchy uniqueName="[Table1].[product_id]" caption="product_id" attribute="1" defaultMemberUniqueName="[Table1].[product_id].[All]" allUniqueName="[Table1].[product_id].[All]" dimensionUniqueName="[Table1]" displayFolder="" count="0" memberValueDatatype="130" unbalanced="0"/>
    <cacheHierarchy uniqueName="[Table1].[transaction_qty]" caption="transaction_qty" attribute="1" defaultMemberUniqueName="[Table1].[transaction_qty].[All]" allUniqueName="[Table1].[transaction_qty].[All]" dimensionUniqueName="[Table1]" displayFolder="" count="0" memberValueDatatype="20" unbalanced="0"/>
    <cacheHierarchy uniqueName="[Table1].[unit_price]" caption="unit_price" attribute="1" defaultMemberUniqueName="[Table1].[unit_price].[All]" allUniqueName="[Table1].[unit_price].[All]" dimensionUniqueName="[Table1]" displayFolder="" count="0" memberValueDatatype="5" unbalanced="0"/>
    <cacheHierarchy uniqueName="[Table1].[product_category]" caption="product_category" attribute="1" defaultMemberUniqueName="[Table1].[product_category].[All]" allUniqueName="[Table1].[product_category].[All]" dimensionUniqueName="[Table1]" displayFolder="" count="0" memberValueDatatype="130" unbalanced="0"/>
    <cacheHierarchy uniqueName="[Table1].[product_type]" caption="product_type" attribute="1" defaultMemberUniqueName="[Table1].[product_type].[All]" allUniqueName="[Table1].[product_type].[All]" dimensionUniqueName="[Table1]" displayFolder="" count="2" memberValueDatatype="130" unbalanced="0">
      <fieldsUsage count="2">
        <fieldUsage x="-1"/>
        <fieldUsage x="0"/>
      </fieldsUsage>
    </cacheHierarchy>
    <cacheHierarchy uniqueName="[Table1].[product_detail]" caption="product_detail" attribute="1" defaultMemberUniqueName="[Table1].[product_detail].[All]" allUniqueName="[Table1].[product_detail].[All]" dimensionUniqueName="[Table1]" displayFolder="" count="0" memberValueDatatype="130" unbalanced="0"/>
    <cacheHierarchy uniqueName="[Table1].[Smallize]" caption="Smallize" attribute="1" defaultMemberUniqueName="[Table1].[Smallize].[All]" allUniqueName="[Table1].[Smallize].[All]" dimensionUniqueName="[Table1]" displayFolder="" count="0" memberValueDatatype="130" unbalanced="0"/>
    <cacheHierarchy uniqueName="[Table1].[Total_bill]" caption="Total_bill" attribute="1" defaultMemberUniqueName="[Table1].[Total_bill].[All]" allUniqueName="[Table1].[Total_bill].[All]" dimensionUniqueName="[Table1]" displayFolder="" count="0" memberValueDatatype="5" unbalanced="0"/>
    <cacheHierarchy uniqueName="[Table1].[Month Name]" caption="Month Name" attribute="1" defaultMemberUniqueName="[Table1].[Month Name].[All]" allUniqueName="[Table1].[Month Name].[All]" dimensionUniqueName="[Table1]" displayFolder="" count="2" memberValueDatatype="130" unbalanced="0"/>
    <cacheHierarchy uniqueName="[Table1].[Day Name]" caption="Day Name" attribute="1" defaultMemberUniqueName="[Table1].[Day Name].[All]" allUniqueName="[Table1].[Day Name].[All]" dimensionUniqueName="[Table1]" displayFolder="" count="2" memberValueDatatype="130" unbalanced="0"/>
    <cacheHierarchy uniqueName="[Table1].[Hour]" caption="Hour" attribute="1" defaultMemberUniqueName="[Table1].[Hour].[All]" allUniqueName="[Table1].[Hour].[All]" dimensionUniqueName="[Table1]" displayFolder="" count="0" memberValueDatatype="20" unbalanced="0"/>
    <cacheHierarchy uniqueName="[Table1].[Day of Week]" caption="Day of Week" attribute="1" defaultMemberUniqueName="[Table1].[Day of Week].[All]" allUniqueName="[Table1].[Day of Week].[All]" dimensionUniqueName="[Table1]" displayFolder="" count="0" memberValueDatatype="20" unbalanced="0"/>
    <cacheHierarchy uniqueName="[Table1].[Month]" caption="Month" attribute="1" defaultMemberUniqueName="[Table1].[Month].[All]" allUniqueName="[Table1].[Month].[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ransaction_id]" caption="Sum of transaction_id" measure="1" displayFolder="" measureGroup="Table1" count="0" hidden="1">
      <extLst>
        <ext xmlns:x15="http://schemas.microsoft.com/office/spreadsheetml/2010/11/main" uri="{B97F6D7D-B522-45F9-BDA1-12C45D357490}">
          <x15:cacheHierarchy aggregatedColumn="0"/>
        </ext>
      </extLst>
    </cacheHierarchy>
    <cacheHierarchy uniqueName="[Measures].[Sum of Total_bill]" caption="Sum of Total_bill" measure="1" displayFolder="" measureGroup="Table1" count="0" oneField="1" hidden="1">
      <fieldsUsage count="1">
        <fieldUsage x="1"/>
      </fieldsUsage>
      <extLst>
        <ext xmlns:x15="http://schemas.microsoft.com/office/spreadsheetml/2010/11/main" uri="{B97F6D7D-B522-45F9-BDA1-12C45D357490}">
          <x15:cacheHierarchy aggregatedColumn="12"/>
        </ext>
      </extLst>
    </cacheHierarchy>
    <cacheHierarchy uniqueName="[Measures].[Average of Total_bill]" caption="Average of Total_bill" measure="1" displayFolder="" measureGroup="Table1" count="0" hidden="1">
      <extLst>
        <ext xmlns:x15="http://schemas.microsoft.com/office/spreadsheetml/2010/11/main" uri="{B97F6D7D-B522-45F9-BDA1-12C45D357490}">
          <x15:cacheHierarchy aggregatedColumn="12"/>
        </ext>
      </extLst>
    </cacheHierarchy>
    <cacheHierarchy uniqueName="[Measures].[Count of transaction_id]" caption="Count of transaction_id" measure="1" displayFolder="" measureGroup="Table1" count="0" hidden="1">
      <extLst>
        <ext xmlns:x15="http://schemas.microsoft.com/office/spreadsheetml/2010/11/main" uri="{B97F6D7D-B522-45F9-BDA1-12C45D357490}">
          <x15:cacheHierarchy aggregatedColumn="0"/>
        </ext>
      </extLst>
    </cacheHierarchy>
    <cacheHierarchy uniqueName="[Measures].[Sum of transaction_qty]" caption="Sum of transaction_qty" measure="1" displayFolder="" measureGroup="Table1" count="0" hidden="1">
      <extLst>
        <ext xmlns:x15="http://schemas.microsoft.com/office/spreadsheetml/2010/11/main" uri="{B97F6D7D-B522-45F9-BDA1-12C45D357490}">
          <x15:cacheHierarchy aggregatedColumn="6"/>
        </ext>
      </extLst>
    </cacheHierarchy>
    <cacheHierarchy uniqueName="[Measures].[Average of transaction_qty]" caption="Average of transaction_qty" measure="1" displayFolder="" measureGroup="Table1"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nav Gurav" refreshedDate="46188.09081076389" backgroundQuery="1" createdVersion="3" refreshedVersion="8" minRefreshableVersion="3" recordCount="0" supportSubquery="1" supportAdvancedDrill="1" xr:uid="{DD845545-200B-4958-8654-3E650FC913B2}">
  <cacheSource type="external" connectionId="1">
    <extLst>
      <ext xmlns:x14="http://schemas.microsoft.com/office/spreadsheetml/2009/9/main" uri="{F057638F-6D5F-4e77-A914-E7F072B9BCA8}">
        <x14:sourceConnection name="ThisWorkbookDataModel"/>
      </ext>
    </extLst>
  </cacheSource>
  <cacheFields count="0"/>
  <cacheHierarchies count="26">
    <cacheHierarchy uniqueName="[Table1].[transaction_id]" caption="transaction_id" attribute="1" defaultMemberUniqueName="[Table1].[transaction_id].[All]" allUniqueName="[Table1].[transaction_id].[All]" dimensionUniqueName="[Table1]" displayFolder="" count="0" memberValueDatatype="20" unbalanced="0"/>
    <cacheHierarchy uniqueName="[Table1].[transaction_date]" caption="transaction_date" attribute="1" time="1" defaultMemberUniqueName="[Table1].[transaction_date].[All]" allUniqueName="[Table1].[transaction_date].[All]" dimensionUniqueName="[Table1]" displayFolder="" count="0" memberValueDatatype="7" unbalanced="0"/>
    <cacheHierarchy uniqueName="[Table1].[transaction_time]" caption="transaction_time" attribute="1" defaultMemberUniqueName="[Table1].[transaction_time].[All]" allUniqueName="[Table1].[transaction_time].[All]" dimensionUniqueName="[Table1]" displayFolder="" count="0" memberValueDatatype="130" unbalanced="0"/>
    <cacheHierarchy uniqueName="[Table1].[store_id]" caption="store_id" attribute="1" defaultMemberUniqueName="[Table1].[store_id].[All]" allUniqueName="[Table1].[store_id].[All]" dimensionUniqueName="[Table1]" displayFolder="" count="0" memberValueDatatype="130" unbalanced="0"/>
    <cacheHierarchy uniqueName="[Table1].[store_location]" caption="store_location" attribute="1" defaultMemberUniqueName="[Table1].[store_location].[All]" allUniqueName="[Table1].[store_location].[All]" dimensionUniqueName="[Table1]" displayFolder="" count="2" memberValueDatatype="130" unbalanced="0"/>
    <cacheHierarchy uniqueName="[Table1].[product_id]" caption="product_id" attribute="1" defaultMemberUniqueName="[Table1].[product_id].[All]" allUniqueName="[Table1].[product_id].[All]" dimensionUniqueName="[Table1]" displayFolder="" count="0" memberValueDatatype="130" unbalanced="0"/>
    <cacheHierarchy uniqueName="[Table1].[transaction_qty]" caption="transaction_qty" attribute="1" defaultMemberUniqueName="[Table1].[transaction_qty].[All]" allUniqueName="[Table1].[transaction_qty].[All]" dimensionUniqueName="[Table1]" displayFolder="" count="0" memberValueDatatype="20" unbalanced="0"/>
    <cacheHierarchy uniqueName="[Table1].[unit_price]" caption="unit_price" attribute="1" defaultMemberUniqueName="[Table1].[unit_price].[All]" allUniqueName="[Table1].[unit_price].[All]" dimensionUniqueName="[Table1]" displayFolder="" count="0" memberValueDatatype="5" unbalanced="0"/>
    <cacheHierarchy uniqueName="[Table1].[product_category]" caption="product_category" attribute="1" defaultMemberUniqueName="[Table1].[product_category].[All]" allUniqueName="[Table1].[product_category].[All]" dimensionUniqueName="[Table1]" displayFolder="" count="0" memberValueDatatype="130" unbalanced="0"/>
    <cacheHierarchy uniqueName="[Table1].[product_type]" caption="product_type" attribute="1" defaultMemberUniqueName="[Table1].[product_type].[All]" allUniqueName="[Table1].[product_type].[All]" dimensionUniqueName="[Table1]" displayFolder="" count="0" memberValueDatatype="130" unbalanced="0"/>
    <cacheHierarchy uniqueName="[Table1].[product_detail]" caption="product_detail" attribute="1" defaultMemberUniqueName="[Table1].[product_detail].[All]" allUniqueName="[Table1].[product_detail].[All]" dimensionUniqueName="[Table1]" displayFolder="" count="0" memberValueDatatype="130" unbalanced="0"/>
    <cacheHierarchy uniqueName="[Table1].[Smallize]" caption="Smallize" attribute="1" defaultMemberUniqueName="[Table1].[Smallize].[All]" allUniqueName="[Table1].[Smallize].[All]" dimensionUniqueName="[Table1]" displayFolder="" count="0" memberValueDatatype="130" unbalanced="0"/>
    <cacheHierarchy uniqueName="[Table1].[Total_bill]" caption="Total_bill" attribute="1" defaultMemberUniqueName="[Table1].[Total_bill].[All]" allUniqueName="[Table1].[Total_bill].[All]" dimensionUniqueName="[Table1]" displayFolder="" count="0" memberValueDatatype="5" unbalanced="0"/>
    <cacheHierarchy uniqueName="[Table1].[Month Name]" caption="Month Name" attribute="1" defaultMemberUniqueName="[Table1].[Month Name].[All]" allUniqueName="[Table1].[Month Name].[All]" dimensionUniqueName="[Table1]" displayFolder="" count="2" memberValueDatatype="130" unbalanced="0"/>
    <cacheHierarchy uniqueName="[Table1].[Day Name]" caption="Day Name" attribute="1" defaultMemberUniqueName="[Table1].[Day Name].[All]" allUniqueName="[Table1].[Day Name].[All]" dimensionUniqueName="[Table1]" displayFolder="" count="2" memberValueDatatype="130" unbalanced="0"/>
    <cacheHierarchy uniqueName="[Table1].[Hour]" caption="Hour" attribute="1" defaultMemberUniqueName="[Table1].[Hour].[All]" allUniqueName="[Table1].[Hour].[All]" dimensionUniqueName="[Table1]" displayFolder="" count="0" memberValueDatatype="20" unbalanced="0"/>
    <cacheHierarchy uniqueName="[Table1].[Day of Week]" caption="Day of Week" attribute="1" defaultMemberUniqueName="[Table1].[Day of Week].[All]" allUniqueName="[Table1].[Day of Week].[All]" dimensionUniqueName="[Table1]" displayFolder="" count="0" memberValueDatatype="20" unbalanced="0"/>
    <cacheHierarchy uniqueName="[Table1].[Month]" caption="Month" attribute="1" defaultMemberUniqueName="[Table1].[Month].[All]" allUniqueName="[Table1].[Month].[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ransaction_id]" caption="Sum of transaction_id" measure="1" displayFolder="" measureGroup="Table1" count="0" hidden="1">
      <extLst>
        <ext xmlns:x15="http://schemas.microsoft.com/office/spreadsheetml/2010/11/main" uri="{B97F6D7D-B522-45F9-BDA1-12C45D357490}">
          <x15:cacheHierarchy aggregatedColumn="0"/>
        </ext>
      </extLst>
    </cacheHierarchy>
    <cacheHierarchy uniqueName="[Measures].[Sum of Total_bill]" caption="Sum of Total_bill" measure="1" displayFolder="" measureGroup="Table1" count="0" hidden="1">
      <extLst>
        <ext xmlns:x15="http://schemas.microsoft.com/office/spreadsheetml/2010/11/main" uri="{B97F6D7D-B522-45F9-BDA1-12C45D357490}">
          <x15:cacheHierarchy aggregatedColumn="12"/>
        </ext>
      </extLst>
    </cacheHierarchy>
    <cacheHierarchy uniqueName="[Measures].[Average of Total_bill]" caption="Average of Total_bill" measure="1" displayFolder="" measureGroup="Table1" count="0" hidden="1">
      <extLst>
        <ext xmlns:x15="http://schemas.microsoft.com/office/spreadsheetml/2010/11/main" uri="{B97F6D7D-B522-45F9-BDA1-12C45D357490}">
          <x15:cacheHierarchy aggregatedColumn="12"/>
        </ext>
      </extLst>
    </cacheHierarchy>
    <cacheHierarchy uniqueName="[Measures].[Count of transaction_id]" caption="Count of transaction_id" measure="1" displayFolder="" measureGroup="Table1" count="0" hidden="1">
      <extLst>
        <ext xmlns:x15="http://schemas.microsoft.com/office/spreadsheetml/2010/11/main" uri="{B97F6D7D-B522-45F9-BDA1-12C45D357490}">
          <x15:cacheHierarchy aggregatedColumn="0"/>
        </ext>
      </extLst>
    </cacheHierarchy>
    <cacheHierarchy uniqueName="[Measures].[Sum of transaction_qty]" caption="Sum of transaction_qty" measure="1" displayFolder="" measureGroup="Table1" count="0" hidden="1">
      <extLst>
        <ext xmlns:x15="http://schemas.microsoft.com/office/spreadsheetml/2010/11/main" uri="{B97F6D7D-B522-45F9-BDA1-12C45D357490}">
          <x15:cacheHierarchy aggregatedColumn="6"/>
        </ext>
      </extLst>
    </cacheHierarchy>
    <cacheHierarchy uniqueName="[Measures].[Average of transaction_qty]" caption="Average of transaction_qty" measure="1" displayFolder="" measureGroup="Table1" count="0" hidden="1">
      <extLst>
        <ext xmlns:x15="http://schemas.microsoft.com/office/spreadsheetml/2010/11/main" uri="{B97F6D7D-B522-45F9-BDA1-12C45D357490}">
          <x15:cacheHierarchy aggregatedColumn="6"/>
        </ext>
      </extLst>
    </cacheHierarchy>
  </cacheHierarchies>
  <kpis count="0"/>
  <extLst>
    <ext xmlns:x14="http://schemas.microsoft.com/office/spreadsheetml/2009/9/main" uri="{725AE2AE-9491-48be-B2B4-4EB974FC3084}">
      <x14:pivotCacheDefinition slicerData="1" pivotCacheId="145536366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1CE31B4-EAB9-4A21-8C6D-017C3B05FDEF}" name="PivotTable1" cacheId="54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D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name="Total Footfall" fld="2" subtotal="count" baseField="0" baseItem="1" numFmtId="3"/>
    <dataField name="Total_Sales" fld="0" baseField="0" baseItem="1" numFmtId="164"/>
    <dataField name="Avg Bill/Person" fld="1" subtotal="average" baseField="0" baseItem="1" numFmtId="164"/>
    <dataField name="Avg Order/Person" fld="3" subtotal="average" baseField="0" baseItem="1" numFmtId="2"/>
  </dataFields>
  <pivotHierarchies count="26">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caption="Total_Sales"/>
    <pivotHierarchy dragToData="1" caption="Avg Bill/Person"/>
    <pivotHierarchy dragToData="1" caption="Total Footfall"/>
    <pivotHierarchy dragToData="1"/>
    <pivotHierarchy dragToData="1" caption="Avg Order/Person"/>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offee_Shop.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B8141D4-24D0-49F8-B535-9D6C06B7F728}" name="PivotTable5" cacheId="55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1">
  <location ref="G3:H8"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Count of transaction_id" fld="0" subtotal="count" baseField="0" baseItem="0"/>
  </dataFields>
  <chartFormats count="10">
    <chartFormat chart="0"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 count="1" selected="0">
            <x v="0"/>
          </reference>
        </references>
      </pivotArea>
    </chartFormat>
    <chartFormat chart="3" format="8">
      <pivotArea type="data" outline="0" fieldPosition="0">
        <references count="2">
          <reference field="4294967294" count="1" selected="0">
            <x v="0"/>
          </reference>
          <reference field="1" count="1" selected="0">
            <x v="1"/>
          </reference>
        </references>
      </pivotArea>
    </chartFormat>
    <chartFormat chart="3" format="9">
      <pivotArea type="data" outline="0" fieldPosition="0">
        <references count="2">
          <reference field="4294967294" count="1" selected="0">
            <x v="0"/>
          </reference>
          <reference field="1" count="1" selected="0">
            <x v="2"/>
          </reference>
        </references>
      </pivotArea>
    </chartFormat>
    <chartFormat chart="3" format="10">
      <pivotArea type="data" outline="0" fieldPosition="0">
        <references count="2">
          <reference field="4294967294" count="1" selected="0">
            <x v="0"/>
          </reference>
          <reference field="1" count="1" selected="0">
            <x v="3"/>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s>
  <pivotHierarchies count="26">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Count of transaction_id"/>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offee_Shop.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10860F1-43BC-419A-B3D1-05BB0DFF78EF}" name="PivotTable2" cacheId="54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1">
  <location ref="A9:B25" firstHeaderRow="1" firstDataRow="1" firstDataCol="1"/>
  <pivotFields count="3">
    <pivotField axis="axisRow" allDrilled="1" subtotalTop="0" showAll="0" sortType="ascending" defaultSubtotal="0" defaultAttributeDrillState="1">
      <items count="15">
        <item x="0"/>
        <item x="1"/>
        <item x="2"/>
        <item x="3"/>
        <item x="4"/>
        <item x="5"/>
        <item x="6"/>
        <item x="7"/>
        <item x="8"/>
        <item x="9"/>
        <item x="10"/>
        <item x="11"/>
        <item x="12"/>
        <item x="13"/>
        <item x="14"/>
      </items>
    </pivotField>
    <pivotField dataField="1" subtotalTop="0" showAll="0" defaultSubtotal="0"/>
    <pivotField allDrilled="1" subtotalTop="0" showAll="0" dataSourceSort="1" defaultSubtotal="0" defaultAttributeDrillState="1"/>
  </pivotFields>
  <rowFields count="1">
    <field x="0"/>
  </rowFields>
  <rowItems count="16">
    <i>
      <x/>
    </i>
    <i>
      <x v="1"/>
    </i>
    <i>
      <x v="2"/>
    </i>
    <i>
      <x v="3"/>
    </i>
    <i>
      <x v="4"/>
    </i>
    <i>
      <x v="5"/>
    </i>
    <i>
      <x v="6"/>
    </i>
    <i>
      <x v="7"/>
    </i>
    <i>
      <x v="8"/>
    </i>
    <i>
      <x v="9"/>
    </i>
    <i>
      <x v="10"/>
    </i>
    <i>
      <x v="11"/>
    </i>
    <i>
      <x v="12"/>
    </i>
    <i>
      <x v="13"/>
    </i>
    <i>
      <x v="14"/>
    </i>
    <i t="grand">
      <x/>
    </i>
  </rowItems>
  <colItems count="1">
    <i/>
  </colItems>
  <dataFields count="1">
    <dataField name="Sum of transaction_qty" fld="1"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offee_Shop.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7658217-BB6E-487F-A25B-AFFDC32B4AB0}" name="PivotTable6" cacheId="55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location ref="G22:H26"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Sum of Total_bill" fld="1" baseField="0" baseItem="0"/>
  </dataFields>
  <chartFormats count="2">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Count of transaction_id"/>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offee_Shop.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B74DE51-3AB8-4A09-9DC7-14E738AA1CAA}" name="PivotTable8" cacheId="54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location ref="N22:O30"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um of Total_bill" fld="1" baseField="0" baseItem="0"/>
  </dataFields>
  <chartFormats count="2">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Count of transaction_id"/>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offee_Shop.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7AC436D-5F36-466D-B8CA-3980EC7ED006}" name="PivotTable3" cacheId="55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4">
  <location ref="A29:B38" firstHeaderRow="1" firstDataRow="1" firstDataCol="1"/>
  <pivotFields count="3">
    <pivotField axis="axisRow" allDrilled="1" outline="0"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0"/>
  </rowFields>
  <rowItems count="9">
    <i>
      <x/>
    </i>
    <i>
      <x v="1"/>
    </i>
    <i>
      <x v="2"/>
    </i>
    <i>
      <x v="3"/>
    </i>
    <i>
      <x v="4"/>
    </i>
    <i>
      <x v="5"/>
    </i>
    <i>
      <x v="6"/>
    </i>
    <i>
      <x v="7"/>
    </i>
    <i t="grand">
      <x/>
    </i>
  </rowItems>
  <colItems count="1">
    <i/>
  </colItems>
  <dataFields count="1">
    <dataField name="Sum of Total_bill" fld="1" baseField="0" baseItem="0"/>
  </dataFields>
  <chartFormats count="18">
    <chartFormat chart="0" format="0" series="1">
      <pivotArea type="data" outline="0" fieldPosition="0">
        <references count="1">
          <reference field="4294967294" count="1" selected="0">
            <x v="0"/>
          </reference>
        </references>
      </pivotArea>
    </chartFormat>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0" count="1" selected="0">
            <x v="0"/>
          </reference>
        </references>
      </pivotArea>
    </chartFormat>
    <chartFormat chart="3" format="12">
      <pivotArea type="data" outline="0" fieldPosition="0">
        <references count="2">
          <reference field="4294967294" count="1" selected="0">
            <x v="0"/>
          </reference>
          <reference field="0" count="1" selected="0">
            <x v="1"/>
          </reference>
        </references>
      </pivotArea>
    </chartFormat>
    <chartFormat chart="3" format="13">
      <pivotArea type="data" outline="0" fieldPosition="0">
        <references count="2">
          <reference field="4294967294" count="1" selected="0">
            <x v="0"/>
          </reference>
          <reference field="0" count="1" selected="0">
            <x v="2"/>
          </reference>
        </references>
      </pivotArea>
    </chartFormat>
    <chartFormat chart="3" format="14">
      <pivotArea type="data" outline="0" fieldPosition="0">
        <references count="2">
          <reference field="4294967294" count="1" selected="0">
            <x v="0"/>
          </reference>
          <reference field="0" count="1" selected="0">
            <x v="3"/>
          </reference>
        </references>
      </pivotArea>
    </chartFormat>
    <chartFormat chart="3" format="15">
      <pivotArea type="data" outline="0" fieldPosition="0">
        <references count="2">
          <reference field="4294967294" count="1" selected="0">
            <x v="0"/>
          </reference>
          <reference field="0" count="1" selected="0">
            <x v="4"/>
          </reference>
        </references>
      </pivotArea>
    </chartFormat>
    <chartFormat chart="3" format="16">
      <pivotArea type="data" outline="0" fieldPosition="0">
        <references count="2">
          <reference field="4294967294" count="1" selected="0">
            <x v="0"/>
          </reference>
          <reference field="0" count="1" selected="0">
            <x v="5"/>
          </reference>
        </references>
      </pivotArea>
    </chartFormat>
    <chartFormat chart="3" format="17">
      <pivotArea type="data" outline="0" fieldPosition="0">
        <references count="2">
          <reference field="4294967294" count="1" selected="0">
            <x v="0"/>
          </reference>
          <reference field="0" count="1" selected="0">
            <x v="6"/>
          </reference>
        </references>
      </pivotArea>
    </chartFormat>
    <chartFormat chart="3" format="18">
      <pivotArea type="data" outline="0" fieldPosition="0">
        <references count="2">
          <reference field="4294967294" count="1" selected="0">
            <x v="0"/>
          </reference>
          <reference field="0" count="1" selected="0">
            <x v="7"/>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 chart="0" format="5">
      <pivotArea type="data" outline="0" fieldPosition="0">
        <references count="2">
          <reference field="4294967294" count="1" selected="0">
            <x v="0"/>
          </reference>
          <reference field="0" count="1" selected="0">
            <x v="4"/>
          </reference>
        </references>
      </pivotArea>
    </chartFormat>
    <chartFormat chart="0" format="6">
      <pivotArea type="data" outline="0" fieldPosition="0">
        <references count="2">
          <reference field="4294967294" count="1" selected="0">
            <x v="0"/>
          </reference>
          <reference field="0" count="1" selected="0">
            <x v="5"/>
          </reference>
        </references>
      </pivotArea>
    </chartFormat>
    <chartFormat chart="0" format="7">
      <pivotArea type="data" outline="0" fieldPosition="0">
        <references count="2">
          <reference field="4294967294" count="1" selected="0">
            <x v="0"/>
          </reference>
          <reference field="0" count="1" selected="0">
            <x v="6"/>
          </reference>
        </references>
      </pivotArea>
    </chartFormat>
    <chartFormat chart="0" format="8">
      <pivotArea type="data" outline="0" fieldPosition="0">
        <references count="2">
          <reference field="4294967294" count="1" selected="0">
            <x v="0"/>
          </reference>
          <reference field="0" count="1" selected="0">
            <x v="7"/>
          </reference>
        </references>
      </pivotArea>
    </chartFormat>
  </chartFormats>
  <pivotHierarchies count="26">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offee_Shop.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4017B20-7BC2-46E7-A52E-0EFF0B8ABFB0}" name="PivotTable7" cacheId="55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K3:L9" firstHeaderRow="1" firstDataRow="1" firstDataCol="1"/>
  <pivotFields count="3">
    <pivotField axis="axisRow"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Total_bill" fld="1"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21">
      <autoFilter ref="A1">
        <filterColumn colId="0">
          <top10 val="5" filterVal="5"/>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offee_Shop.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_Name" xr10:uid="{E31A844A-C27F-4A4C-8690-0EA3ED950543}" sourceName="[Table1].[Day Name]">
  <pivotTables>
    <pivotTable tabId="2" name="PivotTable8"/>
    <pivotTable tabId="2" name="PivotTable1"/>
    <pivotTable tabId="2" name="PivotTable2"/>
    <pivotTable tabId="2" name="PivotTable3"/>
    <pivotTable tabId="2" name="PivotTable5"/>
    <pivotTable tabId="2" name="PivotTable6"/>
    <pivotTable tabId="2" name="PivotTable7"/>
  </pivotTables>
  <data>
    <olap pivotCacheId="1455363665">
      <levels count="2">
        <level uniqueName="[Table1].[Day Name].[(All)]" sourceCaption="(All)" count="0"/>
        <level uniqueName="[Table1].[Day Name].[Day Name]" sourceCaption="Day Name" count="7">
          <ranges>
            <range startItem="0">
              <i n="[Table1].[Day Name].&amp;[Friday]" c="Friday"/>
              <i n="[Table1].[Day Name].&amp;[Monday]" c="Monday"/>
              <i n="[Table1].[Day Name].&amp;[Saturday]" c="Saturday"/>
              <i n="[Table1].[Day Name].&amp;[Sunday]" c="Sunday"/>
              <i n="[Table1].[Day Name].&amp;[Thursday]" c="Thursday"/>
              <i n="[Table1].[Day Name].&amp;[Tuesday]" c="Tuesday"/>
              <i n="[Table1].[Day Name].&amp;[Wednesday]" c="Wednesday"/>
            </range>
          </ranges>
        </level>
      </levels>
      <selections count="1">
        <selection n="[Table1].[Day 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EDCDB152-9123-4E0B-A0D1-A5F30BB5E8F9}" sourceName="[Table1].[Month Name]">
  <pivotTables>
    <pivotTable tabId="2" name="PivotTable8"/>
    <pivotTable tabId="2" name="PivotTable1"/>
    <pivotTable tabId="2" name="PivotTable2"/>
    <pivotTable tabId="2" name="PivotTable3"/>
    <pivotTable tabId="2" name="PivotTable5"/>
    <pivotTable tabId="2" name="PivotTable6"/>
    <pivotTable tabId="2" name="PivotTable7"/>
  </pivotTables>
  <data>
    <olap pivotCacheId="1455363665">
      <levels count="2">
        <level uniqueName="[Table1].[Month Name].[(All)]" sourceCaption="(All)" count="0"/>
        <level uniqueName="[Table1].[Month Name].[Month Name]" sourceCaption="Month Name" count="12">
          <ranges>
            <range startItem="0">
              <i n="[Table1].[Month Name].&amp;[April]" c="April"/>
              <i n="[Table1].[Month Name].&amp;[August]" c="August"/>
              <i n="[Table1].[Month Name].&amp;[December]" c="December"/>
              <i n="[Table1].[Month Name].&amp;[February]" c="February"/>
              <i n="[Table1].[Month Name].&amp;[January]" c="January"/>
              <i n="[Table1].[Month Name].&amp;[July]" c="July"/>
              <i n="[Table1].[Month Name].&amp;[June]" c="June"/>
              <i n="[Table1].[Month Name].&amp;[March]" c="March"/>
              <i n="[Table1].[Month Name].&amp;[May]" c="May"/>
              <i n="[Table1].[Month Name].&amp;[November]" c="November"/>
              <i n="[Table1].[Month Name].&amp;[October]" c="October"/>
              <i n="[Table1].[Month Name].&amp;[September]" c="September"/>
            </range>
          </ranges>
        </level>
      </levels>
      <selections count="1">
        <selection n="[Table1].[Month Nam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location" xr10:uid="{34CF79F0-3817-4FED-A665-42912565CE4C}" sourceName="[Table1].[store_location]">
  <pivotTables>
    <pivotTable tabId="2" name="PivotTable8"/>
    <pivotTable tabId="2" name="PivotTable1"/>
    <pivotTable tabId="2" name="PivotTable2"/>
    <pivotTable tabId="2" name="PivotTable3"/>
    <pivotTable tabId="2" name="PivotTable5"/>
    <pivotTable tabId="2" name="PivotTable6"/>
    <pivotTable tabId="2" name="PivotTable7"/>
  </pivotTables>
  <data>
    <olap pivotCacheId="1455363665">
      <levels count="2">
        <level uniqueName="[Table1].[store_location].[(All)]" sourceCaption="(All)" count="0"/>
        <level uniqueName="[Table1].[store_location].[store_location]" sourceCaption="store_location" count="3">
          <ranges>
            <range startItem="0">
              <i n="[Table1].[store_location].&amp;[Astoria]" c="Astoria"/>
              <i n="[Table1].[store_location].&amp;[Hell's Kitchen]" c="Hell's Kitchen"/>
              <i n="[Table1].[store_location].&amp;[Lower Manhattan]" c="Lower Manhattan"/>
            </range>
          </ranges>
        </level>
      </levels>
      <selections count="1">
        <selection n="[Table1].[store_locat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y Name 1" xr10:uid="{028BE4DE-40C1-4DFC-8636-AB3764F4338A}" cache="Slicer_Day_Name" caption="Day Name" level="1" style="SlicerStyleLight6" rowHeight="234950"/>
  <slicer name="Month Name 1" xr10:uid="{1C71F0BD-EBC8-4112-8902-B936BA617059}" cache="Slicer_Month_Name" caption="Month Name" level="1" style="SlicerStyleLight6" rowHeight="234950"/>
  <slicer name="store_location 1" xr10:uid="{82C03D19-3F3C-4819-A30A-1CA2688E7A34}" cache="Slicer_store_location" caption="store_location" level="1" style="SlicerStyleLight6"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y Name" xr10:uid="{18C6BF95-F154-4EE7-ABFE-950E51F8FCA1}" cache="Slicer_Day_Name" caption="Day Name" level="1" rowHeight="234950"/>
  <slicer name="Month Name" xr10:uid="{C0DFCA26-4308-45B5-92B7-CDA4E7A52647}" cache="Slicer_Month_Name" caption="Month Name" level="1" rowHeight="234950"/>
  <slicer name="store_location" xr10:uid="{085F45BB-A055-4AB4-9E9F-EDF9CF95F00C}" cache="Slicer_store_location" caption="store_location" level="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9111E76-30A4-4857-B57A-1813267F4875}" name="Table1" displayName="Table1" ref="A1:S2001" totalsRowShown="0" headerRowDxfId="9">
  <autoFilter ref="A1:S2001" xr:uid="{79111E76-30A4-4857-B57A-1813267F4875}"/>
  <tableColumns count="19">
    <tableColumn id="1" xr3:uid="{CFC1ACC3-2C88-45AC-88AD-92D4B0AFFA63}" name="transaction_id" dataDxfId="8"/>
    <tableColumn id="2" xr3:uid="{90F66745-2BC0-4F11-860A-49BE6390FAA2}" name="transaction_date" dataDxfId="7"/>
    <tableColumn id="3" xr3:uid="{9CF4DC14-6F61-43C8-B70C-B46E4FF4ED57}" name="transaction_time"/>
    <tableColumn id="4" xr3:uid="{FB509DA7-4B3C-4B0D-8F5B-454D63216C50}" name="store_id"/>
    <tableColumn id="5" xr3:uid="{F2364B87-BE5B-4B7E-8AD9-F0B6B25EE08D}" name="store_location"/>
    <tableColumn id="6" xr3:uid="{909F12B7-FFBA-4340-8EB0-62658F08E8E1}" name="product_id"/>
    <tableColumn id="7" xr3:uid="{1662687D-0578-4EDB-A840-799FFBA4D715}" name="transaction_qty"/>
    <tableColumn id="8" xr3:uid="{F8102907-08AE-4BA5-B045-0A770267E734}" name="unit_price" dataDxfId="6"/>
    <tableColumn id="9" xr3:uid="{06230F06-C3CE-4711-9221-C8601B34525D}" name="product_category"/>
    <tableColumn id="10" xr3:uid="{E334703C-3E14-4535-815A-074E965E6CB4}" name="product_type"/>
    <tableColumn id="11" xr3:uid="{CE169329-8EEF-4764-A240-9D16992F443E}" name="product_detail"/>
    <tableColumn id="12" xr3:uid="{8A87D20B-B2E3-4ABF-B550-61155BC29498}" name="Smallize"/>
    <tableColumn id="13" xr3:uid="{4A4DE339-BF57-46B8-8468-604168F727A1}" name="Total_bill" dataDxfId="5">
      <calculatedColumnFormula>G2*H2</calculatedColumnFormula>
    </tableColumn>
    <tableColumn id="14" xr3:uid="{A806A1E5-42D4-4B27-8556-19ED1BD205DE}" name="Month Name">
      <calculatedColumnFormula>TEXT(B2,"mmmm")</calculatedColumnFormula>
    </tableColumn>
    <tableColumn id="15" xr3:uid="{5A69A8B9-77B5-4B98-88A4-BA1DEDBEBD36}" name="Day Name">
      <calculatedColumnFormula>TEXT(B2,"dddd")</calculatedColumnFormula>
    </tableColumn>
    <tableColumn id="16" xr3:uid="{25219ACE-BA60-40D7-936D-9165D66974D5}" name="Hour" dataDxfId="4">
      <calculatedColumnFormula>HOUR(TIMEVALUE(C2))</calculatedColumnFormula>
    </tableColumn>
    <tableColumn id="17" xr3:uid="{61008187-E8CA-466E-A534-9A67845D2A7F}" name="Day of Week" dataDxfId="3">
      <calculatedColumnFormula>WEEKDAY(B2,2)</calculatedColumnFormula>
    </tableColumn>
    <tableColumn id="18" xr3:uid="{2E0AD4A1-51C9-492A-A594-20EA75192DC8}" name="Month" dataDxfId="2">
      <calculatedColumnFormula>MONTH(B2)</calculatedColumnFormula>
    </tableColumn>
    <tableColumn id="19" xr3:uid="{B29C49AF-F488-4C12-9B7E-32DC4936F7D0}" name="Column1" dataDxfId="0">
      <calculatedColumnFormula>SUMIF(Table1[product_category],"Bakery",Table1[Total_bill])</calculatedColumnFormula>
    </tableColumn>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8C680A-54CB-4012-8E97-C0EE94E03B8B}">
  <dimension ref="A1"/>
  <sheetViews>
    <sheetView showGridLines="0" showRowColHeaders="0" tabSelected="1" topLeftCell="B1" zoomScale="85" zoomScaleNormal="85" workbookViewId="0">
      <selection activeCell="L18" sqref="L18"/>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D5CEC9-5C3B-4F23-A493-E68A738F03DA}">
  <dimension ref="A2:P38"/>
  <sheetViews>
    <sheetView topLeftCell="B1" zoomScaleNormal="100" workbookViewId="0">
      <selection activeCell="A3" sqref="A3"/>
    </sheetView>
  </sheetViews>
  <sheetFormatPr defaultRowHeight="14.4" x14ac:dyDescent="0.3"/>
  <cols>
    <col min="1" max="1" width="17.6640625" bestFit="1" customWidth="1"/>
    <col min="2" max="2" width="15.21875" bestFit="1" customWidth="1"/>
    <col min="3" max="3" width="13.88671875" bestFit="1" customWidth="1"/>
    <col min="4" max="4" width="16.21875" bestFit="1" customWidth="1"/>
    <col min="7" max="7" width="15.6640625" bestFit="1" customWidth="1"/>
    <col min="8" max="8" width="15.21875" bestFit="1" customWidth="1"/>
    <col min="9" max="9" width="21" bestFit="1" customWidth="1"/>
    <col min="10" max="10" width="20.77734375" bestFit="1" customWidth="1"/>
    <col min="11" max="11" width="17.6640625" bestFit="1" customWidth="1"/>
    <col min="12" max="12" width="15.21875" bestFit="1" customWidth="1"/>
    <col min="14" max="14" width="12.5546875" bestFit="1" customWidth="1"/>
    <col min="15" max="15" width="15.21875" bestFit="1" customWidth="1"/>
    <col min="16" max="16" width="21" bestFit="1" customWidth="1"/>
  </cols>
  <sheetData>
    <row r="2" spans="1:12" ht="16.2" x14ac:dyDescent="0.3">
      <c r="B2" s="11" t="s">
        <v>2133</v>
      </c>
      <c r="C2" s="11"/>
      <c r="G2" s="11" t="s">
        <v>2138</v>
      </c>
      <c r="H2" s="11"/>
      <c r="K2" s="11" t="s">
        <v>2140</v>
      </c>
      <c r="L2" s="12"/>
    </row>
    <row r="3" spans="1:12" x14ac:dyDescent="0.3">
      <c r="A3" t="s">
        <v>2130</v>
      </c>
      <c r="B3" t="s">
        <v>2129</v>
      </c>
      <c r="C3" t="s">
        <v>2131</v>
      </c>
      <c r="D3" t="s">
        <v>2132</v>
      </c>
      <c r="G3" s="7" t="s">
        <v>2134</v>
      </c>
      <c r="H3" t="s">
        <v>2127</v>
      </c>
      <c r="K3" s="7" t="s">
        <v>2134</v>
      </c>
      <c r="L3" t="s">
        <v>2126</v>
      </c>
    </row>
    <row r="4" spans="1:12" x14ac:dyDescent="0.3">
      <c r="A4" s="9">
        <v>2000</v>
      </c>
      <c r="B4" s="5">
        <v>27748.25</v>
      </c>
      <c r="C4" s="5">
        <v>13.874124999999999</v>
      </c>
      <c r="D4" s="6">
        <v>2.5249999999999999</v>
      </c>
      <c r="G4" s="8" t="s">
        <v>2123</v>
      </c>
      <c r="H4" s="13">
        <v>395</v>
      </c>
      <c r="K4" s="8" t="s">
        <v>37</v>
      </c>
      <c r="L4" s="13">
        <v>1161</v>
      </c>
    </row>
    <row r="5" spans="1:12" x14ac:dyDescent="0.3">
      <c r="A5">
        <f>GETPIVOTDATA("[Measures].[Count of transaction_id]",$A$3)</f>
        <v>2000</v>
      </c>
      <c r="B5">
        <f>GETPIVOTDATA("[Measures].[Sum of Total_bill]",$B$3)</f>
        <v>27748.25</v>
      </c>
      <c r="C5">
        <f>GETPIVOTDATA("[Measures].[Average of Total_bill]",$A$3)</f>
        <v>13.874124999999999</v>
      </c>
      <c r="D5">
        <f>GETPIVOTDATA("[Measures].[Average of transaction_qty]",$A$3)</f>
        <v>2.5249999999999999</v>
      </c>
      <c r="G5" s="8" t="s">
        <v>2125</v>
      </c>
      <c r="H5" s="13">
        <v>927</v>
      </c>
      <c r="K5" s="8" t="s">
        <v>102</v>
      </c>
      <c r="L5" s="13">
        <v>5064</v>
      </c>
    </row>
    <row r="6" spans="1:12" x14ac:dyDescent="0.3">
      <c r="B6" s="5"/>
      <c r="G6" s="8" t="s">
        <v>2124</v>
      </c>
      <c r="H6" s="13">
        <v>379</v>
      </c>
      <c r="K6" s="8" t="s">
        <v>98</v>
      </c>
      <c r="L6" s="13">
        <v>5203</v>
      </c>
    </row>
    <row r="7" spans="1:12" x14ac:dyDescent="0.3">
      <c r="G7" s="8" t="s">
        <v>2122</v>
      </c>
      <c r="H7" s="13">
        <v>299</v>
      </c>
      <c r="K7" s="8" t="s">
        <v>72</v>
      </c>
      <c r="L7" s="13">
        <v>2071</v>
      </c>
    </row>
    <row r="8" spans="1:12" ht="16.2" x14ac:dyDescent="0.3">
      <c r="A8" s="11" t="s">
        <v>2136</v>
      </c>
      <c r="B8" s="11"/>
      <c r="G8" s="8" t="s">
        <v>2135</v>
      </c>
      <c r="H8" s="13">
        <v>2000</v>
      </c>
      <c r="K8" s="8" t="s">
        <v>28</v>
      </c>
      <c r="L8" s="13">
        <v>2489.5</v>
      </c>
    </row>
    <row r="9" spans="1:12" x14ac:dyDescent="0.3">
      <c r="A9" s="7" t="s">
        <v>2134</v>
      </c>
      <c r="B9" t="s">
        <v>2128</v>
      </c>
      <c r="K9" s="8" t="s">
        <v>2135</v>
      </c>
      <c r="L9" s="13">
        <v>15988.5</v>
      </c>
    </row>
    <row r="10" spans="1:12" x14ac:dyDescent="0.3">
      <c r="A10" s="8">
        <v>6</v>
      </c>
      <c r="B10" s="13">
        <v>294</v>
      </c>
    </row>
    <row r="11" spans="1:12" x14ac:dyDescent="0.3">
      <c r="A11" s="8">
        <v>7</v>
      </c>
      <c r="B11" s="13">
        <v>561</v>
      </c>
    </row>
    <row r="12" spans="1:12" x14ac:dyDescent="0.3">
      <c r="A12" s="8">
        <v>8</v>
      </c>
      <c r="B12" s="13">
        <v>511</v>
      </c>
    </row>
    <row r="13" spans="1:12" x14ac:dyDescent="0.3">
      <c r="A13" s="8">
        <v>9</v>
      </c>
      <c r="B13" s="13">
        <v>416</v>
      </c>
    </row>
    <row r="14" spans="1:12" x14ac:dyDescent="0.3">
      <c r="A14" s="8">
        <v>10</v>
      </c>
      <c r="B14" s="13">
        <v>407</v>
      </c>
    </row>
    <row r="15" spans="1:12" x14ac:dyDescent="0.3">
      <c r="A15" s="8">
        <v>11</v>
      </c>
      <c r="B15" s="13">
        <v>332</v>
      </c>
    </row>
    <row r="16" spans="1:12" x14ac:dyDescent="0.3">
      <c r="A16" s="8">
        <v>12</v>
      </c>
      <c r="B16" s="13">
        <v>348</v>
      </c>
    </row>
    <row r="17" spans="1:16" x14ac:dyDescent="0.3">
      <c r="A17" s="8">
        <v>13</v>
      </c>
      <c r="B17" s="13">
        <v>390</v>
      </c>
    </row>
    <row r="18" spans="1:16" x14ac:dyDescent="0.3">
      <c r="A18" s="8">
        <v>14</v>
      </c>
      <c r="B18" s="13">
        <v>370</v>
      </c>
    </row>
    <row r="19" spans="1:16" x14ac:dyDescent="0.3">
      <c r="A19" s="8">
        <v>15</v>
      </c>
      <c r="B19" s="13">
        <v>343</v>
      </c>
    </row>
    <row r="20" spans="1:16" x14ac:dyDescent="0.3">
      <c r="A20" s="8">
        <v>16</v>
      </c>
      <c r="B20" s="13">
        <v>308</v>
      </c>
    </row>
    <row r="21" spans="1:16" ht="19.8" x14ac:dyDescent="0.4">
      <c r="A21" s="8">
        <v>17</v>
      </c>
      <c r="B21" s="13">
        <v>224</v>
      </c>
      <c r="G21" s="11" t="s">
        <v>2139</v>
      </c>
      <c r="H21" s="11"/>
      <c r="I21" s="11"/>
      <c r="N21" s="10" t="s">
        <v>2148</v>
      </c>
      <c r="O21" s="10"/>
      <c r="P21" s="10"/>
    </row>
    <row r="22" spans="1:16" x14ac:dyDescent="0.3">
      <c r="A22" s="8">
        <v>18</v>
      </c>
      <c r="B22" s="13">
        <v>185</v>
      </c>
      <c r="G22" s="7" t="s">
        <v>2134</v>
      </c>
      <c r="H22" t="s">
        <v>2126</v>
      </c>
      <c r="N22" s="7" t="s">
        <v>2134</v>
      </c>
      <c r="O22" t="s">
        <v>2126</v>
      </c>
    </row>
    <row r="23" spans="1:16" x14ac:dyDescent="0.3">
      <c r="A23" s="8">
        <v>19</v>
      </c>
      <c r="B23" s="13">
        <v>119</v>
      </c>
      <c r="G23" s="8" t="s">
        <v>26</v>
      </c>
      <c r="H23" s="13">
        <v>8902.5</v>
      </c>
      <c r="N23" s="8" t="s">
        <v>2141</v>
      </c>
      <c r="O23" s="13">
        <v>3954.5</v>
      </c>
    </row>
    <row r="24" spans="1:16" x14ac:dyDescent="0.3">
      <c r="A24" s="8">
        <v>20</v>
      </c>
      <c r="B24" s="13">
        <v>242</v>
      </c>
      <c r="G24" s="8" t="s">
        <v>41</v>
      </c>
      <c r="H24" s="13">
        <v>9250.25</v>
      </c>
      <c r="N24" s="8" t="s">
        <v>2142</v>
      </c>
      <c r="O24" s="13">
        <v>3924.25</v>
      </c>
    </row>
    <row r="25" spans="1:16" x14ac:dyDescent="0.3">
      <c r="A25" s="8" t="s">
        <v>2135</v>
      </c>
      <c r="B25" s="13">
        <v>5050</v>
      </c>
      <c r="G25" s="8" t="s">
        <v>19</v>
      </c>
      <c r="H25" s="13">
        <v>9595.5</v>
      </c>
      <c r="N25" s="8" t="s">
        <v>2143</v>
      </c>
      <c r="O25" s="13">
        <v>3824.5</v>
      </c>
    </row>
    <row r="26" spans="1:16" x14ac:dyDescent="0.3">
      <c r="G26" s="8" t="s">
        <v>2135</v>
      </c>
      <c r="H26" s="13">
        <v>27748.25</v>
      </c>
      <c r="N26" s="8" t="s">
        <v>2144</v>
      </c>
      <c r="O26" s="13">
        <v>3949</v>
      </c>
    </row>
    <row r="27" spans="1:16" x14ac:dyDescent="0.3">
      <c r="N27" s="8" t="s">
        <v>2145</v>
      </c>
      <c r="O27" s="13">
        <v>4053</v>
      </c>
    </row>
    <row r="28" spans="1:16" ht="16.2" x14ac:dyDescent="0.3">
      <c r="A28" s="11" t="s">
        <v>2137</v>
      </c>
      <c r="B28" s="11"/>
      <c r="N28" s="8" t="s">
        <v>2146</v>
      </c>
      <c r="O28" s="13">
        <v>3960.5</v>
      </c>
    </row>
    <row r="29" spans="1:16" x14ac:dyDescent="0.3">
      <c r="A29" s="7" t="s">
        <v>2134</v>
      </c>
      <c r="B29" t="s">
        <v>2126</v>
      </c>
      <c r="N29" s="8" t="s">
        <v>2147</v>
      </c>
      <c r="O29" s="13">
        <v>4082.5</v>
      </c>
    </row>
    <row r="30" spans="1:16" x14ac:dyDescent="0.3">
      <c r="A30" t="s">
        <v>21</v>
      </c>
      <c r="B30" s="13">
        <v>2951.25</v>
      </c>
      <c r="N30" s="8" t="s">
        <v>2135</v>
      </c>
      <c r="O30" s="13">
        <v>27748.25</v>
      </c>
    </row>
    <row r="31" spans="1:16" x14ac:dyDescent="0.3">
      <c r="A31" t="s">
        <v>101</v>
      </c>
      <c r="B31" s="13">
        <v>5064</v>
      </c>
    </row>
    <row r="32" spans="1:16" x14ac:dyDescent="0.3">
      <c r="A32" t="s">
        <v>32</v>
      </c>
      <c r="B32" s="13">
        <v>5467.75</v>
      </c>
    </row>
    <row r="33" spans="1:2" x14ac:dyDescent="0.3">
      <c r="A33" t="s">
        <v>98</v>
      </c>
      <c r="B33" s="13">
        <v>5203</v>
      </c>
    </row>
    <row r="34" spans="1:2" x14ac:dyDescent="0.3">
      <c r="A34" t="s">
        <v>89</v>
      </c>
      <c r="B34" s="13">
        <v>1250</v>
      </c>
    </row>
    <row r="35" spans="1:2" x14ac:dyDescent="0.3">
      <c r="A35" t="s">
        <v>72</v>
      </c>
      <c r="B35" s="13">
        <v>2071</v>
      </c>
    </row>
    <row r="36" spans="1:2" x14ac:dyDescent="0.3">
      <c r="A36" t="s">
        <v>28</v>
      </c>
      <c r="B36" s="13">
        <v>2489.5</v>
      </c>
    </row>
    <row r="37" spans="1:2" x14ac:dyDescent="0.3">
      <c r="A37" t="s">
        <v>36</v>
      </c>
      <c r="B37" s="13">
        <v>3251.75</v>
      </c>
    </row>
    <row r="38" spans="1:2" x14ac:dyDescent="0.3">
      <c r="A38" t="s">
        <v>2135</v>
      </c>
      <c r="B38" s="13">
        <v>27748.25</v>
      </c>
    </row>
  </sheetData>
  <mergeCells count="7">
    <mergeCell ref="N21:P21"/>
    <mergeCell ref="B2:C2"/>
    <mergeCell ref="A8:B8"/>
    <mergeCell ref="A28:B28"/>
    <mergeCell ref="G2:H2"/>
    <mergeCell ref="G21:I21"/>
    <mergeCell ref="K2:L2"/>
  </mergeCells>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2001"/>
  <sheetViews>
    <sheetView topLeftCell="I1" zoomScale="61" zoomScaleNormal="80" workbookViewId="0">
      <selection activeCell="S2" sqref="S2"/>
    </sheetView>
  </sheetViews>
  <sheetFormatPr defaultRowHeight="14.4" x14ac:dyDescent="0.3"/>
  <cols>
    <col min="1" max="1" width="21.6640625" style="2" bestFit="1" customWidth="1"/>
    <col min="2" max="2" width="24.21875" style="4" bestFit="1" customWidth="1"/>
    <col min="3" max="3" width="24.21875" bestFit="1" customWidth="1"/>
    <col min="4" max="4" width="15.33203125" bestFit="1" customWidth="1"/>
    <col min="5" max="5" width="21.6640625" bestFit="1" customWidth="1"/>
    <col min="6" max="6" width="18" bestFit="1" customWidth="1"/>
    <col min="7" max="7" width="24" customWidth="1"/>
    <col min="8" max="8" width="17.44140625" bestFit="1" customWidth="1"/>
    <col min="9" max="9" width="25" bestFit="1" customWidth="1"/>
    <col min="10" max="10" width="21.33203125" bestFit="1" customWidth="1"/>
    <col min="11" max="11" width="23.77734375" bestFit="1" customWidth="1"/>
    <col min="12" max="12" width="14.6640625" bestFit="1" customWidth="1"/>
    <col min="13" max="13" width="16.77734375" bestFit="1" customWidth="1"/>
    <col min="14" max="14" width="20.109375" bestFit="1" customWidth="1"/>
    <col min="15" max="15" width="17.77734375" bestFit="1" customWidth="1"/>
    <col min="16" max="16" width="12.21875" bestFit="1" customWidth="1"/>
    <col min="17" max="17" width="20.109375" style="2" bestFit="1" customWidth="1"/>
    <col min="18" max="18" width="13.5546875" style="2" bestFit="1" customWidth="1"/>
  </cols>
  <sheetData>
    <row r="1" spans="1:19" x14ac:dyDescent="0.3">
      <c r="A1" s="1" t="s">
        <v>0</v>
      </c>
      <c r="B1" s="3" t="s">
        <v>1</v>
      </c>
      <c r="C1" s="1" t="s">
        <v>2</v>
      </c>
      <c r="D1" s="1" t="s">
        <v>3</v>
      </c>
      <c r="E1" s="1" t="s">
        <v>4</v>
      </c>
      <c r="F1" s="1" t="s">
        <v>5</v>
      </c>
      <c r="G1" s="1" t="s">
        <v>6</v>
      </c>
      <c r="H1" s="1" t="s">
        <v>7</v>
      </c>
      <c r="I1" s="1" t="s">
        <v>8</v>
      </c>
      <c r="J1" s="1" t="s">
        <v>9</v>
      </c>
      <c r="K1" s="1" t="s">
        <v>10</v>
      </c>
      <c r="L1" s="1" t="s">
        <v>2121</v>
      </c>
      <c r="M1" s="1" t="s">
        <v>11</v>
      </c>
      <c r="N1" s="1" t="s">
        <v>12</v>
      </c>
      <c r="O1" s="1" t="s">
        <v>13</v>
      </c>
      <c r="P1" s="1" t="s">
        <v>14</v>
      </c>
      <c r="Q1" s="1" t="s">
        <v>15</v>
      </c>
      <c r="R1" s="1" t="s">
        <v>16</v>
      </c>
      <c r="S1" s="14" t="s">
        <v>2149</v>
      </c>
    </row>
    <row r="2" spans="1:19" x14ac:dyDescent="0.3">
      <c r="A2" s="2">
        <v>10001</v>
      </c>
      <c r="B2" s="4">
        <v>45632</v>
      </c>
      <c r="C2" t="s">
        <v>17</v>
      </c>
      <c r="D2" t="s">
        <v>18</v>
      </c>
      <c r="E2" t="s">
        <v>19</v>
      </c>
      <c r="F2" t="s">
        <v>20</v>
      </c>
      <c r="G2">
        <v>2</v>
      </c>
      <c r="H2" s="5">
        <v>2.75</v>
      </c>
      <c r="I2" t="s">
        <v>21</v>
      </c>
      <c r="J2" t="s">
        <v>22</v>
      </c>
      <c r="K2" t="s">
        <v>23</v>
      </c>
      <c r="L2" t="s">
        <v>2125</v>
      </c>
      <c r="M2" s="5">
        <f>G2*H2</f>
        <v>5.5</v>
      </c>
      <c r="N2" t="str">
        <f>TEXT(B2,"mmmm")</f>
        <v>December</v>
      </c>
      <c r="O2" t="str">
        <f>TEXT(B2,"dddd")</f>
        <v>Friday</v>
      </c>
      <c r="P2">
        <f t="shared" ref="P2:P65" si="0">HOUR(TIMEVALUE(C2))</f>
        <v>10</v>
      </c>
      <c r="Q2" s="2">
        <f>WEEKDAY(B2,2)</f>
        <v>5</v>
      </c>
      <c r="R2" s="2">
        <f>MONTH(B2)</f>
        <v>12</v>
      </c>
      <c r="S2">
        <f>SUMIF(Table1[product_category],"Bakery",Table1[Total_bill])</f>
        <v>2951.25</v>
      </c>
    </row>
    <row r="3" spans="1:19" x14ac:dyDescent="0.3">
      <c r="A3" s="2">
        <v>10002</v>
      </c>
      <c r="B3" s="4">
        <v>45633</v>
      </c>
      <c r="C3" t="s">
        <v>24</v>
      </c>
      <c r="D3" t="s">
        <v>25</v>
      </c>
      <c r="E3" t="s">
        <v>26</v>
      </c>
      <c r="F3" t="s">
        <v>27</v>
      </c>
      <c r="G3">
        <v>1</v>
      </c>
      <c r="H3" s="5">
        <v>9.5</v>
      </c>
      <c r="I3" t="s">
        <v>28</v>
      </c>
      <c r="J3" t="s">
        <v>28</v>
      </c>
      <c r="K3" t="s">
        <v>29</v>
      </c>
      <c r="L3" t="s">
        <v>2125</v>
      </c>
      <c r="M3" s="5">
        <f t="shared" ref="M3:M66" si="1">G3*H3</f>
        <v>9.5</v>
      </c>
      <c r="N3" t="str">
        <f t="shared" ref="N3:N66" si="2">TEXT(B3,"mmmm")</f>
        <v>December</v>
      </c>
      <c r="O3" t="str">
        <f t="shared" ref="O3:O66" si="3">TEXT(B3,"dddd")</f>
        <v>Saturday</v>
      </c>
      <c r="P3">
        <f t="shared" si="0"/>
        <v>20</v>
      </c>
      <c r="Q3" s="2">
        <f t="shared" ref="Q3:Q66" si="4">WEEKDAY(B3,2)</f>
        <v>6</v>
      </c>
      <c r="R3" s="2">
        <f t="shared" ref="R3:R66" si="5">MONTH(B3)</f>
        <v>12</v>
      </c>
      <c r="S3">
        <f>SUMIF(Table1[product_category],"Bakery",Table1[Total_bill])</f>
        <v>2951.25</v>
      </c>
    </row>
    <row r="4" spans="1:19" x14ac:dyDescent="0.3">
      <c r="A4" s="2">
        <v>10003</v>
      </c>
      <c r="B4" s="4">
        <v>45634</v>
      </c>
      <c r="C4" t="s">
        <v>30</v>
      </c>
      <c r="D4" t="s">
        <v>25</v>
      </c>
      <c r="E4" t="s">
        <v>26</v>
      </c>
      <c r="F4" t="s">
        <v>31</v>
      </c>
      <c r="G4">
        <v>2</v>
      </c>
      <c r="H4" s="5">
        <v>3.5</v>
      </c>
      <c r="I4" t="s">
        <v>32</v>
      </c>
      <c r="J4" t="s">
        <v>33</v>
      </c>
      <c r="K4" t="s">
        <v>33</v>
      </c>
      <c r="L4" t="s">
        <v>2122</v>
      </c>
      <c r="M4" s="5">
        <f t="shared" si="1"/>
        <v>7</v>
      </c>
      <c r="N4" t="str">
        <f t="shared" si="2"/>
        <v>December</v>
      </c>
      <c r="O4" t="str">
        <f t="shared" si="3"/>
        <v>Sunday</v>
      </c>
      <c r="P4">
        <f t="shared" si="0"/>
        <v>15</v>
      </c>
      <c r="Q4" s="2">
        <f t="shared" si="4"/>
        <v>7</v>
      </c>
      <c r="R4" s="2">
        <f t="shared" si="5"/>
        <v>12</v>
      </c>
      <c r="S4">
        <f>SUMIF(Table1[product_category],"Bakery",Table1[Total_bill])</f>
        <v>2951.25</v>
      </c>
    </row>
    <row r="5" spans="1:19" x14ac:dyDescent="0.3">
      <c r="A5" s="2">
        <v>10004</v>
      </c>
      <c r="B5" s="4">
        <v>45635</v>
      </c>
      <c r="C5" t="s">
        <v>34</v>
      </c>
      <c r="D5" t="s">
        <v>18</v>
      </c>
      <c r="E5" t="s">
        <v>19</v>
      </c>
      <c r="F5" t="s">
        <v>35</v>
      </c>
      <c r="G5">
        <v>4</v>
      </c>
      <c r="H5" s="5">
        <v>3.5</v>
      </c>
      <c r="I5" t="s">
        <v>36</v>
      </c>
      <c r="J5" t="s">
        <v>37</v>
      </c>
      <c r="K5" t="s">
        <v>38</v>
      </c>
      <c r="L5" t="s">
        <v>2123</v>
      </c>
      <c r="M5" s="5">
        <f t="shared" si="1"/>
        <v>14</v>
      </c>
      <c r="N5" t="str">
        <f t="shared" si="2"/>
        <v>December</v>
      </c>
      <c r="O5" t="str">
        <f t="shared" si="3"/>
        <v>Monday</v>
      </c>
      <c r="P5">
        <f t="shared" si="0"/>
        <v>13</v>
      </c>
      <c r="Q5" s="2">
        <f t="shared" si="4"/>
        <v>1</v>
      </c>
      <c r="R5" s="2">
        <f t="shared" si="5"/>
        <v>12</v>
      </c>
      <c r="S5">
        <f>SUMIF(Table1[product_category],"Bakery",Table1[Total_bill])</f>
        <v>2951.25</v>
      </c>
    </row>
    <row r="6" spans="1:19" x14ac:dyDescent="0.3">
      <c r="A6" s="2">
        <v>10005</v>
      </c>
      <c r="B6" s="4">
        <v>45636</v>
      </c>
      <c r="C6" t="s">
        <v>39</v>
      </c>
      <c r="D6" t="s">
        <v>40</v>
      </c>
      <c r="E6" t="s">
        <v>41</v>
      </c>
      <c r="F6" t="s">
        <v>42</v>
      </c>
      <c r="G6">
        <v>4</v>
      </c>
      <c r="H6" s="5">
        <v>1.75</v>
      </c>
      <c r="I6" t="s">
        <v>32</v>
      </c>
      <c r="J6" t="s">
        <v>43</v>
      </c>
      <c r="K6" t="s">
        <v>44</v>
      </c>
      <c r="L6" t="s">
        <v>2122</v>
      </c>
      <c r="M6" s="5">
        <f t="shared" si="1"/>
        <v>7</v>
      </c>
      <c r="N6" t="str">
        <f t="shared" si="2"/>
        <v>December</v>
      </c>
      <c r="O6" t="str">
        <f t="shared" si="3"/>
        <v>Tuesday</v>
      </c>
      <c r="P6">
        <f t="shared" si="0"/>
        <v>7</v>
      </c>
      <c r="Q6" s="2">
        <f t="shared" si="4"/>
        <v>2</v>
      </c>
      <c r="R6" s="2">
        <f t="shared" si="5"/>
        <v>12</v>
      </c>
      <c r="S6">
        <f>SUMIF(Table1[product_category],"Bakery",Table1[Total_bill])</f>
        <v>2951.25</v>
      </c>
    </row>
    <row r="7" spans="1:19" x14ac:dyDescent="0.3">
      <c r="A7" s="2">
        <v>10006</v>
      </c>
      <c r="B7" s="4">
        <v>45637</v>
      </c>
      <c r="C7" t="s">
        <v>45</v>
      </c>
      <c r="D7" t="s">
        <v>25</v>
      </c>
      <c r="E7" t="s">
        <v>26</v>
      </c>
      <c r="F7" t="s">
        <v>46</v>
      </c>
      <c r="G7">
        <v>1</v>
      </c>
      <c r="H7" s="5">
        <v>2.5</v>
      </c>
      <c r="I7" t="s">
        <v>21</v>
      </c>
      <c r="J7" t="s">
        <v>47</v>
      </c>
      <c r="K7" t="s">
        <v>48</v>
      </c>
      <c r="L7" t="s">
        <v>2125</v>
      </c>
      <c r="M7" s="5">
        <f t="shared" si="1"/>
        <v>2.5</v>
      </c>
      <c r="N7" t="str">
        <f t="shared" si="2"/>
        <v>December</v>
      </c>
      <c r="O7" t="str">
        <f t="shared" si="3"/>
        <v>Wednesday</v>
      </c>
      <c r="P7">
        <f t="shared" si="0"/>
        <v>7</v>
      </c>
      <c r="Q7" s="2">
        <f t="shared" si="4"/>
        <v>3</v>
      </c>
      <c r="R7" s="2">
        <f t="shared" si="5"/>
        <v>12</v>
      </c>
      <c r="S7">
        <f>SUMIF(Table1[product_category],"Bakery",Table1[Total_bill])</f>
        <v>2951.25</v>
      </c>
    </row>
    <row r="8" spans="1:19" x14ac:dyDescent="0.3">
      <c r="A8" s="2">
        <v>10007</v>
      </c>
      <c r="B8" s="4">
        <v>45638</v>
      </c>
      <c r="C8" t="s">
        <v>49</v>
      </c>
      <c r="D8" t="s">
        <v>40</v>
      </c>
      <c r="E8" t="s">
        <v>41</v>
      </c>
      <c r="F8" t="s">
        <v>50</v>
      </c>
      <c r="G8">
        <v>3</v>
      </c>
      <c r="H8" s="5">
        <v>3.5</v>
      </c>
      <c r="I8" t="s">
        <v>21</v>
      </c>
      <c r="J8" t="s">
        <v>51</v>
      </c>
      <c r="K8" t="s">
        <v>52</v>
      </c>
      <c r="L8" t="s">
        <v>2125</v>
      </c>
      <c r="M8" s="5">
        <f t="shared" si="1"/>
        <v>10.5</v>
      </c>
      <c r="N8" t="str">
        <f t="shared" si="2"/>
        <v>December</v>
      </c>
      <c r="O8" t="str">
        <f t="shared" si="3"/>
        <v>Thursday</v>
      </c>
      <c r="P8">
        <f t="shared" si="0"/>
        <v>6</v>
      </c>
      <c r="Q8" s="2">
        <f t="shared" si="4"/>
        <v>4</v>
      </c>
      <c r="R8" s="2">
        <f t="shared" si="5"/>
        <v>12</v>
      </c>
      <c r="S8">
        <f>SUMIF(Table1[product_category],"Bakery",Table1[Total_bill])</f>
        <v>2951.25</v>
      </c>
    </row>
    <row r="9" spans="1:19" x14ac:dyDescent="0.3">
      <c r="A9" s="2">
        <v>10008</v>
      </c>
      <c r="B9" s="4">
        <v>45639</v>
      </c>
      <c r="C9" t="s">
        <v>53</v>
      </c>
      <c r="D9" t="s">
        <v>18</v>
      </c>
      <c r="E9" t="s">
        <v>19</v>
      </c>
      <c r="F9" t="s">
        <v>54</v>
      </c>
      <c r="G9">
        <v>1</v>
      </c>
      <c r="H9" s="5">
        <v>3.5</v>
      </c>
      <c r="I9" t="s">
        <v>32</v>
      </c>
      <c r="J9" t="s">
        <v>55</v>
      </c>
      <c r="K9" t="s">
        <v>55</v>
      </c>
      <c r="L9" t="s">
        <v>2124</v>
      </c>
      <c r="M9" s="5">
        <f t="shared" si="1"/>
        <v>3.5</v>
      </c>
      <c r="N9" t="str">
        <f t="shared" si="2"/>
        <v>December</v>
      </c>
      <c r="O9" t="str">
        <f t="shared" si="3"/>
        <v>Friday</v>
      </c>
      <c r="P9">
        <f t="shared" si="0"/>
        <v>17</v>
      </c>
      <c r="Q9" s="2">
        <f t="shared" si="4"/>
        <v>5</v>
      </c>
      <c r="R9" s="2">
        <f t="shared" si="5"/>
        <v>12</v>
      </c>
      <c r="S9">
        <f>SUMIF(Table1[product_category],"Bakery",Table1[Total_bill])</f>
        <v>2951.25</v>
      </c>
    </row>
    <row r="10" spans="1:19" x14ac:dyDescent="0.3">
      <c r="A10" s="2">
        <v>10009</v>
      </c>
      <c r="B10" s="4">
        <v>45640</v>
      </c>
      <c r="C10" t="s">
        <v>56</v>
      </c>
      <c r="D10" t="s">
        <v>18</v>
      </c>
      <c r="E10" t="s">
        <v>19</v>
      </c>
      <c r="F10" t="s">
        <v>57</v>
      </c>
      <c r="G10">
        <v>2</v>
      </c>
      <c r="H10" s="5">
        <v>2.25</v>
      </c>
      <c r="I10" t="s">
        <v>21</v>
      </c>
      <c r="J10" t="s">
        <v>58</v>
      </c>
      <c r="K10" t="s">
        <v>59</v>
      </c>
      <c r="L10" t="s">
        <v>2125</v>
      </c>
      <c r="M10" s="5">
        <f t="shared" si="1"/>
        <v>4.5</v>
      </c>
      <c r="N10" t="str">
        <f t="shared" si="2"/>
        <v>December</v>
      </c>
      <c r="O10" t="str">
        <f t="shared" si="3"/>
        <v>Saturday</v>
      </c>
      <c r="P10">
        <f t="shared" si="0"/>
        <v>13</v>
      </c>
      <c r="Q10" s="2">
        <f t="shared" si="4"/>
        <v>6</v>
      </c>
      <c r="R10" s="2">
        <f t="shared" si="5"/>
        <v>12</v>
      </c>
      <c r="S10">
        <f>SUMIF(Table1[product_category],"Bakery",Table1[Total_bill])</f>
        <v>2951.25</v>
      </c>
    </row>
    <row r="11" spans="1:19" x14ac:dyDescent="0.3">
      <c r="A11" s="2">
        <v>10010</v>
      </c>
      <c r="B11" s="4">
        <v>45641</v>
      </c>
      <c r="C11" t="s">
        <v>60</v>
      </c>
      <c r="D11" t="s">
        <v>18</v>
      </c>
      <c r="E11" t="s">
        <v>19</v>
      </c>
      <c r="F11" t="s">
        <v>61</v>
      </c>
      <c r="G11">
        <v>1</v>
      </c>
      <c r="H11" s="5">
        <v>3</v>
      </c>
      <c r="I11" t="s">
        <v>36</v>
      </c>
      <c r="J11" t="s">
        <v>37</v>
      </c>
      <c r="K11" t="s">
        <v>62</v>
      </c>
      <c r="L11" t="s">
        <v>2124</v>
      </c>
      <c r="M11" s="5">
        <f t="shared" si="1"/>
        <v>3</v>
      </c>
      <c r="N11" t="str">
        <f t="shared" si="2"/>
        <v>December</v>
      </c>
      <c r="O11" t="str">
        <f t="shared" si="3"/>
        <v>Sunday</v>
      </c>
      <c r="P11">
        <f t="shared" si="0"/>
        <v>14</v>
      </c>
      <c r="Q11" s="2">
        <f t="shared" si="4"/>
        <v>7</v>
      </c>
      <c r="R11" s="2">
        <f t="shared" si="5"/>
        <v>12</v>
      </c>
      <c r="S11">
        <f>SUMIF(Table1[product_category],"Bakery",Table1[Total_bill])</f>
        <v>2951.25</v>
      </c>
    </row>
    <row r="12" spans="1:19" x14ac:dyDescent="0.3">
      <c r="A12" s="2">
        <v>10011</v>
      </c>
      <c r="B12" s="4">
        <v>45642</v>
      </c>
      <c r="C12" t="s">
        <v>63</v>
      </c>
      <c r="D12" t="s">
        <v>40</v>
      </c>
      <c r="E12" t="s">
        <v>41</v>
      </c>
      <c r="F12" t="s">
        <v>64</v>
      </c>
      <c r="G12">
        <v>4</v>
      </c>
      <c r="H12" s="5">
        <v>2.75</v>
      </c>
      <c r="I12" t="s">
        <v>21</v>
      </c>
      <c r="J12" t="s">
        <v>22</v>
      </c>
      <c r="K12" t="s">
        <v>23</v>
      </c>
      <c r="L12" t="s">
        <v>2125</v>
      </c>
      <c r="M12" s="5">
        <f t="shared" si="1"/>
        <v>11</v>
      </c>
      <c r="N12" t="str">
        <f t="shared" si="2"/>
        <v>December</v>
      </c>
      <c r="O12" t="str">
        <f t="shared" si="3"/>
        <v>Monday</v>
      </c>
      <c r="P12">
        <f t="shared" si="0"/>
        <v>6</v>
      </c>
      <c r="Q12" s="2">
        <f t="shared" si="4"/>
        <v>1</v>
      </c>
      <c r="R12" s="2">
        <f t="shared" si="5"/>
        <v>12</v>
      </c>
      <c r="S12">
        <f>SUMIF(Table1[product_category],"Bakery",Table1[Total_bill])</f>
        <v>2951.25</v>
      </c>
    </row>
    <row r="13" spans="1:19" x14ac:dyDescent="0.3">
      <c r="A13" s="2">
        <v>10012</v>
      </c>
      <c r="B13" s="4">
        <v>45643</v>
      </c>
      <c r="C13" t="s">
        <v>65</v>
      </c>
      <c r="D13" t="s">
        <v>25</v>
      </c>
      <c r="E13" t="s">
        <v>26</v>
      </c>
      <c r="F13" t="s">
        <v>66</v>
      </c>
      <c r="G13">
        <v>3</v>
      </c>
      <c r="H13" s="5">
        <v>2.25</v>
      </c>
      <c r="I13" t="s">
        <v>21</v>
      </c>
      <c r="J13" t="s">
        <v>58</v>
      </c>
      <c r="K13" t="s">
        <v>59</v>
      </c>
      <c r="L13" t="s">
        <v>2125</v>
      </c>
      <c r="M13" s="5">
        <f t="shared" si="1"/>
        <v>6.75</v>
      </c>
      <c r="N13" t="str">
        <f t="shared" si="2"/>
        <v>December</v>
      </c>
      <c r="O13" t="str">
        <f t="shared" si="3"/>
        <v>Tuesday</v>
      </c>
      <c r="P13">
        <f t="shared" si="0"/>
        <v>20</v>
      </c>
      <c r="Q13" s="2">
        <f t="shared" si="4"/>
        <v>2</v>
      </c>
      <c r="R13" s="2">
        <f t="shared" si="5"/>
        <v>12</v>
      </c>
      <c r="S13">
        <f>SUMIF(Table1[product_category],"Bakery",Table1[Total_bill])</f>
        <v>2951.25</v>
      </c>
    </row>
    <row r="14" spans="1:19" x14ac:dyDescent="0.3">
      <c r="A14" s="2">
        <v>10013</v>
      </c>
      <c r="B14" s="4">
        <v>45644</v>
      </c>
      <c r="C14" t="s">
        <v>67</v>
      </c>
      <c r="D14" t="s">
        <v>18</v>
      </c>
      <c r="E14" t="s">
        <v>19</v>
      </c>
      <c r="F14" t="s">
        <v>68</v>
      </c>
      <c r="G14">
        <v>2</v>
      </c>
      <c r="H14" s="5">
        <v>4.75</v>
      </c>
      <c r="I14" t="s">
        <v>32</v>
      </c>
      <c r="J14" t="s">
        <v>69</v>
      </c>
      <c r="K14" t="s">
        <v>69</v>
      </c>
      <c r="L14" t="s">
        <v>2123</v>
      </c>
      <c r="M14" s="5">
        <f t="shared" si="1"/>
        <v>9.5</v>
      </c>
      <c r="N14" t="str">
        <f t="shared" si="2"/>
        <v>December</v>
      </c>
      <c r="O14" t="str">
        <f t="shared" si="3"/>
        <v>Wednesday</v>
      </c>
      <c r="P14">
        <f t="shared" si="0"/>
        <v>16</v>
      </c>
      <c r="Q14" s="2">
        <f t="shared" si="4"/>
        <v>3</v>
      </c>
      <c r="R14" s="2">
        <f t="shared" si="5"/>
        <v>12</v>
      </c>
      <c r="S14">
        <f>SUMIF(Table1[product_category],"Bakery",Table1[Total_bill])</f>
        <v>2951.25</v>
      </c>
    </row>
    <row r="15" spans="1:19" x14ac:dyDescent="0.3">
      <c r="A15" s="2">
        <v>10014</v>
      </c>
      <c r="B15" s="4">
        <v>45645</v>
      </c>
      <c r="C15" t="s">
        <v>70</v>
      </c>
      <c r="D15" t="s">
        <v>25</v>
      </c>
      <c r="E15" t="s">
        <v>26</v>
      </c>
      <c r="F15" t="s">
        <v>71</v>
      </c>
      <c r="G15">
        <v>4</v>
      </c>
      <c r="H15" s="5">
        <v>5.5</v>
      </c>
      <c r="I15" t="s">
        <v>72</v>
      </c>
      <c r="J15" t="s">
        <v>72</v>
      </c>
      <c r="K15" t="s">
        <v>73</v>
      </c>
      <c r="L15" t="s">
        <v>2125</v>
      </c>
      <c r="M15" s="5">
        <f t="shared" si="1"/>
        <v>22</v>
      </c>
      <c r="N15" t="str">
        <f t="shared" si="2"/>
        <v>December</v>
      </c>
      <c r="O15" t="str">
        <f t="shared" si="3"/>
        <v>Thursday</v>
      </c>
      <c r="P15">
        <f t="shared" si="0"/>
        <v>8</v>
      </c>
      <c r="Q15" s="2">
        <f t="shared" si="4"/>
        <v>4</v>
      </c>
      <c r="R15" s="2">
        <f t="shared" si="5"/>
        <v>12</v>
      </c>
      <c r="S15">
        <f>SUMIF(Table1[product_category],"Bakery",Table1[Total_bill])</f>
        <v>2951.25</v>
      </c>
    </row>
    <row r="16" spans="1:19" x14ac:dyDescent="0.3">
      <c r="A16" s="2">
        <v>10015</v>
      </c>
      <c r="B16" s="4">
        <v>45646</v>
      </c>
      <c r="C16" t="s">
        <v>74</v>
      </c>
      <c r="D16" t="s">
        <v>18</v>
      </c>
      <c r="E16" t="s">
        <v>19</v>
      </c>
      <c r="F16" t="s">
        <v>75</v>
      </c>
      <c r="G16">
        <v>2</v>
      </c>
      <c r="H16" s="5">
        <v>8</v>
      </c>
      <c r="I16" t="s">
        <v>28</v>
      </c>
      <c r="J16" t="s">
        <v>28</v>
      </c>
      <c r="K16" t="s">
        <v>76</v>
      </c>
      <c r="L16" t="s">
        <v>2125</v>
      </c>
      <c r="M16" s="5">
        <f t="shared" si="1"/>
        <v>16</v>
      </c>
      <c r="N16" t="str">
        <f t="shared" si="2"/>
        <v>December</v>
      </c>
      <c r="O16" t="str">
        <f t="shared" si="3"/>
        <v>Friday</v>
      </c>
      <c r="P16">
        <f t="shared" si="0"/>
        <v>8</v>
      </c>
      <c r="Q16" s="2">
        <f t="shared" si="4"/>
        <v>5</v>
      </c>
      <c r="R16" s="2">
        <f t="shared" si="5"/>
        <v>12</v>
      </c>
      <c r="S16">
        <f>SUMIF(Table1[product_category],"Bakery",Table1[Total_bill])</f>
        <v>2951.25</v>
      </c>
    </row>
    <row r="17" spans="1:19" x14ac:dyDescent="0.3">
      <c r="A17" s="2">
        <v>10016</v>
      </c>
      <c r="B17" s="4">
        <v>45647</v>
      </c>
      <c r="C17" t="s">
        <v>77</v>
      </c>
      <c r="D17" t="s">
        <v>25</v>
      </c>
      <c r="E17" t="s">
        <v>26</v>
      </c>
      <c r="F17" t="s">
        <v>78</v>
      </c>
      <c r="G17">
        <v>3</v>
      </c>
      <c r="H17" s="5">
        <v>2.5</v>
      </c>
      <c r="I17" t="s">
        <v>36</v>
      </c>
      <c r="J17" t="s">
        <v>37</v>
      </c>
      <c r="K17" t="s">
        <v>62</v>
      </c>
      <c r="L17" t="s">
        <v>2122</v>
      </c>
      <c r="M17" s="5">
        <f t="shared" si="1"/>
        <v>7.5</v>
      </c>
      <c r="N17" t="str">
        <f t="shared" si="2"/>
        <v>December</v>
      </c>
      <c r="O17" t="str">
        <f t="shared" si="3"/>
        <v>Saturday</v>
      </c>
      <c r="P17">
        <f t="shared" si="0"/>
        <v>8</v>
      </c>
      <c r="Q17" s="2">
        <f t="shared" si="4"/>
        <v>6</v>
      </c>
      <c r="R17" s="2">
        <f t="shared" si="5"/>
        <v>12</v>
      </c>
      <c r="S17">
        <f>SUMIF(Table1[product_category],"Bakery",Table1[Total_bill])</f>
        <v>2951.25</v>
      </c>
    </row>
    <row r="18" spans="1:19" x14ac:dyDescent="0.3">
      <c r="A18" s="2">
        <v>10017</v>
      </c>
      <c r="B18" s="4">
        <v>45648</v>
      </c>
      <c r="C18" t="s">
        <v>79</v>
      </c>
      <c r="D18" t="s">
        <v>25</v>
      </c>
      <c r="E18" t="s">
        <v>26</v>
      </c>
      <c r="F18" t="s">
        <v>80</v>
      </c>
      <c r="G18">
        <v>2</v>
      </c>
      <c r="H18" s="5">
        <v>3.25</v>
      </c>
      <c r="I18" t="s">
        <v>21</v>
      </c>
      <c r="J18" t="s">
        <v>81</v>
      </c>
      <c r="K18" t="s">
        <v>82</v>
      </c>
      <c r="L18" t="s">
        <v>2125</v>
      </c>
      <c r="M18" s="5">
        <f t="shared" si="1"/>
        <v>6.5</v>
      </c>
      <c r="N18" t="str">
        <f t="shared" si="2"/>
        <v>December</v>
      </c>
      <c r="O18" t="str">
        <f t="shared" si="3"/>
        <v>Sunday</v>
      </c>
      <c r="P18">
        <f t="shared" si="0"/>
        <v>9</v>
      </c>
      <c r="Q18" s="2">
        <f t="shared" si="4"/>
        <v>7</v>
      </c>
      <c r="R18" s="2">
        <f t="shared" si="5"/>
        <v>12</v>
      </c>
      <c r="S18">
        <f>SUMIF(Table1[product_category],"Bakery",Table1[Total_bill])</f>
        <v>2951.25</v>
      </c>
    </row>
    <row r="19" spans="1:19" x14ac:dyDescent="0.3">
      <c r="A19" s="2">
        <v>10018</v>
      </c>
      <c r="B19" s="4">
        <v>45649</v>
      </c>
      <c r="C19" t="s">
        <v>83</v>
      </c>
      <c r="D19" t="s">
        <v>18</v>
      </c>
      <c r="E19" t="s">
        <v>19</v>
      </c>
      <c r="F19" t="s">
        <v>84</v>
      </c>
      <c r="G19">
        <v>2</v>
      </c>
      <c r="H19" s="5">
        <v>5.5</v>
      </c>
      <c r="I19" t="s">
        <v>72</v>
      </c>
      <c r="J19" t="s">
        <v>72</v>
      </c>
      <c r="K19" t="s">
        <v>73</v>
      </c>
      <c r="L19" t="s">
        <v>2125</v>
      </c>
      <c r="M19" s="5">
        <f t="shared" si="1"/>
        <v>11</v>
      </c>
      <c r="N19" t="str">
        <f t="shared" si="2"/>
        <v>December</v>
      </c>
      <c r="O19" t="str">
        <f t="shared" si="3"/>
        <v>Monday</v>
      </c>
      <c r="P19">
        <f t="shared" si="0"/>
        <v>12</v>
      </c>
      <c r="Q19" s="2">
        <f t="shared" si="4"/>
        <v>1</v>
      </c>
      <c r="R19" s="2">
        <f t="shared" si="5"/>
        <v>12</v>
      </c>
      <c r="S19">
        <f>SUMIF(Table1[product_category],"Bakery",Table1[Total_bill])</f>
        <v>2951.25</v>
      </c>
    </row>
    <row r="20" spans="1:19" x14ac:dyDescent="0.3">
      <c r="A20" s="2">
        <v>10019</v>
      </c>
      <c r="B20" s="4">
        <v>45650</v>
      </c>
      <c r="C20" t="s">
        <v>85</v>
      </c>
      <c r="D20" t="s">
        <v>18</v>
      </c>
      <c r="E20" t="s">
        <v>19</v>
      </c>
      <c r="F20" t="s">
        <v>86</v>
      </c>
      <c r="G20">
        <v>3</v>
      </c>
      <c r="H20" s="5">
        <v>8</v>
      </c>
      <c r="I20" t="s">
        <v>28</v>
      </c>
      <c r="J20" t="s">
        <v>28</v>
      </c>
      <c r="K20" t="s">
        <v>76</v>
      </c>
      <c r="L20" t="s">
        <v>2125</v>
      </c>
      <c r="M20" s="5">
        <f t="shared" si="1"/>
        <v>24</v>
      </c>
      <c r="N20" t="str">
        <f t="shared" si="2"/>
        <v>December</v>
      </c>
      <c r="O20" t="str">
        <f t="shared" si="3"/>
        <v>Tuesday</v>
      </c>
      <c r="P20">
        <f t="shared" si="0"/>
        <v>11</v>
      </c>
      <c r="Q20" s="2">
        <f t="shared" si="4"/>
        <v>2</v>
      </c>
      <c r="R20" s="2">
        <f t="shared" si="5"/>
        <v>12</v>
      </c>
      <c r="S20">
        <f>SUMIF(Table1[product_category],"Bakery",Table1[Total_bill])</f>
        <v>2951.25</v>
      </c>
    </row>
    <row r="21" spans="1:19" x14ac:dyDescent="0.3">
      <c r="A21" s="2">
        <v>10020</v>
      </c>
      <c r="B21" s="4">
        <v>45651</v>
      </c>
      <c r="C21" t="s">
        <v>87</v>
      </c>
      <c r="D21" t="s">
        <v>18</v>
      </c>
      <c r="E21" t="s">
        <v>19</v>
      </c>
      <c r="F21" t="s">
        <v>88</v>
      </c>
      <c r="G21">
        <v>2</v>
      </c>
      <c r="H21" s="5">
        <v>4.5</v>
      </c>
      <c r="I21" t="s">
        <v>89</v>
      </c>
      <c r="J21" t="s">
        <v>90</v>
      </c>
      <c r="K21" t="s">
        <v>91</v>
      </c>
      <c r="L21" t="s">
        <v>2124</v>
      </c>
      <c r="M21" s="5">
        <f t="shared" si="1"/>
        <v>9</v>
      </c>
      <c r="N21" t="str">
        <f t="shared" si="2"/>
        <v>December</v>
      </c>
      <c r="O21" t="str">
        <f t="shared" si="3"/>
        <v>Wednesday</v>
      </c>
      <c r="P21">
        <f t="shared" si="0"/>
        <v>9</v>
      </c>
      <c r="Q21" s="2">
        <f t="shared" si="4"/>
        <v>3</v>
      </c>
      <c r="R21" s="2">
        <f t="shared" si="5"/>
        <v>12</v>
      </c>
      <c r="S21">
        <f>SUMIF(Table1[product_category],"Bakery",Table1[Total_bill])</f>
        <v>2951.25</v>
      </c>
    </row>
    <row r="22" spans="1:19" x14ac:dyDescent="0.3">
      <c r="A22" s="2">
        <v>10021</v>
      </c>
      <c r="B22" s="4">
        <v>45652</v>
      </c>
      <c r="C22" t="s">
        <v>92</v>
      </c>
      <c r="D22" t="s">
        <v>25</v>
      </c>
      <c r="E22" t="s">
        <v>26</v>
      </c>
      <c r="F22" t="s">
        <v>93</v>
      </c>
      <c r="G22">
        <v>2</v>
      </c>
      <c r="H22" s="5">
        <v>3.5</v>
      </c>
      <c r="I22" t="s">
        <v>32</v>
      </c>
      <c r="J22" t="s">
        <v>94</v>
      </c>
      <c r="K22" t="s">
        <v>95</v>
      </c>
      <c r="L22" t="s">
        <v>2122</v>
      </c>
      <c r="M22" s="5">
        <f t="shared" si="1"/>
        <v>7</v>
      </c>
      <c r="N22" t="str">
        <f t="shared" si="2"/>
        <v>December</v>
      </c>
      <c r="O22" t="str">
        <f t="shared" si="3"/>
        <v>Thursday</v>
      </c>
      <c r="P22">
        <f t="shared" si="0"/>
        <v>13</v>
      </c>
      <c r="Q22" s="2">
        <f t="shared" si="4"/>
        <v>4</v>
      </c>
      <c r="R22" s="2">
        <f t="shared" si="5"/>
        <v>12</v>
      </c>
      <c r="S22">
        <f>SUMIF(Table1[product_category],"Bakery",Table1[Total_bill])</f>
        <v>2951.25</v>
      </c>
    </row>
    <row r="23" spans="1:19" x14ac:dyDescent="0.3">
      <c r="A23" s="2">
        <v>10022</v>
      </c>
      <c r="B23" s="4">
        <v>45653</v>
      </c>
      <c r="C23" t="s">
        <v>96</v>
      </c>
      <c r="D23" t="s">
        <v>18</v>
      </c>
      <c r="E23" t="s">
        <v>19</v>
      </c>
      <c r="F23" t="s">
        <v>97</v>
      </c>
      <c r="G23">
        <v>1</v>
      </c>
      <c r="H23" s="5">
        <v>13</v>
      </c>
      <c r="I23" t="s">
        <v>98</v>
      </c>
      <c r="J23" t="s">
        <v>98</v>
      </c>
      <c r="K23" t="s">
        <v>95</v>
      </c>
      <c r="L23" t="s">
        <v>2125</v>
      </c>
      <c r="M23" s="5">
        <f t="shared" si="1"/>
        <v>13</v>
      </c>
      <c r="N23" t="str">
        <f t="shared" si="2"/>
        <v>December</v>
      </c>
      <c r="O23" t="str">
        <f t="shared" si="3"/>
        <v>Friday</v>
      </c>
      <c r="P23">
        <f t="shared" si="0"/>
        <v>7</v>
      </c>
      <c r="Q23" s="2">
        <f t="shared" si="4"/>
        <v>5</v>
      </c>
      <c r="R23" s="2">
        <f t="shared" si="5"/>
        <v>12</v>
      </c>
      <c r="S23">
        <f>SUMIF(Table1[product_category],"Bakery",Table1[Total_bill])</f>
        <v>2951.25</v>
      </c>
    </row>
    <row r="24" spans="1:19" x14ac:dyDescent="0.3">
      <c r="A24" s="2">
        <v>10023</v>
      </c>
      <c r="B24" s="4">
        <v>45654</v>
      </c>
      <c r="C24" t="s">
        <v>99</v>
      </c>
      <c r="D24" t="s">
        <v>40</v>
      </c>
      <c r="E24" t="s">
        <v>41</v>
      </c>
      <c r="F24" t="s">
        <v>100</v>
      </c>
      <c r="G24">
        <v>3</v>
      </c>
      <c r="H24" s="5">
        <v>24</v>
      </c>
      <c r="I24" t="s">
        <v>101</v>
      </c>
      <c r="J24" t="s">
        <v>102</v>
      </c>
      <c r="K24" t="s">
        <v>103</v>
      </c>
      <c r="L24" t="s">
        <v>2125</v>
      </c>
      <c r="M24" s="5">
        <f t="shared" si="1"/>
        <v>72</v>
      </c>
      <c r="N24" t="str">
        <f t="shared" si="2"/>
        <v>December</v>
      </c>
      <c r="O24" t="str">
        <f t="shared" si="3"/>
        <v>Saturday</v>
      </c>
      <c r="P24">
        <f t="shared" si="0"/>
        <v>9</v>
      </c>
      <c r="Q24" s="2">
        <f t="shared" si="4"/>
        <v>6</v>
      </c>
      <c r="R24" s="2">
        <f t="shared" si="5"/>
        <v>12</v>
      </c>
      <c r="S24">
        <f>SUMIF(Table1[product_category],"Bakery",Table1[Total_bill])</f>
        <v>2951.25</v>
      </c>
    </row>
    <row r="25" spans="1:19" x14ac:dyDescent="0.3">
      <c r="A25" s="2">
        <v>10024</v>
      </c>
      <c r="B25" s="4">
        <v>45655</v>
      </c>
      <c r="C25" t="s">
        <v>104</v>
      </c>
      <c r="D25" t="s">
        <v>18</v>
      </c>
      <c r="E25" t="s">
        <v>19</v>
      </c>
      <c r="F25" t="s">
        <v>105</v>
      </c>
      <c r="G25">
        <v>3</v>
      </c>
      <c r="H25" s="5">
        <v>4</v>
      </c>
      <c r="I25" t="s">
        <v>32</v>
      </c>
      <c r="J25" t="s">
        <v>55</v>
      </c>
      <c r="K25" t="s">
        <v>55</v>
      </c>
      <c r="L25" t="s">
        <v>2123</v>
      </c>
      <c r="M25" s="5">
        <f t="shared" si="1"/>
        <v>12</v>
      </c>
      <c r="N25" t="str">
        <f t="shared" si="2"/>
        <v>December</v>
      </c>
      <c r="O25" t="str">
        <f t="shared" si="3"/>
        <v>Sunday</v>
      </c>
      <c r="P25">
        <f t="shared" si="0"/>
        <v>10</v>
      </c>
      <c r="Q25" s="2">
        <f t="shared" si="4"/>
        <v>7</v>
      </c>
      <c r="R25" s="2">
        <f t="shared" si="5"/>
        <v>12</v>
      </c>
      <c r="S25">
        <f>SUMIF(Table1[product_category],"Bakery",Table1[Total_bill])</f>
        <v>2951.25</v>
      </c>
    </row>
    <row r="26" spans="1:19" x14ac:dyDescent="0.3">
      <c r="A26" s="2">
        <v>10025</v>
      </c>
      <c r="B26" s="4">
        <v>45656</v>
      </c>
      <c r="C26" t="s">
        <v>106</v>
      </c>
      <c r="D26" t="s">
        <v>40</v>
      </c>
      <c r="E26" t="s">
        <v>41</v>
      </c>
      <c r="F26" t="s">
        <v>107</v>
      </c>
      <c r="G26">
        <v>2</v>
      </c>
      <c r="H26" s="5">
        <v>13</v>
      </c>
      <c r="I26" t="s">
        <v>98</v>
      </c>
      <c r="J26" t="s">
        <v>98</v>
      </c>
      <c r="K26" t="s">
        <v>95</v>
      </c>
      <c r="L26" t="s">
        <v>2125</v>
      </c>
      <c r="M26" s="5">
        <f t="shared" si="1"/>
        <v>26</v>
      </c>
      <c r="N26" t="str">
        <f t="shared" si="2"/>
        <v>December</v>
      </c>
      <c r="O26" t="str">
        <f t="shared" si="3"/>
        <v>Monday</v>
      </c>
      <c r="P26">
        <f t="shared" si="0"/>
        <v>11</v>
      </c>
      <c r="Q26" s="2">
        <f t="shared" si="4"/>
        <v>1</v>
      </c>
      <c r="R26" s="2">
        <f t="shared" si="5"/>
        <v>12</v>
      </c>
      <c r="S26">
        <f>SUMIF(Table1[product_category],"Bakery",Table1[Total_bill])</f>
        <v>2951.25</v>
      </c>
    </row>
    <row r="27" spans="1:19" x14ac:dyDescent="0.3">
      <c r="A27" s="2">
        <v>10026</v>
      </c>
      <c r="B27" s="4">
        <v>45657</v>
      </c>
      <c r="C27" t="s">
        <v>108</v>
      </c>
      <c r="D27" t="s">
        <v>18</v>
      </c>
      <c r="E27" t="s">
        <v>19</v>
      </c>
      <c r="F27" t="s">
        <v>109</v>
      </c>
      <c r="G27">
        <v>2</v>
      </c>
      <c r="H27" s="5">
        <v>5</v>
      </c>
      <c r="I27" t="s">
        <v>36</v>
      </c>
      <c r="J27" t="s">
        <v>110</v>
      </c>
      <c r="K27" t="s">
        <v>110</v>
      </c>
      <c r="L27" t="s">
        <v>2123</v>
      </c>
      <c r="M27" s="5">
        <f t="shared" si="1"/>
        <v>10</v>
      </c>
      <c r="N27" t="str">
        <f t="shared" si="2"/>
        <v>December</v>
      </c>
      <c r="O27" t="str">
        <f t="shared" si="3"/>
        <v>Tuesday</v>
      </c>
      <c r="P27">
        <f t="shared" si="0"/>
        <v>16</v>
      </c>
      <c r="Q27" s="2">
        <f t="shared" si="4"/>
        <v>2</v>
      </c>
      <c r="R27" s="2">
        <f t="shared" si="5"/>
        <v>12</v>
      </c>
      <c r="S27">
        <f>SUMIF(Table1[product_category],"Bakery",Table1[Total_bill])</f>
        <v>2951.25</v>
      </c>
    </row>
    <row r="28" spans="1:19" x14ac:dyDescent="0.3">
      <c r="A28" s="2">
        <v>10027</v>
      </c>
      <c r="B28" s="4">
        <v>45658</v>
      </c>
      <c r="C28" t="s">
        <v>111</v>
      </c>
      <c r="D28" t="s">
        <v>18</v>
      </c>
      <c r="E28" t="s">
        <v>19</v>
      </c>
      <c r="F28" t="s">
        <v>112</v>
      </c>
      <c r="G28">
        <v>2</v>
      </c>
      <c r="H28" s="5">
        <v>3.25</v>
      </c>
      <c r="I28" t="s">
        <v>21</v>
      </c>
      <c r="J28" t="s">
        <v>81</v>
      </c>
      <c r="K28" t="s">
        <v>113</v>
      </c>
      <c r="L28" t="s">
        <v>2125</v>
      </c>
      <c r="M28" s="5">
        <f t="shared" si="1"/>
        <v>6.5</v>
      </c>
      <c r="N28" t="str">
        <f t="shared" si="2"/>
        <v>January</v>
      </c>
      <c r="O28" t="str">
        <f t="shared" si="3"/>
        <v>Wednesday</v>
      </c>
      <c r="P28">
        <f t="shared" si="0"/>
        <v>8</v>
      </c>
      <c r="Q28" s="2">
        <f t="shared" si="4"/>
        <v>3</v>
      </c>
      <c r="R28" s="2">
        <f t="shared" si="5"/>
        <v>1</v>
      </c>
      <c r="S28">
        <f>SUMIF(Table1[product_category],"Bakery",Table1[Total_bill])</f>
        <v>2951.25</v>
      </c>
    </row>
    <row r="29" spans="1:19" x14ac:dyDescent="0.3">
      <c r="A29" s="2">
        <v>10028</v>
      </c>
      <c r="B29" s="4">
        <v>45659</v>
      </c>
      <c r="C29" t="s">
        <v>114</v>
      </c>
      <c r="D29" t="s">
        <v>25</v>
      </c>
      <c r="E29" t="s">
        <v>26</v>
      </c>
      <c r="F29" t="s">
        <v>115</v>
      </c>
      <c r="G29">
        <v>1</v>
      </c>
      <c r="H29" s="5">
        <v>9.5</v>
      </c>
      <c r="I29" t="s">
        <v>28</v>
      </c>
      <c r="J29" t="s">
        <v>28</v>
      </c>
      <c r="K29" t="s">
        <v>29</v>
      </c>
      <c r="L29" t="s">
        <v>2125</v>
      </c>
      <c r="M29" s="5">
        <f t="shared" si="1"/>
        <v>9.5</v>
      </c>
      <c r="N29" t="str">
        <f t="shared" si="2"/>
        <v>January</v>
      </c>
      <c r="O29" t="str">
        <f t="shared" si="3"/>
        <v>Thursday</v>
      </c>
      <c r="P29">
        <f t="shared" si="0"/>
        <v>12</v>
      </c>
      <c r="Q29" s="2">
        <f t="shared" si="4"/>
        <v>4</v>
      </c>
      <c r="R29" s="2">
        <f t="shared" si="5"/>
        <v>1</v>
      </c>
      <c r="S29">
        <f>SUMIF(Table1[product_category],"Bakery",Table1[Total_bill])</f>
        <v>2951.25</v>
      </c>
    </row>
    <row r="30" spans="1:19" x14ac:dyDescent="0.3">
      <c r="A30" s="2">
        <v>10029</v>
      </c>
      <c r="B30" s="4">
        <v>45660</v>
      </c>
      <c r="C30" t="s">
        <v>116</v>
      </c>
      <c r="D30" t="s">
        <v>25</v>
      </c>
      <c r="E30" t="s">
        <v>26</v>
      </c>
      <c r="F30" t="s">
        <v>117</v>
      </c>
      <c r="G30">
        <v>3</v>
      </c>
      <c r="H30" s="5">
        <v>3.5</v>
      </c>
      <c r="I30" t="s">
        <v>32</v>
      </c>
      <c r="J30" t="s">
        <v>55</v>
      </c>
      <c r="K30" t="s">
        <v>55</v>
      </c>
      <c r="L30" t="s">
        <v>2124</v>
      </c>
      <c r="M30" s="5">
        <f t="shared" si="1"/>
        <v>10.5</v>
      </c>
      <c r="N30" t="str">
        <f t="shared" si="2"/>
        <v>January</v>
      </c>
      <c r="O30" t="str">
        <f t="shared" si="3"/>
        <v>Friday</v>
      </c>
      <c r="P30">
        <f t="shared" si="0"/>
        <v>13</v>
      </c>
      <c r="Q30" s="2">
        <f t="shared" si="4"/>
        <v>5</v>
      </c>
      <c r="R30" s="2">
        <f t="shared" si="5"/>
        <v>1</v>
      </c>
      <c r="S30">
        <f>SUMIF(Table1[product_category],"Bakery",Table1[Total_bill])</f>
        <v>2951.25</v>
      </c>
    </row>
    <row r="31" spans="1:19" x14ac:dyDescent="0.3">
      <c r="A31" s="2">
        <v>10030</v>
      </c>
      <c r="B31" s="4">
        <v>45661</v>
      </c>
      <c r="C31" t="s">
        <v>118</v>
      </c>
      <c r="D31" t="s">
        <v>18</v>
      </c>
      <c r="E31" t="s">
        <v>19</v>
      </c>
      <c r="F31" t="s">
        <v>119</v>
      </c>
      <c r="G31">
        <v>4</v>
      </c>
      <c r="H31" s="5">
        <v>3.5</v>
      </c>
      <c r="I31" t="s">
        <v>32</v>
      </c>
      <c r="J31" t="s">
        <v>33</v>
      </c>
      <c r="K31" t="s">
        <v>33</v>
      </c>
      <c r="L31" t="s">
        <v>2122</v>
      </c>
      <c r="M31" s="5">
        <f t="shared" si="1"/>
        <v>14</v>
      </c>
      <c r="N31" t="str">
        <f t="shared" si="2"/>
        <v>January</v>
      </c>
      <c r="O31" t="str">
        <f t="shared" si="3"/>
        <v>Saturday</v>
      </c>
      <c r="P31">
        <f t="shared" si="0"/>
        <v>6</v>
      </c>
      <c r="Q31" s="2">
        <f t="shared" si="4"/>
        <v>6</v>
      </c>
      <c r="R31" s="2">
        <f t="shared" si="5"/>
        <v>1</v>
      </c>
      <c r="S31">
        <f>SUMIF(Table1[product_category],"Bakery",Table1[Total_bill])</f>
        <v>2951.25</v>
      </c>
    </row>
    <row r="32" spans="1:19" x14ac:dyDescent="0.3">
      <c r="A32" s="2">
        <v>10031</v>
      </c>
      <c r="B32" s="4">
        <v>45662</v>
      </c>
      <c r="C32" t="s">
        <v>120</v>
      </c>
      <c r="D32" t="s">
        <v>25</v>
      </c>
      <c r="E32" t="s">
        <v>26</v>
      </c>
      <c r="F32" t="s">
        <v>121</v>
      </c>
      <c r="G32">
        <v>2</v>
      </c>
      <c r="H32" s="5">
        <v>4.75</v>
      </c>
      <c r="I32" t="s">
        <v>32</v>
      </c>
      <c r="J32" t="s">
        <v>122</v>
      </c>
      <c r="K32" t="s">
        <v>122</v>
      </c>
      <c r="L32" t="s">
        <v>2123</v>
      </c>
      <c r="M32" s="5">
        <f t="shared" si="1"/>
        <v>9.5</v>
      </c>
      <c r="N32" t="str">
        <f t="shared" si="2"/>
        <v>January</v>
      </c>
      <c r="O32" t="str">
        <f t="shared" si="3"/>
        <v>Sunday</v>
      </c>
      <c r="P32">
        <f t="shared" si="0"/>
        <v>13</v>
      </c>
      <c r="Q32" s="2">
        <f t="shared" si="4"/>
        <v>7</v>
      </c>
      <c r="R32" s="2">
        <f t="shared" si="5"/>
        <v>1</v>
      </c>
      <c r="S32">
        <f>SUMIF(Table1[product_category],"Bakery",Table1[Total_bill])</f>
        <v>2951.25</v>
      </c>
    </row>
    <row r="33" spans="1:19" x14ac:dyDescent="0.3">
      <c r="A33" s="2">
        <v>10032</v>
      </c>
      <c r="B33" s="4">
        <v>45663</v>
      </c>
      <c r="C33" t="s">
        <v>123</v>
      </c>
      <c r="D33" t="s">
        <v>18</v>
      </c>
      <c r="E33" t="s">
        <v>19</v>
      </c>
      <c r="F33" t="s">
        <v>124</v>
      </c>
      <c r="G33">
        <v>2</v>
      </c>
      <c r="H33" s="5">
        <v>13</v>
      </c>
      <c r="I33" t="s">
        <v>98</v>
      </c>
      <c r="J33" t="s">
        <v>98</v>
      </c>
      <c r="K33" t="s">
        <v>95</v>
      </c>
      <c r="L33" t="s">
        <v>2125</v>
      </c>
      <c r="M33" s="5">
        <f t="shared" si="1"/>
        <v>26</v>
      </c>
      <c r="N33" t="str">
        <f t="shared" si="2"/>
        <v>January</v>
      </c>
      <c r="O33" t="str">
        <f t="shared" si="3"/>
        <v>Monday</v>
      </c>
      <c r="P33">
        <f t="shared" si="0"/>
        <v>8</v>
      </c>
      <c r="Q33" s="2">
        <f t="shared" si="4"/>
        <v>1</v>
      </c>
      <c r="R33" s="2">
        <f t="shared" si="5"/>
        <v>1</v>
      </c>
      <c r="S33">
        <f>SUMIF(Table1[product_category],"Bakery",Table1[Total_bill])</f>
        <v>2951.25</v>
      </c>
    </row>
    <row r="34" spans="1:19" x14ac:dyDescent="0.3">
      <c r="A34" s="2">
        <v>10033</v>
      </c>
      <c r="B34" s="4">
        <v>45664</v>
      </c>
      <c r="C34" t="s">
        <v>125</v>
      </c>
      <c r="D34" t="s">
        <v>18</v>
      </c>
      <c r="E34" t="s">
        <v>19</v>
      </c>
      <c r="F34" t="s">
        <v>126</v>
      </c>
      <c r="G34">
        <v>3</v>
      </c>
      <c r="H34" s="5">
        <v>3.5</v>
      </c>
      <c r="I34" t="s">
        <v>36</v>
      </c>
      <c r="J34" t="s">
        <v>37</v>
      </c>
      <c r="K34" t="s">
        <v>38</v>
      </c>
      <c r="L34" t="s">
        <v>2123</v>
      </c>
      <c r="M34" s="5">
        <f t="shared" si="1"/>
        <v>10.5</v>
      </c>
      <c r="N34" t="str">
        <f t="shared" si="2"/>
        <v>January</v>
      </c>
      <c r="O34" t="str">
        <f t="shared" si="3"/>
        <v>Tuesday</v>
      </c>
      <c r="P34">
        <f t="shared" si="0"/>
        <v>7</v>
      </c>
      <c r="Q34" s="2">
        <f t="shared" si="4"/>
        <v>2</v>
      </c>
      <c r="R34" s="2">
        <f t="shared" si="5"/>
        <v>1</v>
      </c>
      <c r="S34">
        <f>SUMIF(Table1[product_category],"Bakery",Table1[Total_bill])</f>
        <v>2951.25</v>
      </c>
    </row>
    <row r="35" spans="1:19" x14ac:dyDescent="0.3">
      <c r="A35" s="2">
        <v>10034</v>
      </c>
      <c r="B35" s="4">
        <v>45665</v>
      </c>
      <c r="C35" t="s">
        <v>127</v>
      </c>
      <c r="D35" t="s">
        <v>40</v>
      </c>
      <c r="E35" t="s">
        <v>41</v>
      </c>
      <c r="F35" t="s">
        <v>128</v>
      </c>
      <c r="G35">
        <v>4</v>
      </c>
      <c r="H35" s="5">
        <v>14</v>
      </c>
      <c r="I35" t="s">
        <v>98</v>
      </c>
      <c r="J35" t="s">
        <v>98</v>
      </c>
      <c r="K35" t="s">
        <v>129</v>
      </c>
      <c r="L35" t="s">
        <v>2125</v>
      </c>
      <c r="M35" s="5">
        <f t="shared" si="1"/>
        <v>56</v>
      </c>
      <c r="N35" t="str">
        <f t="shared" si="2"/>
        <v>January</v>
      </c>
      <c r="O35" t="str">
        <f t="shared" si="3"/>
        <v>Wednesday</v>
      </c>
      <c r="P35">
        <f t="shared" si="0"/>
        <v>19</v>
      </c>
      <c r="Q35" s="2">
        <f t="shared" si="4"/>
        <v>3</v>
      </c>
      <c r="R35" s="2">
        <f t="shared" si="5"/>
        <v>1</v>
      </c>
      <c r="S35">
        <f>SUMIF(Table1[product_category],"Bakery",Table1[Total_bill])</f>
        <v>2951.25</v>
      </c>
    </row>
    <row r="36" spans="1:19" x14ac:dyDescent="0.3">
      <c r="A36" s="2">
        <v>10035</v>
      </c>
      <c r="B36" s="4">
        <v>45666</v>
      </c>
      <c r="C36" t="s">
        <v>130</v>
      </c>
      <c r="D36" t="s">
        <v>25</v>
      </c>
      <c r="E36" t="s">
        <v>26</v>
      </c>
      <c r="F36" t="s">
        <v>131</v>
      </c>
      <c r="G36">
        <v>1</v>
      </c>
      <c r="H36" s="5">
        <v>2.5</v>
      </c>
      <c r="I36" t="s">
        <v>21</v>
      </c>
      <c r="J36" t="s">
        <v>47</v>
      </c>
      <c r="K36" t="s">
        <v>48</v>
      </c>
      <c r="L36" t="s">
        <v>2125</v>
      </c>
      <c r="M36" s="5">
        <f t="shared" si="1"/>
        <v>2.5</v>
      </c>
      <c r="N36" t="str">
        <f t="shared" si="2"/>
        <v>January</v>
      </c>
      <c r="O36" t="str">
        <f t="shared" si="3"/>
        <v>Thursday</v>
      </c>
      <c r="P36">
        <f t="shared" si="0"/>
        <v>20</v>
      </c>
      <c r="Q36" s="2">
        <f t="shared" si="4"/>
        <v>4</v>
      </c>
      <c r="R36" s="2">
        <f t="shared" si="5"/>
        <v>1</v>
      </c>
      <c r="S36">
        <f>SUMIF(Table1[product_category],"Bakery",Table1[Total_bill])</f>
        <v>2951.25</v>
      </c>
    </row>
    <row r="37" spans="1:19" x14ac:dyDescent="0.3">
      <c r="A37" s="2">
        <v>10036</v>
      </c>
      <c r="B37" s="4">
        <v>45667</v>
      </c>
      <c r="C37" t="s">
        <v>132</v>
      </c>
      <c r="D37" t="s">
        <v>18</v>
      </c>
      <c r="E37" t="s">
        <v>19</v>
      </c>
      <c r="F37" t="s">
        <v>133</v>
      </c>
      <c r="G37">
        <v>1</v>
      </c>
      <c r="H37" s="5">
        <v>2.5</v>
      </c>
      <c r="I37" t="s">
        <v>36</v>
      </c>
      <c r="J37" t="s">
        <v>37</v>
      </c>
      <c r="K37" t="s">
        <v>62</v>
      </c>
      <c r="L37" t="s">
        <v>2122</v>
      </c>
      <c r="M37" s="5">
        <f t="shared" si="1"/>
        <v>2.5</v>
      </c>
      <c r="N37" t="str">
        <f t="shared" si="2"/>
        <v>January</v>
      </c>
      <c r="O37" t="str">
        <f t="shared" si="3"/>
        <v>Friday</v>
      </c>
      <c r="P37">
        <f t="shared" si="0"/>
        <v>16</v>
      </c>
      <c r="Q37" s="2">
        <f t="shared" si="4"/>
        <v>5</v>
      </c>
      <c r="R37" s="2">
        <f t="shared" si="5"/>
        <v>1</v>
      </c>
      <c r="S37">
        <f>SUMIF(Table1[product_category],"Bakery",Table1[Total_bill])</f>
        <v>2951.25</v>
      </c>
    </row>
    <row r="38" spans="1:19" x14ac:dyDescent="0.3">
      <c r="A38" s="2">
        <v>10037</v>
      </c>
      <c r="B38" s="4">
        <v>45668</v>
      </c>
      <c r="C38" t="s">
        <v>134</v>
      </c>
      <c r="D38" t="s">
        <v>25</v>
      </c>
      <c r="E38" t="s">
        <v>26</v>
      </c>
      <c r="F38" t="s">
        <v>135</v>
      </c>
      <c r="G38">
        <v>3</v>
      </c>
      <c r="H38" s="5">
        <v>3.75</v>
      </c>
      <c r="I38" t="s">
        <v>32</v>
      </c>
      <c r="J38" t="s">
        <v>69</v>
      </c>
      <c r="K38" t="s">
        <v>69</v>
      </c>
      <c r="L38" t="s">
        <v>2122</v>
      </c>
      <c r="M38" s="5">
        <f t="shared" si="1"/>
        <v>11.25</v>
      </c>
      <c r="N38" t="str">
        <f t="shared" si="2"/>
        <v>January</v>
      </c>
      <c r="O38" t="str">
        <f t="shared" si="3"/>
        <v>Saturday</v>
      </c>
      <c r="P38">
        <f t="shared" si="0"/>
        <v>9</v>
      </c>
      <c r="Q38" s="2">
        <f t="shared" si="4"/>
        <v>6</v>
      </c>
      <c r="R38" s="2">
        <f t="shared" si="5"/>
        <v>1</v>
      </c>
      <c r="S38">
        <f>SUMIF(Table1[product_category],"Bakery",Table1[Total_bill])</f>
        <v>2951.25</v>
      </c>
    </row>
    <row r="39" spans="1:19" x14ac:dyDescent="0.3">
      <c r="A39" s="2">
        <v>10038</v>
      </c>
      <c r="B39" s="4">
        <v>45669</v>
      </c>
      <c r="C39" t="s">
        <v>136</v>
      </c>
      <c r="D39" t="s">
        <v>40</v>
      </c>
      <c r="E39" t="s">
        <v>41</v>
      </c>
      <c r="F39" t="s">
        <v>137</v>
      </c>
      <c r="G39">
        <v>2</v>
      </c>
      <c r="H39" s="5">
        <v>6</v>
      </c>
      <c r="I39" t="s">
        <v>72</v>
      </c>
      <c r="J39" t="s">
        <v>72</v>
      </c>
      <c r="K39" t="s">
        <v>138</v>
      </c>
      <c r="L39" t="s">
        <v>2125</v>
      </c>
      <c r="M39" s="5">
        <f t="shared" si="1"/>
        <v>12</v>
      </c>
      <c r="N39" t="str">
        <f t="shared" si="2"/>
        <v>January</v>
      </c>
      <c r="O39" t="str">
        <f t="shared" si="3"/>
        <v>Sunday</v>
      </c>
      <c r="P39">
        <f t="shared" si="0"/>
        <v>7</v>
      </c>
      <c r="Q39" s="2">
        <f t="shared" si="4"/>
        <v>7</v>
      </c>
      <c r="R39" s="2">
        <f t="shared" si="5"/>
        <v>1</v>
      </c>
      <c r="S39">
        <f>SUMIF(Table1[product_category],"Bakery",Table1[Total_bill])</f>
        <v>2951.25</v>
      </c>
    </row>
    <row r="40" spans="1:19" x14ac:dyDescent="0.3">
      <c r="A40" s="2">
        <v>10039</v>
      </c>
      <c r="B40" s="4">
        <v>45670</v>
      </c>
      <c r="C40" t="s">
        <v>139</v>
      </c>
      <c r="D40" t="s">
        <v>18</v>
      </c>
      <c r="E40" t="s">
        <v>19</v>
      </c>
      <c r="F40" t="s">
        <v>140</v>
      </c>
      <c r="G40">
        <v>2</v>
      </c>
      <c r="H40" s="5">
        <v>5.5</v>
      </c>
      <c r="I40" t="s">
        <v>72</v>
      </c>
      <c r="J40" t="s">
        <v>72</v>
      </c>
      <c r="K40" t="s">
        <v>141</v>
      </c>
      <c r="L40" t="s">
        <v>2125</v>
      </c>
      <c r="M40" s="5">
        <f t="shared" si="1"/>
        <v>11</v>
      </c>
      <c r="N40" t="str">
        <f t="shared" si="2"/>
        <v>January</v>
      </c>
      <c r="O40" t="str">
        <f t="shared" si="3"/>
        <v>Monday</v>
      </c>
      <c r="P40">
        <f t="shared" si="0"/>
        <v>14</v>
      </c>
      <c r="Q40" s="2">
        <f t="shared" si="4"/>
        <v>1</v>
      </c>
      <c r="R40" s="2">
        <f t="shared" si="5"/>
        <v>1</v>
      </c>
      <c r="S40">
        <f>SUMIF(Table1[product_category],"Bakery",Table1[Total_bill])</f>
        <v>2951.25</v>
      </c>
    </row>
    <row r="41" spans="1:19" x14ac:dyDescent="0.3">
      <c r="A41" s="2">
        <v>10040</v>
      </c>
      <c r="B41" s="4">
        <v>45671</v>
      </c>
      <c r="C41" t="s">
        <v>142</v>
      </c>
      <c r="D41" t="s">
        <v>25</v>
      </c>
      <c r="E41" t="s">
        <v>26</v>
      </c>
      <c r="F41" t="s">
        <v>143</v>
      </c>
      <c r="G41">
        <v>4</v>
      </c>
      <c r="H41" s="5">
        <v>2.75</v>
      </c>
      <c r="I41" t="s">
        <v>32</v>
      </c>
      <c r="J41" t="s">
        <v>144</v>
      </c>
      <c r="K41" t="s">
        <v>144</v>
      </c>
      <c r="L41" t="s">
        <v>2122</v>
      </c>
      <c r="M41" s="5">
        <f t="shared" si="1"/>
        <v>11</v>
      </c>
      <c r="N41" t="str">
        <f t="shared" si="2"/>
        <v>January</v>
      </c>
      <c r="O41" t="str">
        <f t="shared" si="3"/>
        <v>Tuesday</v>
      </c>
      <c r="P41">
        <f t="shared" si="0"/>
        <v>11</v>
      </c>
      <c r="Q41" s="2">
        <f t="shared" si="4"/>
        <v>2</v>
      </c>
      <c r="R41" s="2">
        <f t="shared" si="5"/>
        <v>1</v>
      </c>
      <c r="S41">
        <f>SUMIF(Table1[product_category],"Bakery",Table1[Total_bill])</f>
        <v>2951.25</v>
      </c>
    </row>
    <row r="42" spans="1:19" x14ac:dyDescent="0.3">
      <c r="A42" s="2">
        <v>10041</v>
      </c>
      <c r="B42" s="4">
        <v>45672</v>
      </c>
      <c r="C42" t="s">
        <v>145</v>
      </c>
      <c r="D42" t="s">
        <v>40</v>
      </c>
      <c r="E42" t="s">
        <v>41</v>
      </c>
      <c r="F42" t="s">
        <v>146</v>
      </c>
      <c r="G42">
        <v>1</v>
      </c>
      <c r="H42" s="5">
        <v>4.5</v>
      </c>
      <c r="I42" t="s">
        <v>32</v>
      </c>
      <c r="J42" t="s">
        <v>94</v>
      </c>
      <c r="K42" t="s">
        <v>95</v>
      </c>
      <c r="L42" t="s">
        <v>2123</v>
      </c>
      <c r="M42" s="5">
        <f t="shared" si="1"/>
        <v>4.5</v>
      </c>
      <c r="N42" t="str">
        <f t="shared" si="2"/>
        <v>January</v>
      </c>
      <c r="O42" t="str">
        <f t="shared" si="3"/>
        <v>Wednesday</v>
      </c>
      <c r="P42">
        <f t="shared" si="0"/>
        <v>7</v>
      </c>
      <c r="Q42" s="2">
        <f t="shared" si="4"/>
        <v>3</v>
      </c>
      <c r="R42" s="2">
        <f t="shared" si="5"/>
        <v>1</v>
      </c>
      <c r="S42">
        <f>SUMIF(Table1[product_category],"Bakery",Table1[Total_bill])</f>
        <v>2951.25</v>
      </c>
    </row>
    <row r="43" spans="1:19" x14ac:dyDescent="0.3">
      <c r="A43" s="2">
        <v>10042</v>
      </c>
      <c r="B43" s="4">
        <v>45673</v>
      </c>
      <c r="C43" t="s">
        <v>147</v>
      </c>
      <c r="D43" t="s">
        <v>40</v>
      </c>
      <c r="E43" t="s">
        <v>41</v>
      </c>
      <c r="F43" t="s">
        <v>148</v>
      </c>
      <c r="G43">
        <v>2</v>
      </c>
      <c r="H43" s="5">
        <v>2.75</v>
      </c>
      <c r="I43" t="s">
        <v>32</v>
      </c>
      <c r="J43" t="s">
        <v>144</v>
      </c>
      <c r="K43" t="s">
        <v>144</v>
      </c>
      <c r="L43" t="s">
        <v>2122</v>
      </c>
      <c r="M43" s="5">
        <f t="shared" si="1"/>
        <v>5.5</v>
      </c>
      <c r="N43" t="str">
        <f t="shared" si="2"/>
        <v>January</v>
      </c>
      <c r="O43" t="str">
        <f t="shared" si="3"/>
        <v>Thursday</v>
      </c>
      <c r="P43">
        <f t="shared" si="0"/>
        <v>11</v>
      </c>
      <c r="Q43" s="2">
        <f t="shared" si="4"/>
        <v>4</v>
      </c>
      <c r="R43" s="2">
        <f t="shared" si="5"/>
        <v>1</v>
      </c>
      <c r="S43">
        <f>SUMIF(Table1[product_category],"Bakery",Table1[Total_bill])</f>
        <v>2951.25</v>
      </c>
    </row>
    <row r="44" spans="1:19" x14ac:dyDescent="0.3">
      <c r="A44" s="2">
        <v>10043</v>
      </c>
      <c r="B44" s="4">
        <v>45674</v>
      </c>
      <c r="C44" t="s">
        <v>149</v>
      </c>
      <c r="D44" t="s">
        <v>25</v>
      </c>
      <c r="E44" t="s">
        <v>26</v>
      </c>
      <c r="F44" t="s">
        <v>150</v>
      </c>
      <c r="G44">
        <v>2</v>
      </c>
      <c r="H44" s="5">
        <v>13</v>
      </c>
      <c r="I44" t="s">
        <v>98</v>
      </c>
      <c r="J44" t="s">
        <v>98</v>
      </c>
      <c r="K44" t="s">
        <v>95</v>
      </c>
      <c r="L44" t="s">
        <v>2125</v>
      </c>
      <c r="M44" s="5">
        <f t="shared" si="1"/>
        <v>26</v>
      </c>
      <c r="N44" t="str">
        <f t="shared" si="2"/>
        <v>January</v>
      </c>
      <c r="O44" t="str">
        <f t="shared" si="3"/>
        <v>Friday</v>
      </c>
      <c r="P44">
        <f t="shared" si="0"/>
        <v>6</v>
      </c>
      <c r="Q44" s="2">
        <f t="shared" si="4"/>
        <v>5</v>
      </c>
      <c r="R44" s="2">
        <f t="shared" si="5"/>
        <v>1</v>
      </c>
      <c r="S44">
        <f>SUMIF(Table1[product_category],"Bakery",Table1[Total_bill])</f>
        <v>2951.25</v>
      </c>
    </row>
    <row r="45" spans="1:19" x14ac:dyDescent="0.3">
      <c r="A45" s="2">
        <v>10044</v>
      </c>
      <c r="B45" s="4">
        <v>45675</v>
      </c>
      <c r="C45" t="s">
        <v>151</v>
      </c>
      <c r="D45" t="s">
        <v>25</v>
      </c>
      <c r="E45" t="s">
        <v>26</v>
      </c>
      <c r="F45" t="s">
        <v>152</v>
      </c>
      <c r="G45">
        <v>1</v>
      </c>
      <c r="H45" s="5">
        <v>14</v>
      </c>
      <c r="I45" t="s">
        <v>98</v>
      </c>
      <c r="J45" t="s">
        <v>98</v>
      </c>
      <c r="K45" t="s">
        <v>129</v>
      </c>
      <c r="L45" t="s">
        <v>2125</v>
      </c>
      <c r="M45" s="5">
        <f t="shared" si="1"/>
        <v>14</v>
      </c>
      <c r="N45" t="str">
        <f t="shared" si="2"/>
        <v>January</v>
      </c>
      <c r="O45" t="str">
        <f t="shared" si="3"/>
        <v>Saturday</v>
      </c>
      <c r="P45">
        <f t="shared" si="0"/>
        <v>18</v>
      </c>
      <c r="Q45" s="2">
        <f t="shared" si="4"/>
        <v>6</v>
      </c>
      <c r="R45" s="2">
        <f t="shared" si="5"/>
        <v>1</v>
      </c>
      <c r="S45">
        <f>SUMIF(Table1[product_category],"Bakery",Table1[Total_bill])</f>
        <v>2951.25</v>
      </c>
    </row>
    <row r="46" spans="1:19" x14ac:dyDescent="0.3">
      <c r="A46" s="2">
        <v>10045</v>
      </c>
      <c r="B46" s="4">
        <v>45676</v>
      </c>
      <c r="C46" t="s">
        <v>153</v>
      </c>
      <c r="D46" t="s">
        <v>25</v>
      </c>
      <c r="E46" t="s">
        <v>26</v>
      </c>
      <c r="F46" t="s">
        <v>154</v>
      </c>
      <c r="G46">
        <v>2</v>
      </c>
      <c r="H46" s="5">
        <v>3.5</v>
      </c>
      <c r="I46" t="s">
        <v>32</v>
      </c>
      <c r="J46" t="s">
        <v>33</v>
      </c>
      <c r="K46" t="s">
        <v>33</v>
      </c>
      <c r="L46" t="s">
        <v>2122</v>
      </c>
      <c r="M46" s="5">
        <f t="shared" si="1"/>
        <v>7</v>
      </c>
      <c r="N46" t="str">
        <f t="shared" si="2"/>
        <v>January</v>
      </c>
      <c r="O46" t="str">
        <f t="shared" si="3"/>
        <v>Sunday</v>
      </c>
      <c r="P46">
        <f t="shared" si="0"/>
        <v>8</v>
      </c>
      <c r="Q46" s="2">
        <f t="shared" si="4"/>
        <v>7</v>
      </c>
      <c r="R46" s="2">
        <f t="shared" si="5"/>
        <v>1</v>
      </c>
      <c r="S46">
        <f>SUMIF(Table1[product_category],"Bakery",Table1[Total_bill])</f>
        <v>2951.25</v>
      </c>
    </row>
    <row r="47" spans="1:19" x14ac:dyDescent="0.3">
      <c r="A47" s="2">
        <v>10046</v>
      </c>
      <c r="B47" s="4">
        <v>45677</v>
      </c>
      <c r="C47" t="s">
        <v>155</v>
      </c>
      <c r="D47" t="s">
        <v>25</v>
      </c>
      <c r="E47" t="s">
        <v>26</v>
      </c>
      <c r="F47" t="s">
        <v>156</v>
      </c>
      <c r="G47">
        <v>2</v>
      </c>
      <c r="H47" s="5">
        <v>4</v>
      </c>
      <c r="I47" t="s">
        <v>89</v>
      </c>
      <c r="J47" t="s">
        <v>90</v>
      </c>
      <c r="K47" t="s">
        <v>91</v>
      </c>
      <c r="L47" t="s">
        <v>2122</v>
      </c>
      <c r="M47" s="5">
        <f t="shared" si="1"/>
        <v>8</v>
      </c>
      <c r="N47" t="str">
        <f t="shared" si="2"/>
        <v>January</v>
      </c>
      <c r="O47" t="str">
        <f t="shared" si="3"/>
        <v>Monday</v>
      </c>
      <c r="P47">
        <f t="shared" si="0"/>
        <v>14</v>
      </c>
      <c r="Q47" s="2">
        <f t="shared" si="4"/>
        <v>1</v>
      </c>
      <c r="R47" s="2">
        <f t="shared" si="5"/>
        <v>1</v>
      </c>
      <c r="S47">
        <f>SUMIF(Table1[product_category],"Bakery",Table1[Total_bill])</f>
        <v>2951.25</v>
      </c>
    </row>
    <row r="48" spans="1:19" x14ac:dyDescent="0.3">
      <c r="A48" s="2">
        <v>10047</v>
      </c>
      <c r="B48" s="4">
        <v>45678</v>
      </c>
      <c r="C48" t="s">
        <v>157</v>
      </c>
      <c r="D48" t="s">
        <v>40</v>
      </c>
      <c r="E48" t="s">
        <v>41</v>
      </c>
      <c r="F48" t="s">
        <v>158</v>
      </c>
      <c r="G48">
        <v>3</v>
      </c>
      <c r="H48" s="5">
        <v>5.5</v>
      </c>
      <c r="I48" t="s">
        <v>72</v>
      </c>
      <c r="J48" t="s">
        <v>72</v>
      </c>
      <c r="K48" t="s">
        <v>73</v>
      </c>
      <c r="L48" t="s">
        <v>2125</v>
      </c>
      <c r="M48" s="5">
        <f t="shared" si="1"/>
        <v>16.5</v>
      </c>
      <c r="N48" t="str">
        <f t="shared" si="2"/>
        <v>January</v>
      </c>
      <c r="O48" t="str">
        <f t="shared" si="3"/>
        <v>Tuesday</v>
      </c>
      <c r="P48">
        <f t="shared" si="0"/>
        <v>9</v>
      </c>
      <c r="Q48" s="2">
        <f t="shared" si="4"/>
        <v>2</v>
      </c>
      <c r="R48" s="2">
        <f t="shared" si="5"/>
        <v>1</v>
      </c>
      <c r="S48">
        <f>SUMIF(Table1[product_category],"Bakery",Table1[Total_bill])</f>
        <v>2951.25</v>
      </c>
    </row>
    <row r="49" spans="1:19" x14ac:dyDescent="0.3">
      <c r="A49" s="2">
        <v>10048</v>
      </c>
      <c r="B49" s="4">
        <v>45679</v>
      </c>
      <c r="C49" t="s">
        <v>159</v>
      </c>
      <c r="D49" t="s">
        <v>18</v>
      </c>
      <c r="E49" t="s">
        <v>19</v>
      </c>
      <c r="F49" t="s">
        <v>160</v>
      </c>
      <c r="G49">
        <v>2</v>
      </c>
      <c r="H49" s="5">
        <v>6</v>
      </c>
      <c r="I49" t="s">
        <v>72</v>
      </c>
      <c r="J49" t="s">
        <v>72</v>
      </c>
      <c r="K49" t="s">
        <v>138</v>
      </c>
      <c r="L49" t="s">
        <v>2125</v>
      </c>
      <c r="M49" s="5">
        <f t="shared" si="1"/>
        <v>12</v>
      </c>
      <c r="N49" t="str">
        <f t="shared" si="2"/>
        <v>January</v>
      </c>
      <c r="O49" t="str">
        <f t="shared" si="3"/>
        <v>Wednesday</v>
      </c>
      <c r="P49">
        <f t="shared" si="0"/>
        <v>12</v>
      </c>
      <c r="Q49" s="2">
        <f t="shared" si="4"/>
        <v>3</v>
      </c>
      <c r="R49" s="2">
        <f t="shared" si="5"/>
        <v>1</v>
      </c>
      <c r="S49">
        <f>SUMIF(Table1[product_category],"Bakery",Table1[Total_bill])</f>
        <v>2951.25</v>
      </c>
    </row>
    <row r="50" spans="1:19" x14ac:dyDescent="0.3">
      <c r="A50" s="2">
        <v>10049</v>
      </c>
      <c r="B50" s="4">
        <v>45680</v>
      </c>
      <c r="C50" t="s">
        <v>161</v>
      </c>
      <c r="D50" t="s">
        <v>25</v>
      </c>
      <c r="E50" t="s">
        <v>26</v>
      </c>
      <c r="F50" t="s">
        <v>162</v>
      </c>
      <c r="G50">
        <v>1</v>
      </c>
      <c r="H50" s="5">
        <v>9.5</v>
      </c>
      <c r="I50" t="s">
        <v>28</v>
      </c>
      <c r="J50" t="s">
        <v>28</v>
      </c>
      <c r="K50" t="s">
        <v>29</v>
      </c>
      <c r="L50" t="s">
        <v>2125</v>
      </c>
      <c r="M50" s="5">
        <f t="shared" si="1"/>
        <v>9.5</v>
      </c>
      <c r="N50" t="str">
        <f t="shared" si="2"/>
        <v>January</v>
      </c>
      <c r="O50" t="str">
        <f t="shared" si="3"/>
        <v>Thursday</v>
      </c>
      <c r="P50">
        <f t="shared" si="0"/>
        <v>12</v>
      </c>
      <c r="Q50" s="2">
        <f t="shared" si="4"/>
        <v>4</v>
      </c>
      <c r="R50" s="2">
        <f t="shared" si="5"/>
        <v>1</v>
      </c>
      <c r="S50">
        <f>SUMIF(Table1[product_category],"Bakery",Table1[Total_bill])</f>
        <v>2951.25</v>
      </c>
    </row>
    <row r="51" spans="1:19" x14ac:dyDescent="0.3">
      <c r="A51" s="2">
        <v>10050</v>
      </c>
      <c r="B51" s="4">
        <v>45681</v>
      </c>
      <c r="C51" t="s">
        <v>163</v>
      </c>
      <c r="D51" t="s">
        <v>18</v>
      </c>
      <c r="E51" t="s">
        <v>19</v>
      </c>
      <c r="F51" t="s">
        <v>164</v>
      </c>
      <c r="G51">
        <v>2</v>
      </c>
      <c r="H51" s="5">
        <v>5.5</v>
      </c>
      <c r="I51" t="s">
        <v>72</v>
      </c>
      <c r="J51" t="s">
        <v>72</v>
      </c>
      <c r="K51" t="s">
        <v>141</v>
      </c>
      <c r="L51" t="s">
        <v>2125</v>
      </c>
      <c r="M51" s="5">
        <f t="shared" si="1"/>
        <v>11</v>
      </c>
      <c r="N51" t="str">
        <f t="shared" si="2"/>
        <v>January</v>
      </c>
      <c r="O51" t="str">
        <f t="shared" si="3"/>
        <v>Friday</v>
      </c>
      <c r="P51">
        <f t="shared" si="0"/>
        <v>8</v>
      </c>
      <c r="Q51" s="2">
        <f t="shared" si="4"/>
        <v>5</v>
      </c>
      <c r="R51" s="2">
        <f t="shared" si="5"/>
        <v>1</v>
      </c>
      <c r="S51">
        <f>SUMIF(Table1[product_category],"Bakery",Table1[Total_bill])</f>
        <v>2951.25</v>
      </c>
    </row>
    <row r="52" spans="1:19" x14ac:dyDescent="0.3">
      <c r="A52" s="2">
        <v>10051</v>
      </c>
      <c r="B52" s="4">
        <v>45682</v>
      </c>
      <c r="C52" t="s">
        <v>165</v>
      </c>
      <c r="D52" t="s">
        <v>25</v>
      </c>
      <c r="E52" t="s">
        <v>26</v>
      </c>
      <c r="F52" t="s">
        <v>166</v>
      </c>
      <c r="G52">
        <v>1</v>
      </c>
      <c r="H52" s="5">
        <v>4.75</v>
      </c>
      <c r="I52" t="s">
        <v>32</v>
      </c>
      <c r="J52" t="s">
        <v>69</v>
      </c>
      <c r="K52" t="s">
        <v>69</v>
      </c>
      <c r="L52" t="s">
        <v>2123</v>
      </c>
      <c r="M52" s="5">
        <f t="shared" si="1"/>
        <v>4.75</v>
      </c>
      <c r="N52" t="str">
        <f t="shared" si="2"/>
        <v>January</v>
      </c>
      <c r="O52" t="str">
        <f t="shared" si="3"/>
        <v>Saturday</v>
      </c>
      <c r="P52">
        <f t="shared" si="0"/>
        <v>20</v>
      </c>
      <c r="Q52" s="2">
        <f t="shared" si="4"/>
        <v>6</v>
      </c>
      <c r="R52" s="2">
        <f t="shared" si="5"/>
        <v>1</v>
      </c>
      <c r="S52">
        <f>SUMIF(Table1[product_category],"Bakery",Table1[Total_bill])</f>
        <v>2951.25</v>
      </c>
    </row>
    <row r="53" spans="1:19" x14ac:dyDescent="0.3">
      <c r="A53" s="2">
        <v>10052</v>
      </c>
      <c r="B53" s="4">
        <v>45683</v>
      </c>
      <c r="C53" t="s">
        <v>167</v>
      </c>
      <c r="D53" t="s">
        <v>40</v>
      </c>
      <c r="E53" t="s">
        <v>41</v>
      </c>
      <c r="F53" t="s">
        <v>168</v>
      </c>
      <c r="G53">
        <v>2</v>
      </c>
      <c r="H53" s="5">
        <v>4</v>
      </c>
      <c r="I53" t="s">
        <v>32</v>
      </c>
      <c r="J53" t="s">
        <v>55</v>
      </c>
      <c r="K53" t="s">
        <v>55</v>
      </c>
      <c r="L53" t="s">
        <v>2123</v>
      </c>
      <c r="M53" s="5">
        <f t="shared" si="1"/>
        <v>8</v>
      </c>
      <c r="N53" t="str">
        <f t="shared" si="2"/>
        <v>January</v>
      </c>
      <c r="O53" t="str">
        <f t="shared" si="3"/>
        <v>Sunday</v>
      </c>
      <c r="P53">
        <f t="shared" si="0"/>
        <v>15</v>
      </c>
      <c r="Q53" s="2">
        <f t="shared" si="4"/>
        <v>7</v>
      </c>
      <c r="R53" s="2">
        <f t="shared" si="5"/>
        <v>1</v>
      </c>
      <c r="S53">
        <f>SUMIF(Table1[product_category],"Bakery",Table1[Total_bill])</f>
        <v>2951.25</v>
      </c>
    </row>
    <row r="54" spans="1:19" x14ac:dyDescent="0.3">
      <c r="A54" s="2">
        <v>10053</v>
      </c>
      <c r="B54" s="4">
        <v>45684</v>
      </c>
      <c r="C54" t="s">
        <v>169</v>
      </c>
      <c r="D54" t="s">
        <v>18</v>
      </c>
      <c r="E54" t="s">
        <v>19</v>
      </c>
      <c r="F54" t="s">
        <v>170</v>
      </c>
      <c r="G54">
        <v>3</v>
      </c>
      <c r="H54" s="5">
        <v>4</v>
      </c>
      <c r="I54" t="s">
        <v>32</v>
      </c>
      <c r="J54" t="s">
        <v>33</v>
      </c>
      <c r="K54" t="s">
        <v>33</v>
      </c>
      <c r="L54" t="s">
        <v>2124</v>
      </c>
      <c r="M54" s="5">
        <f t="shared" si="1"/>
        <v>12</v>
      </c>
      <c r="N54" t="str">
        <f t="shared" si="2"/>
        <v>January</v>
      </c>
      <c r="O54" t="str">
        <f t="shared" si="3"/>
        <v>Monday</v>
      </c>
      <c r="P54">
        <f t="shared" si="0"/>
        <v>19</v>
      </c>
      <c r="Q54" s="2">
        <f t="shared" si="4"/>
        <v>1</v>
      </c>
      <c r="R54" s="2">
        <f t="shared" si="5"/>
        <v>1</v>
      </c>
      <c r="S54">
        <f>SUMIF(Table1[product_category],"Bakery",Table1[Total_bill])</f>
        <v>2951.25</v>
      </c>
    </row>
    <row r="55" spans="1:19" x14ac:dyDescent="0.3">
      <c r="A55" s="2">
        <v>10054</v>
      </c>
      <c r="B55" s="4">
        <v>45685</v>
      </c>
      <c r="C55" t="s">
        <v>171</v>
      </c>
      <c r="D55" t="s">
        <v>18</v>
      </c>
      <c r="E55" t="s">
        <v>19</v>
      </c>
      <c r="F55" t="s">
        <v>172</v>
      </c>
      <c r="G55">
        <v>2</v>
      </c>
      <c r="H55" s="5">
        <v>3.25</v>
      </c>
      <c r="I55" t="s">
        <v>21</v>
      </c>
      <c r="J55" t="s">
        <v>81</v>
      </c>
      <c r="K55" t="s">
        <v>82</v>
      </c>
      <c r="L55" t="s">
        <v>2125</v>
      </c>
      <c r="M55" s="5">
        <f t="shared" si="1"/>
        <v>6.5</v>
      </c>
      <c r="N55" t="str">
        <f t="shared" si="2"/>
        <v>January</v>
      </c>
      <c r="O55" t="str">
        <f t="shared" si="3"/>
        <v>Tuesday</v>
      </c>
      <c r="P55">
        <f t="shared" si="0"/>
        <v>18</v>
      </c>
      <c r="Q55" s="2">
        <f t="shared" si="4"/>
        <v>2</v>
      </c>
      <c r="R55" s="2">
        <f t="shared" si="5"/>
        <v>1</v>
      </c>
      <c r="S55">
        <f>SUMIF(Table1[product_category],"Bakery",Table1[Total_bill])</f>
        <v>2951.25</v>
      </c>
    </row>
    <row r="56" spans="1:19" x14ac:dyDescent="0.3">
      <c r="A56" s="2">
        <v>10055</v>
      </c>
      <c r="B56" s="4">
        <v>45686</v>
      </c>
      <c r="C56" t="s">
        <v>173</v>
      </c>
      <c r="D56" t="s">
        <v>18</v>
      </c>
      <c r="E56" t="s">
        <v>19</v>
      </c>
      <c r="F56" t="s">
        <v>174</v>
      </c>
      <c r="G56">
        <v>4</v>
      </c>
      <c r="H56" s="5">
        <v>3.25</v>
      </c>
      <c r="I56" t="s">
        <v>21</v>
      </c>
      <c r="J56" t="s">
        <v>81</v>
      </c>
      <c r="K56" t="s">
        <v>113</v>
      </c>
      <c r="L56" t="s">
        <v>2125</v>
      </c>
      <c r="M56" s="5">
        <f t="shared" si="1"/>
        <v>13</v>
      </c>
      <c r="N56" t="str">
        <f t="shared" si="2"/>
        <v>January</v>
      </c>
      <c r="O56" t="str">
        <f t="shared" si="3"/>
        <v>Wednesday</v>
      </c>
      <c r="P56">
        <f t="shared" si="0"/>
        <v>13</v>
      </c>
      <c r="Q56" s="2">
        <f t="shared" si="4"/>
        <v>3</v>
      </c>
      <c r="R56" s="2">
        <f t="shared" si="5"/>
        <v>1</v>
      </c>
      <c r="S56">
        <f>SUMIF(Table1[product_category],"Bakery",Table1[Total_bill])</f>
        <v>2951.25</v>
      </c>
    </row>
    <row r="57" spans="1:19" x14ac:dyDescent="0.3">
      <c r="A57" s="2">
        <v>10056</v>
      </c>
      <c r="B57" s="4">
        <v>45687</v>
      </c>
      <c r="C57" t="s">
        <v>175</v>
      </c>
      <c r="D57" t="s">
        <v>25</v>
      </c>
      <c r="E57" t="s">
        <v>26</v>
      </c>
      <c r="F57" t="s">
        <v>176</v>
      </c>
      <c r="G57">
        <v>1</v>
      </c>
      <c r="H57" s="5">
        <v>2.25</v>
      </c>
      <c r="I57" t="s">
        <v>32</v>
      </c>
      <c r="J57" t="s">
        <v>43</v>
      </c>
      <c r="K57" t="s">
        <v>44</v>
      </c>
      <c r="L57" t="s">
        <v>2124</v>
      </c>
      <c r="M57" s="5">
        <f t="shared" si="1"/>
        <v>2.25</v>
      </c>
      <c r="N57" t="str">
        <f t="shared" si="2"/>
        <v>January</v>
      </c>
      <c r="O57" t="str">
        <f t="shared" si="3"/>
        <v>Thursday</v>
      </c>
      <c r="P57">
        <f t="shared" si="0"/>
        <v>18</v>
      </c>
      <c r="Q57" s="2">
        <f t="shared" si="4"/>
        <v>4</v>
      </c>
      <c r="R57" s="2">
        <f t="shared" si="5"/>
        <v>1</v>
      </c>
      <c r="S57">
        <f>SUMIF(Table1[product_category],"Bakery",Table1[Total_bill])</f>
        <v>2951.25</v>
      </c>
    </row>
    <row r="58" spans="1:19" x14ac:dyDescent="0.3">
      <c r="A58" s="2">
        <v>10057</v>
      </c>
      <c r="B58" s="4">
        <v>45688</v>
      </c>
      <c r="C58" t="s">
        <v>177</v>
      </c>
      <c r="D58" t="s">
        <v>18</v>
      </c>
      <c r="E58" t="s">
        <v>19</v>
      </c>
      <c r="F58" t="s">
        <v>178</v>
      </c>
      <c r="G58">
        <v>3</v>
      </c>
      <c r="H58" s="5">
        <v>4</v>
      </c>
      <c r="I58" t="s">
        <v>36</v>
      </c>
      <c r="J58" t="s">
        <v>110</v>
      </c>
      <c r="K58" t="s">
        <v>110</v>
      </c>
      <c r="L58" t="s">
        <v>2122</v>
      </c>
      <c r="M58" s="5">
        <f t="shared" si="1"/>
        <v>12</v>
      </c>
      <c r="N58" t="str">
        <f t="shared" si="2"/>
        <v>January</v>
      </c>
      <c r="O58" t="str">
        <f t="shared" si="3"/>
        <v>Friday</v>
      </c>
      <c r="P58">
        <f t="shared" si="0"/>
        <v>7</v>
      </c>
      <c r="Q58" s="2">
        <f t="shared" si="4"/>
        <v>5</v>
      </c>
      <c r="R58" s="2">
        <f t="shared" si="5"/>
        <v>1</v>
      </c>
      <c r="S58">
        <f>SUMIF(Table1[product_category],"Bakery",Table1[Total_bill])</f>
        <v>2951.25</v>
      </c>
    </row>
    <row r="59" spans="1:19" x14ac:dyDescent="0.3">
      <c r="A59" s="2">
        <v>10058</v>
      </c>
      <c r="B59" s="4">
        <v>45689</v>
      </c>
      <c r="C59" t="s">
        <v>179</v>
      </c>
      <c r="D59" t="s">
        <v>40</v>
      </c>
      <c r="E59" t="s">
        <v>41</v>
      </c>
      <c r="F59" t="s">
        <v>180</v>
      </c>
      <c r="G59">
        <v>2</v>
      </c>
      <c r="H59" s="5">
        <v>3</v>
      </c>
      <c r="I59" t="s">
        <v>21</v>
      </c>
      <c r="J59" t="s">
        <v>181</v>
      </c>
      <c r="K59" t="s">
        <v>182</v>
      </c>
      <c r="L59" t="s">
        <v>2125</v>
      </c>
      <c r="M59" s="5">
        <f t="shared" si="1"/>
        <v>6</v>
      </c>
      <c r="N59" t="str">
        <f t="shared" si="2"/>
        <v>February</v>
      </c>
      <c r="O59" t="str">
        <f t="shared" si="3"/>
        <v>Saturday</v>
      </c>
      <c r="P59">
        <f t="shared" si="0"/>
        <v>8</v>
      </c>
      <c r="Q59" s="2">
        <f t="shared" si="4"/>
        <v>6</v>
      </c>
      <c r="R59" s="2">
        <f t="shared" si="5"/>
        <v>2</v>
      </c>
      <c r="S59">
        <f>SUMIF(Table1[product_category],"Bakery",Table1[Total_bill])</f>
        <v>2951.25</v>
      </c>
    </row>
    <row r="60" spans="1:19" x14ac:dyDescent="0.3">
      <c r="A60" s="2">
        <v>10059</v>
      </c>
      <c r="B60" s="4">
        <v>45690</v>
      </c>
      <c r="C60" t="s">
        <v>183</v>
      </c>
      <c r="D60" t="s">
        <v>18</v>
      </c>
      <c r="E60" t="s">
        <v>19</v>
      </c>
      <c r="F60" t="s">
        <v>184</v>
      </c>
      <c r="G60">
        <v>1</v>
      </c>
      <c r="H60" s="5">
        <v>3.25</v>
      </c>
      <c r="I60" t="s">
        <v>21</v>
      </c>
      <c r="J60" t="s">
        <v>81</v>
      </c>
      <c r="K60" t="s">
        <v>113</v>
      </c>
      <c r="L60" t="s">
        <v>2125</v>
      </c>
      <c r="M60" s="5">
        <f t="shared" si="1"/>
        <v>3.25</v>
      </c>
      <c r="N60" t="str">
        <f t="shared" si="2"/>
        <v>February</v>
      </c>
      <c r="O60" t="str">
        <f t="shared" si="3"/>
        <v>Sunday</v>
      </c>
      <c r="P60">
        <f t="shared" si="0"/>
        <v>6</v>
      </c>
      <c r="Q60" s="2">
        <f t="shared" si="4"/>
        <v>7</v>
      </c>
      <c r="R60" s="2">
        <f t="shared" si="5"/>
        <v>2</v>
      </c>
      <c r="S60">
        <f>SUMIF(Table1[product_category],"Bakery",Table1[Total_bill])</f>
        <v>2951.25</v>
      </c>
    </row>
    <row r="61" spans="1:19" x14ac:dyDescent="0.3">
      <c r="A61" s="2">
        <v>10060</v>
      </c>
      <c r="B61" s="4">
        <v>45691</v>
      </c>
      <c r="C61" t="s">
        <v>185</v>
      </c>
      <c r="D61" t="s">
        <v>40</v>
      </c>
      <c r="E61" t="s">
        <v>41</v>
      </c>
      <c r="F61" t="s">
        <v>186</v>
      </c>
      <c r="G61">
        <v>3</v>
      </c>
      <c r="H61" s="5">
        <v>2.75</v>
      </c>
      <c r="I61" t="s">
        <v>32</v>
      </c>
      <c r="J61" t="s">
        <v>144</v>
      </c>
      <c r="K61" t="s">
        <v>144</v>
      </c>
      <c r="L61" t="s">
        <v>2122</v>
      </c>
      <c r="M61" s="5">
        <f t="shared" si="1"/>
        <v>8.25</v>
      </c>
      <c r="N61" t="str">
        <f t="shared" si="2"/>
        <v>February</v>
      </c>
      <c r="O61" t="str">
        <f t="shared" si="3"/>
        <v>Monday</v>
      </c>
      <c r="P61">
        <f t="shared" si="0"/>
        <v>9</v>
      </c>
      <c r="Q61" s="2">
        <f t="shared" si="4"/>
        <v>1</v>
      </c>
      <c r="R61" s="2">
        <f t="shared" si="5"/>
        <v>2</v>
      </c>
      <c r="S61">
        <f>SUMIF(Table1[product_category],"Bakery",Table1[Total_bill])</f>
        <v>2951.25</v>
      </c>
    </row>
    <row r="62" spans="1:19" x14ac:dyDescent="0.3">
      <c r="A62" s="2">
        <v>10061</v>
      </c>
      <c r="B62" s="4">
        <v>45692</v>
      </c>
      <c r="C62" t="s">
        <v>187</v>
      </c>
      <c r="D62" t="s">
        <v>18</v>
      </c>
      <c r="E62" t="s">
        <v>19</v>
      </c>
      <c r="F62" t="s">
        <v>188</v>
      </c>
      <c r="G62">
        <v>2</v>
      </c>
      <c r="H62" s="5">
        <v>8</v>
      </c>
      <c r="I62" t="s">
        <v>28</v>
      </c>
      <c r="J62" t="s">
        <v>28</v>
      </c>
      <c r="K62" t="s">
        <v>76</v>
      </c>
      <c r="L62" t="s">
        <v>2125</v>
      </c>
      <c r="M62" s="5">
        <f t="shared" si="1"/>
        <v>16</v>
      </c>
      <c r="N62" t="str">
        <f t="shared" si="2"/>
        <v>February</v>
      </c>
      <c r="O62" t="str">
        <f t="shared" si="3"/>
        <v>Tuesday</v>
      </c>
      <c r="P62">
        <f t="shared" si="0"/>
        <v>10</v>
      </c>
      <c r="Q62" s="2">
        <f t="shared" si="4"/>
        <v>2</v>
      </c>
      <c r="R62" s="2">
        <f t="shared" si="5"/>
        <v>2</v>
      </c>
      <c r="S62">
        <f>SUMIF(Table1[product_category],"Bakery",Table1[Total_bill])</f>
        <v>2951.25</v>
      </c>
    </row>
    <row r="63" spans="1:19" x14ac:dyDescent="0.3">
      <c r="A63" s="2">
        <v>10062</v>
      </c>
      <c r="B63" s="4">
        <v>45693</v>
      </c>
      <c r="C63" t="s">
        <v>189</v>
      </c>
      <c r="D63" t="s">
        <v>25</v>
      </c>
      <c r="E63" t="s">
        <v>26</v>
      </c>
      <c r="F63" t="s">
        <v>190</v>
      </c>
      <c r="G63">
        <v>2</v>
      </c>
      <c r="H63" s="5">
        <v>2.5</v>
      </c>
      <c r="I63" t="s">
        <v>21</v>
      </c>
      <c r="J63" t="s">
        <v>47</v>
      </c>
      <c r="K63" t="s">
        <v>48</v>
      </c>
      <c r="L63" t="s">
        <v>2125</v>
      </c>
      <c r="M63" s="5">
        <f t="shared" si="1"/>
        <v>5</v>
      </c>
      <c r="N63" t="str">
        <f t="shared" si="2"/>
        <v>February</v>
      </c>
      <c r="O63" t="str">
        <f t="shared" si="3"/>
        <v>Wednesday</v>
      </c>
      <c r="P63">
        <f t="shared" si="0"/>
        <v>9</v>
      </c>
      <c r="Q63" s="2">
        <f t="shared" si="4"/>
        <v>3</v>
      </c>
      <c r="R63" s="2">
        <f t="shared" si="5"/>
        <v>2</v>
      </c>
      <c r="S63">
        <f>SUMIF(Table1[product_category],"Bakery",Table1[Total_bill])</f>
        <v>2951.25</v>
      </c>
    </row>
    <row r="64" spans="1:19" x14ac:dyDescent="0.3">
      <c r="A64" s="2">
        <v>10063</v>
      </c>
      <c r="B64" s="4">
        <v>45694</v>
      </c>
      <c r="C64" t="s">
        <v>191</v>
      </c>
      <c r="D64" t="s">
        <v>40</v>
      </c>
      <c r="E64" t="s">
        <v>41</v>
      </c>
      <c r="F64" t="s">
        <v>192</v>
      </c>
      <c r="G64">
        <v>4</v>
      </c>
      <c r="H64" s="5">
        <v>14</v>
      </c>
      <c r="I64" t="s">
        <v>101</v>
      </c>
      <c r="J64" t="s">
        <v>102</v>
      </c>
      <c r="K64" t="s">
        <v>193</v>
      </c>
      <c r="L64" t="s">
        <v>2125</v>
      </c>
      <c r="M64" s="5">
        <f t="shared" si="1"/>
        <v>56</v>
      </c>
      <c r="N64" t="str">
        <f t="shared" si="2"/>
        <v>February</v>
      </c>
      <c r="O64" t="str">
        <f t="shared" si="3"/>
        <v>Thursday</v>
      </c>
      <c r="P64">
        <f t="shared" si="0"/>
        <v>16</v>
      </c>
      <c r="Q64" s="2">
        <f t="shared" si="4"/>
        <v>4</v>
      </c>
      <c r="R64" s="2">
        <f t="shared" si="5"/>
        <v>2</v>
      </c>
      <c r="S64">
        <f>SUMIF(Table1[product_category],"Bakery",Table1[Total_bill])</f>
        <v>2951.25</v>
      </c>
    </row>
    <row r="65" spans="1:19" x14ac:dyDescent="0.3">
      <c r="A65" s="2">
        <v>10064</v>
      </c>
      <c r="B65" s="4">
        <v>45695</v>
      </c>
      <c r="C65" t="s">
        <v>194</v>
      </c>
      <c r="D65" t="s">
        <v>25</v>
      </c>
      <c r="E65" t="s">
        <v>26</v>
      </c>
      <c r="F65" t="s">
        <v>195</v>
      </c>
      <c r="G65">
        <v>4</v>
      </c>
      <c r="H65" s="5">
        <v>4.5</v>
      </c>
      <c r="I65" t="s">
        <v>32</v>
      </c>
      <c r="J65" t="s">
        <v>33</v>
      </c>
      <c r="K65" t="s">
        <v>33</v>
      </c>
      <c r="L65" t="s">
        <v>2123</v>
      </c>
      <c r="M65" s="5">
        <f t="shared" si="1"/>
        <v>18</v>
      </c>
      <c r="N65" t="str">
        <f t="shared" si="2"/>
        <v>February</v>
      </c>
      <c r="O65" t="str">
        <f t="shared" si="3"/>
        <v>Friday</v>
      </c>
      <c r="P65">
        <f t="shared" si="0"/>
        <v>10</v>
      </c>
      <c r="Q65" s="2">
        <f t="shared" si="4"/>
        <v>5</v>
      </c>
      <c r="R65" s="2">
        <f t="shared" si="5"/>
        <v>2</v>
      </c>
      <c r="S65">
        <f>SUMIF(Table1[product_category],"Bakery",Table1[Total_bill])</f>
        <v>2951.25</v>
      </c>
    </row>
    <row r="66" spans="1:19" x14ac:dyDescent="0.3">
      <c r="A66" s="2">
        <v>10065</v>
      </c>
      <c r="B66" s="4">
        <v>45696</v>
      </c>
      <c r="C66" t="s">
        <v>196</v>
      </c>
      <c r="D66" t="s">
        <v>40</v>
      </c>
      <c r="E66" t="s">
        <v>41</v>
      </c>
      <c r="F66" t="s">
        <v>197</v>
      </c>
      <c r="G66">
        <v>2</v>
      </c>
      <c r="H66" s="5">
        <v>4.75</v>
      </c>
      <c r="I66" t="s">
        <v>32</v>
      </c>
      <c r="J66" t="s">
        <v>122</v>
      </c>
      <c r="K66" t="s">
        <v>122</v>
      </c>
      <c r="L66" t="s">
        <v>2123</v>
      </c>
      <c r="M66" s="5">
        <f t="shared" si="1"/>
        <v>9.5</v>
      </c>
      <c r="N66" t="str">
        <f t="shared" si="2"/>
        <v>February</v>
      </c>
      <c r="O66" t="str">
        <f t="shared" si="3"/>
        <v>Saturday</v>
      </c>
      <c r="P66">
        <f t="shared" ref="P66:P129" si="6">HOUR(TIMEVALUE(C66))</f>
        <v>9</v>
      </c>
      <c r="Q66" s="2">
        <f t="shared" si="4"/>
        <v>6</v>
      </c>
      <c r="R66" s="2">
        <f t="shared" si="5"/>
        <v>2</v>
      </c>
      <c r="S66">
        <f>SUMIF(Table1[product_category],"Bakery",Table1[Total_bill])</f>
        <v>2951.25</v>
      </c>
    </row>
    <row r="67" spans="1:19" x14ac:dyDescent="0.3">
      <c r="A67" s="2">
        <v>10066</v>
      </c>
      <c r="B67" s="4">
        <v>45697</v>
      </c>
      <c r="C67" t="s">
        <v>198</v>
      </c>
      <c r="D67" t="s">
        <v>40</v>
      </c>
      <c r="E67" t="s">
        <v>41</v>
      </c>
      <c r="F67" t="s">
        <v>199</v>
      </c>
      <c r="G67">
        <v>1</v>
      </c>
      <c r="H67" s="5">
        <v>8</v>
      </c>
      <c r="I67" t="s">
        <v>28</v>
      </c>
      <c r="J67" t="s">
        <v>28</v>
      </c>
      <c r="K67" t="s">
        <v>76</v>
      </c>
      <c r="L67" t="s">
        <v>2125</v>
      </c>
      <c r="M67" s="5">
        <f t="shared" ref="M67:M130" si="7">G67*H67</f>
        <v>8</v>
      </c>
      <c r="N67" t="str">
        <f t="shared" ref="N67:N130" si="8">TEXT(B67,"mmmm")</f>
        <v>February</v>
      </c>
      <c r="O67" t="str">
        <f t="shared" ref="O67:O130" si="9">TEXT(B67,"dddd")</f>
        <v>Sunday</v>
      </c>
      <c r="P67">
        <f t="shared" si="6"/>
        <v>12</v>
      </c>
      <c r="Q67" s="2">
        <f t="shared" ref="Q67:Q130" si="10">WEEKDAY(B67,2)</f>
        <v>7</v>
      </c>
      <c r="R67" s="2">
        <f t="shared" ref="R67:R130" si="11">MONTH(B67)</f>
        <v>2</v>
      </c>
      <c r="S67">
        <f>SUMIF(Table1[product_category],"Bakery",Table1[Total_bill])</f>
        <v>2951.25</v>
      </c>
    </row>
    <row r="68" spans="1:19" x14ac:dyDescent="0.3">
      <c r="A68" s="2">
        <v>10067</v>
      </c>
      <c r="B68" s="4">
        <v>45698</v>
      </c>
      <c r="C68" t="s">
        <v>200</v>
      </c>
      <c r="D68" t="s">
        <v>18</v>
      </c>
      <c r="E68" t="s">
        <v>19</v>
      </c>
      <c r="F68" t="s">
        <v>201</v>
      </c>
      <c r="G68">
        <v>3</v>
      </c>
      <c r="H68" s="5">
        <v>4.25</v>
      </c>
      <c r="I68" t="s">
        <v>32</v>
      </c>
      <c r="J68" t="s">
        <v>202</v>
      </c>
      <c r="K68" t="s">
        <v>202</v>
      </c>
      <c r="L68" t="s">
        <v>2124</v>
      </c>
      <c r="M68" s="5">
        <f t="shared" si="7"/>
        <v>12.75</v>
      </c>
      <c r="N68" t="str">
        <f t="shared" si="8"/>
        <v>February</v>
      </c>
      <c r="O68" t="str">
        <f t="shared" si="9"/>
        <v>Monday</v>
      </c>
      <c r="P68">
        <f t="shared" si="6"/>
        <v>7</v>
      </c>
      <c r="Q68" s="2">
        <f t="shared" si="10"/>
        <v>1</v>
      </c>
      <c r="R68" s="2">
        <f t="shared" si="11"/>
        <v>2</v>
      </c>
      <c r="S68">
        <f>SUMIF(Table1[product_category],"Bakery",Table1[Total_bill])</f>
        <v>2951.25</v>
      </c>
    </row>
    <row r="69" spans="1:19" x14ac:dyDescent="0.3">
      <c r="A69" s="2">
        <v>10068</v>
      </c>
      <c r="B69" s="4">
        <v>45699</v>
      </c>
      <c r="C69" t="s">
        <v>203</v>
      </c>
      <c r="D69" t="s">
        <v>40</v>
      </c>
      <c r="E69" t="s">
        <v>41</v>
      </c>
      <c r="F69" t="s">
        <v>204</v>
      </c>
      <c r="G69">
        <v>3</v>
      </c>
      <c r="H69" s="5">
        <v>4</v>
      </c>
      <c r="I69" t="s">
        <v>32</v>
      </c>
      <c r="J69" t="s">
        <v>122</v>
      </c>
      <c r="K69" t="s">
        <v>122</v>
      </c>
      <c r="L69" t="s">
        <v>2124</v>
      </c>
      <c r="M69" s="5">
        <f t="shared" si="7"/>
        <v>12</v>
      </c>
      <c r="N69" t="str">
        <f t="shared" si="8"/>
        <v>February</v>
      </c>
      <c r="O69" t="str">
        <f t="shared" si="9"/>
        <v>Tuesday</v>
      </c>
      <c r="P69">
        <f t="shared" si="6"/>
        <v>16</v>
      </c>
      <c r="Q69" s="2">
        <f t="shared" si="10"/>
        <v>2</v>
      </c>
      <c r="R69" s="2">
        <f t="shared" si="11"/>
        <v>2</v>
      </c>
      <c r="S69">
        <f>SUMIF(Table1[product_category],"Bakery",Table1[Total_bill])</f>
        <v>2951.25</v>
      </c>
    </row>
    <row r="70" spans="1:19" x14ac:dyDescent="0.3">
      <c r="A70" s="2">
        <v>10069</v>
      </c>
      <c r="B70" s="4">
        <v>45700</v>
      </c>
      <c r="C70" t="s">
        <v>205</v>
      </c>
      <c r="D70" t="s">
        <v>25</v>
      </c>
      <c r="E70" t="s">
        <v>26</v>
      </c>
      <c r="F70" t="s">
        <v>206</v>
      </c>
      <c r="G70">
        <v>2</v>
      </c>
      <c r="H70" s="5">
        <v>3.5</v>
      </c>
      <c r="I70" t="s">
        <v>21</v>
      </c>
      <c r="J70" t="s">
        <v>51</v>
      </c>
      <c r="K70" t="s">
        <v>52</v>
      </c>
      <c r="L70" t="s">
        <v>2125</v>
      </c>
      <c r="M70" s="5">
        <f t="shared" si="7"/>
        <v>7</v>
      </c>
      <c r="N70" t="str">
        <f t="shared" si="8"/>
        <v>February</v>
      </c>
      <c r="O70" t="str">
        <f t="shared" si="9"/>
        <v>Wednesday</v>
      </c>
      <c r="P70">
        <f t="shared" si="6"/>
        <v>7</v>
      </c>
      <c r="Q70" s="2">
        <f t="shared" si="10"/>
        <v>3</v>
      </c>
      <c r="R70" s="2">
        <f t="shared" si="11"/>
        <v>2</v>
      </c>
      <c r="S70">
        <f>SUMIF(Table1[product_category],"Bakery",Table1[Total_bill])</f>
        <v>2951.25</v>
      </c>
    </row>
    <row r="71" spans="1:19" x14ac:dyDescent="0.3">
      <c r="A71" s="2">
        <v>10070</v>
      </c>
      <c r="B71" s="4">
        <v>45701</v>
      </c>
      <c r="C71" t="s">
        <v>207</v>
      </c>
      <c r="D71" t="s">
        <v>25</v>
      </c>
      <c r="E71" t="s">
        <v>26</v>
      </c>
      <c r="F71" t="s">
        <v>208</v>
      </c>
      <c r="G71">
        <v>4</v>
      </c>
      <c r="H71" s="5">
        <v>3.5</v>
      </c>
      <c r="I71" t="s">
        <v>21</v>
      </c>
      <c r="J71" t="s">
        <v>51</v>
      </c>
      <c r="K71" t="s">
        <v>52</v>
      </c>
      <c r="L71" t="s">
        <v>2125</v>
      </c>
      <c r="M71" s="5">
        <f t="shared" si="7"/>
        <v>14</v>
      </c>
      <c r="N71" t="str">
        <f t="shared" si="8"/>
        <v>February</v>
      </c>
      <c r="O71" t="str">
        <f t="shared" si="9"/>
        <v>Thursday</v>
      </c>
      <c r="P71">
        <f t="shared" si="6"/>
        <v>20</v>
      </c>
      <c r="Q71" s="2">
        <f t="shared" si="10"/>
        <v>4</v>
      </c>
      <c r="R71" s="2">
        <f t="shared" si="11"/>
        <v>2</v>
      </c>
      <c r="S71">
        <f>SUMIF(Table1[product_category],"Bakery",Table1[Total_bill])</f>
        <v>2951.25</v>
      </c>
    </row>
    <row r="72" spans="1:19" x14ac:dyDescent="0.3">
      <c r="A72" s="2">
        <v>10071</v>
      </c>
      <c r="B72" s="4">
        <v>45702</v>
      </c>
      <c r="C72" t="s">
        <v>209</v>
      </c>
      <c r="D72" t="s">
        <v>25</v>
      </c>
      <c r="E72" t="s">
        <v>26</v>
      </c>
      <c r="F72" t="s">
        <v>210</v>
      </c>
      <c r="G72">
        <v>4</v>
      </c>
      <c r="H72" s="5">
        <v>3.25</v>
      </c>
      <c r="I72" t="s">
        <v>36</v>
      </c>
      <c r="J72" t="s">
        <v>211</v>
      </c>
      <c r="K72" t="s">
        <v>212</v>
      </c>
      <c r="L72" t="s">
        <v>2122</v>
      </c>
      <c r="M72" s="5">
        <f t="shared" si="7"/>
        <v>13</v>
      </c>
      <c r="N72" t="str">
        <f t="shared" si="8"/>
        <v>February</v>
      </c>
      <c r="O72" t="str">
        <f t="shared" si="9"/>
        <v>Friday</v>
      </c>
      <c r="P72">
        <f t="shared" si="6"/>
        <v>15</v>
      </c>
      <c r="Q72" s="2">
        <f t="shared" si="10"/>
        <v>5</v>
      </c>
      <c r="R72" s="2">
        <f t="shared" si="11"/>
        <v>2</v>
      </c>
      <c r="S72">
        <f>SUMIF(Table1[product_category],"Bakery",Table1[Total_bill])</f>
        <v>2951.25</v>
      </c>
    </row>
    <row r="73" spans="1:19" x14ac:dyDescent="0.3">
      <c r="A73" s="2">
        <v>10072</v>
      </c>
      <c r="B73" s="4">
        <v>45703</v>
      </c>
      <c r="C73" t="s">
        <v>213</v>
      </c>
      <c r="D73" t="s">
        <v>40</v>
      </c>
      <c r="E73" t="s">
        <v>41</v>
      </c>
      <c r="F73" t="s">
        <v>214</v>
      </c>
      <c r="G73">
        <v>2</v>
      </c>
      <c r="H73" s="5">
        <v>11</v>
      </c>
      <c r="I73" t="s">
        <v>98</v>
      </c>
      <c r="J73" t="s">
        <v>98</v>
      </c>
      <c r="K73" t="s">
        <v>215</v>
      </c>
      <c r="L73" t="s">
        <v>2125</v>
      </c>
      <c r="M73" s="5">
        <f t="shared" si="7"/>
        <v>22</v>
      </c>
      <c r="N73" t="str">
        <f t="shared" si="8"/>
        <v>February</v>
      </c>
      <c r="O73" t="str">
        <f t="shared" si="9"/>
        <v>Saturday</v>
      </c>
      <c r="P73">
        <f t="shared" si="6"/>
        <v>8</v>
      </c>
      <c r="Q73" s="2">
        <f t="shared" si="10"/>
        <v>6</v>
      </c>
      <c r="R73" s="2">
        <f t="shared" si="11"/>
        <v>2</v>
      </c>
      <c r="S73">
        <f>SUMIF(Table1[product_category],"Bakery",Table1[Total_bill])</f>
        <v>2951.25</v>
      </c>
    </row>
    <row r="74" spans="1:19" x14ac:dyDescent="0.3">
      <c r="A74" s="2">
        <v>10073</v>
      </c>
      <c r="B74" s="4">
        <v>45704</v>
      </c>
      <c r="C74" t="s">
        <v>216</v>
      </c>
      <c r="D74" t="s">
        <v>18</v>
      </c>
      <c r="E74" t="s">
        <v>19</v>
      </c>
      <c r="F74" t="s">
        <v>217</v>
      </c>
      <c r="G74">
        <v>1</v>
      </c>
      <c r="H74" s="5">
        <v>3.25</v>
      </c>
      <c r="I74" t="s">
        <v>32</v>
      </c>
      <c r="J74" t="s">
        <v>144</v>
      </c>
      <c r="K74" t="s">
        <v>144</v>
      </c>
      <c r="L74" t="s">
        <v>2124</v>
      </c>
      <c r="M74" s="5">
        <f t="shared" si="7"/>
        <v>3.25</v>
      </c>
      <c r="N74" t="str">
        <f t="shared" si="8"/>
        <v>February</v>
      </c>
      <c r="O74" t="str">
        <f t="shared" si="9"/>
        <v>Sunday</v>
      </c>
      <c r="P74">
        <f t="shared" si="6"/>
        <v>6</v>
      </c>
      <c r="Q74" s="2">
        <f t="shared" si="10"/>
        <v>7</v>
      </c>
      <c r="R74" s="2">
        <f t="shared" si="11"/>
        <v>2</v>
      </c>
      <c r="S74">
        <f>SUMIF(Table1[product_category],"Bakery",Table1[Total_bill])</f>
        <v>2951.25</v>
      </c>
    </row>
    <row r="75" spans="1:19" x14ac:dyDescent="0.3">
      <c r="A75" s="2">
        <v>10074</v>
      </c>
      <c r="B75" s="4">
        <v>45705</v>
      </c>
      <c r="C75" t="s">
        <v>218</v>
      </c>
      <c r="D75" t="s">
        <v>40</v>
      </c>
      <c r="E75" t="s">
        <v>41</v>
      </c>
      <c r="F75" t="s">
        <v>219</v>
      </c>
      <c r="G75">
        <v>3</v>
      </c>
      <c r="H75" s="5">
        <v>3.5</v>
      </c>
      <c r="I75" t="s">
        <v>21</v>
      </c>
      <c r="J75" t="s">
        <v>51</v>
      </c>
      <c r="K75" t="s">
        <v>52</v>
      </c>
      <c r="L75" t="s">
        <v>2125</v>
      </c>
      <c r="M75" s="5">
        <f t="shared" si="7"/>
        <v>10.5</v>
      </c>
      <c r="N75" t="str">
        <f t="shared" si="8"/>
        <v>February</v>
      </c>
      <c r="O75" t="str">
        <f t="shared" si="9"/>
        <v>Monday</v>
      </c>
      <c r="P75">
        <f t="shared" si="6"/>
        <v>16</v>
      </c>
      <c r="Q75" s="2">
        <f t="shared" si="10"/>
        <v>1</v>
      </c>
      <c r="R75" s="2">
        <f t="shared" si="11"/>
        <v>2</v>
      </c>
      <c r="S75">
        <f>SUMIF(Table1[product_category],"Bakery",Table1[Total_bill])</f>
        <v>2951.25</v>
      </c>
    </row>
    <row r="76" spans="1:19" x14ac:dyDescent="0.3">
      <c r="A76" s="2">
        <v>10075</v>
      </c>
      <c r="B76" s="4">
        <v>45706</v>
      </c>
      <c r="C76" t="s">
        <v>220</v>
      </c>
      <c r="D76" t="s">
        <v>18</v>
      </c>
      <c r="E76" t="s">
        <v>19</v>
      </c>
      <c r="F76" t="s">
        <v>221</v>
      </c>
      <c r="G76">
        <v>3</v>
      </c>
      <c r="H76" s="5">
        <v>3</v>
      </c>
      <c r="I76" t="s">
        <v>36</v>
      </c>
      <c r="J76" t="s">
        <v>37</v>
      </c>
      <c r="K76" t="s">
        <v>38</v>
      </c>
      <c r="L76" t="s">
        <v>2124</v>
      </c>
      <c r="M76" s="5">
        <f t="shared" si="7"/>
        <v>9</v>
      </c>
      <c r="N76" t="str">
        <f t="shared" si="8"/>
        <v>February</v>
      </c>
      <c r="O76" t="str">
        <f t="shared" si="9"/>
        <v>Tuesday</v>
      </c>
      <c r="P76">
        <f t="shared" si="6"/>
        <v>14</v>
      </c>
      <c r="Q76" s="2">
        <f t="shared" si="10"/>
        <v>2</v>
      </c>
      <c r="R76" s="2">
        <f t="shared" si="11"/>
        <v>2</v>
      </c>
      <c r="S76">
        <f>SUMIF(Table1[product_category],"Bakery",Table1[Total_bill])</f>
        <v>2951.25</v>
      </c>
    </row>
    <row r="77" spans="1:19" x14ac:dyDescent="0.3">
      <c r="A77" s="2">
        <v>10076</v>
      </c>
      <c r="B77" s="4">
        <v>45707</v>
      </c>
      <c r="C77" t="s">
        <v>222</v>
      </c>
      <c r="D77" t="s">
        <v>40</v>
      </c>
      <c r="E77" t="s">
        <v>41</v>
      </c>
      <c r="F77" t="s">
        <v>223</v>
      </c>
      <c r="G77">
        <v>4</v>
      </c>
      <c r="H77" s="5">
        <v>3.5</v>
      </c>
      <c r="I77" t="s">
        <v>21</v>
      </c>
      <c r="J77" t="s">
        <v>51</v>
      </c>
      <c r="K77" t="s">
        <v>52</v>
      </c>
      <c r="L77" t="s">
        <v>2125</v>
      </c>
      <c r="M77" s="5">
        <f t="shared" si="7"/>
        <v>14</v>
      </c>
      <c r="N77" t="str">
        <f t="shared" si="8"/>
        <v>February</v>
      </c>
      <c r="O77" t="str">
        <f t="shared" si="9"/>
        <v>Wednesday</v>
      </c>
      <c r="P77">
        <f t="shared" si="6"/>
        <v>15</v>
      </c>
      <c r="Q77" s="2">
        <f t="shared" si="10"/>
        <v>3</v>
      </c>
      <c r="R77" s="2">
        <f t="shared" si="11"/>
        <v>2</v>
      </c>
      <c r="S77">
        <f>SUMIF(Table1[product_category],"Bakery",Table1[Total_bill])</f>
        <v>2951.25</v>
      </c>
    </row>
    <row r="78" spans="1:19" x14ac:dyDescent="0.3">
      <c r="A78" s="2">
        <v>10077</v>
      </c>
      <c r="B78" s="4">
        <v>45708</v>
      </c>
      <c r="C78" t="s">
        <v>224</v>
      </c>
      <c r="D78" t="s">
        <v>40</v>
      </c>
      <c r="E78" t="s">
        <v>41</v>
      </c>
      <c r="F78" t="s">
        <v>225</v>
      </c>
      <c r="G78">
        <v>3</v>
      </c>
      <c r="H78" s="5">
        <v>2.5</v>
      </c>
      <c r="I78" t="s">
        <v>32</v>
      </c>
      <c r="J78" t="s">
        <v>226</v>
      </c>
      <c r="K78" t="s">
        <v>227</v>
      </c>
      <c r="L78" t="s">
        <v>2122</v>
      </c>
      <c r="M78" s="5">
        <f t="shared" si="7"/>
        <v>7.5</v>
      </c>
      <c r="N78" t="str">
        <f t="shared" si="8"/>
        <v>February</v>
      </c>
      <c r="O78" t="str">
        <f t="shared" si="9"/>
        <v>Thursday</v>
      </c>
      <c r="P78">
        <f t="shared" si="6"/>
        <v>15</v>
      </c>
      <c r="Q78" s="2">
        <f t="shared" si="10"/>
        <v>4</v>
      </c>
      <c r="R78" s="2">
        <f t="shared" si="11"/>
        <v>2</v>
      </c>
      <c r="S78">
        <f>SUMIF(Table1[product_category],"Bakery",Table1[Total_bill])</f>
        <v>2951.25</v>
      </c>
    </row>
    <row r="79" spans="1:19" x14ac:dyDescent="0.3">
      <c r="A79" s="2">
        <v>10078</v>
      </c>
      <c r="B79" s="4">
        <v>45709</v>
      </c>
      <c r="C79" t="s">
        <v>228</v>
      </c>
      <c r="D79" t="s">
        <v>25</v>
      </c>
      <c r="E79" t="s">
        <v>26</v>
      </c>
      <c r="F79" t="s">
        <v>229</v>
      </c>
      <c r="G79">
        <v>4</v>
      </c>
      <c r="H79" s="5">
        <v>3.75</v>
      </c>
      <c r="I79" t="s">
        <v>32</v>
      </c>
      <c r="J79" t="s">
        <v>144</v>
      </c>
      <c r="K79" t="s">
        <v>144</v>
      </c>
      <c r="L79" t="s">
        <v>2123</v>
      </c>
      <c r="M79" s="5">
        <f t="shared" si="7"/>
        <v>15</v>
      </c>
      <c r="N79" t="str">
        <f t="shared" si="8"/>
        <v>February</v>
      </c>
      <c r="O79" t="str">
        <f t="shared" si="9"/>
        <v>Friday</v>
      </c>
      <c r="P79">
        <f t="shared" si="6"/>
        <v>7</v>
      </c>
      <c r="Q79" s="2">
        <f t="shared" si="10"/>
        <v>5</v>
      </c>
      <c r="R79" s="2">
        <f t="shared" si="11"/>
        <v>2</v>
      </c>
      <c r="S79">
        <f>SUMIF(Table1[product_category],"Bakery",Table1[Total_bill])</f>
        <v>2951.25</v>
      </c>
    </row>
    <row r="80" spans="1:19" x14ac:dyDescent="0.3">
      <c r="A80" s="2">
        <v>10079</v>
      </c>
      <c r="B80" s="4">
        <v>45710</v>
      </c>
      <c r="C80" t="s">
        <v>230</v>
      </c>
      <c r="D80" t="s">
        <v>40</v>
      </c>
      <c r="E80" t="s">
        <v>41</v>
      </c>
      <c r="F80" t="s">
        <v>231</v>
      </c>
      <c r="G80">
        <v>1</v>
      </c>
      <c r="H80" s="5">
        <v>13</v>
      </c>
      <c r="I80" t="s">
        <v>98</v>
      </c>
      <c r="J80" t="s">
        <v>98</v>
      </c>
      <c r="K80" t="s">
        <v>95</v>
      </c>
      <c r="L80" t="s">
        <v>2125</v>
      </c>
      <c r="M80" s="5">
        <f t="shared" si="7"/>
        <v>13</v>
      </c>
      <c r="N80" t="str">
        <f t="shared" si="8"/>
        <v>February</v>
      </c>
      <c r="O80" t="str">
        <f t="shared" si="9"/>
        <v>Saturday</v>
      </c>
      <c r="P80">
        <f t="shared" si="6"/>
        <v>10</v>
      </c>
      <c r="Q80" s="2">
        <f t="shared" si="10"/>
        <v>6</v>
      </c>
      <c r="R80" s="2">
        <f t="shared" si="11"/>
        <v>2</v>
      </c>
      <c r="S80">
        <f>SUMIF(Table1[product_category],"Bakery",Table1[Total_bill])</f>
        <v>2951.25</v>
      </c>
    </row>
    <row r="81" spans="1:19" x14ac:dyDescent="0.3">
      <c r="A81" s="2">
        <v>10080</v>
      </c>
      <c r="B81" s="4">
        <v>45711</v>
      </c>
      <c r="C81" t="s">
        <v>232</v>
      </c>
      <c r="D81" t="s">
        <v>25</v>
      </c>
      <c r="E81" t="s">
        <v>26</v>
      </c>
      <c r="F81" t="s">
        <v>233</v>
      </c>
      <c r="G81">
        <v>4</v>
      </c>
      <c r="H81" s="5">
        <v>4</v>
      </c>
      <c r="I81" t="s">
        <v>36</v>
      </c>
      <c r="J81" t="s">
        <v>110</v>
      </c>
      <c r="K81" t="s">
        <v>110</v>
      </c>
      <c r="L81" t="s">
        <v>2122</v>
      </c>
      <c r="M81" s="5">
        <f t="shared" si="7"/>
        <v>16</v>
      </c>
      <c r="N81" t="str">
        <f t="shared" si="8"/>
        <v>February</v>
      </c>
      <c r="O81" t="str">
        <f t="shared" si="9"/>
        <v>Sunday</v>
      </c>
      <c r="P81">
        <f t="shared" si="6"/>
        <v>7</v>
      </c>
      <c r="Q81" s="2">
        <f t="shared" si="10"/>
        <v>7</v>
      </c>
      <c r="R81" s="2">
        <f t="shared" si="11"/>
        <v>2</v>
      </c>
      <c r="S81">
        <f>SUMIF(Table1[product_category],"Bakery",Table1[Total_bill])</f>
        <v>2951.25</v>
      </c>
    </row>
    <row r="82" spans="1:19" x14ac:dyDescent="0.3">
      <c r="A82" s="2">
        <v>10081</v>
      </c>
      <c r="B82" s="4">
        <v>45712</v>
      </c>
      <c r="C82" t="s">
        <v>234</v>
      </c>
      <c r="D82" t="s">
        <v>18</v>
      </c>
      <c r="E82" t="s">
        <v>19</v>
      </c>
      <c r="F82" t="s">
        <v>20</v>
      </c>
      <c r="G82">
        <v>4</v>
      </c>
      <c r="H82" s="5">
        <v>3</v>
      </c>
      <c r="I82" t="s">
        <v>36</v>
      </c>
      <c r="J82" t="s">
        <v>37</v>
      </c>
      <c r="K82" t="s">
        <v>38</v>
      </c>
      <c r="L82" t="s">
        <v>2124</v>
      </c>
      <c r="M82" s="5">
        <f t="shared" si="7"/>
        <v>12</v>
      </c>
      <c r="N82" t="str">
        <f t="shared" si="8"/>
        <v>February</v>
      </c>
      <c r="O82" t="str">
        <f t="shared" si="9"/>
        <v>Monday</v>
      </c>
      <c r="P82">
        <f t="shared" si="6"/>
        <v>17</v>
      </c>
      <c r="Q82" s="2">
        <f t="shared" si="10"/>
        <v>1</v>
      </c>
      <c r="R82" s="2">
        <f t="shared" si="11"/>
        <v>2</v>
      </c>
      <c r="S82">
        <f>SUMIF(Table1[product_category],"Bakery",Table1[Total_bill])</f>
        <v>2951.25</v>
      </c>
    </row>
    <row r="83" spans="1:19" x14ac:dyDescent="0.3">
      <c r="A83" s="2">
        <v>10082</v>
      </c>
      <c r="B83" s="4">
        <v>45713</v>
      </c>
      <c r="C83" t="s">
        <v>235</v>
      </c>
      <c r="D83" t="s">
        <v>40</v>
      </c>
      <c r="E83" t="s">
        <v>41</v>
      </c>
      <c r="F83" t="s">
        <v>27</v>
      </c>
      <c r="G83">
        <v>1</v>
      </c>
      <c r="H83" s="5">
        <v>3.25</v>
      </c>
      <c r="I83" t="s">
        <v>21</v>
      </c>
      <c r="J83" t="s">
        <v>81</v>
      </c>
      <c r="K83" t="s">
        <v>82</v>
      </c>
      <c r="L83" t="s">
        <v>2125</v>
      </c>
      <c r="M83" s="5">
        <f t="shared" si="7"/>
        <v>3.25</v>
      </c>
      <c r="N83" t="str">
        <f t="shared" si="8"/>
        <v>February</v>
      </c>
      <c r="O83" t="str">
        <f t="shared" si="9"/>
        <v>Tuesday</v>
      </c>
      <c r="P83">
        <f t="shared" si="6"/>
        <v>13</v>
      </c>
      <c r="Q83" s="2">
        <f t="shared" si="10"/>
        <v>2</v>
      </c>
      <c r="R83" s="2">
        <f t="shared" si="11"/>
        <v>2</v>
      </c>
      <c r="S83">
        <f>SUMIF(Table1[product_category],"Bakery",Table1[Total_bill])</f>
        <v>2951.25</v>
      </c>
    </row>
    <row r="84" spans="1:19" x14ac:dyDescent="0.3">
      <c r="A84" s="2">
        <v>10083</v>
      </c>
      <c r="B84" s="4">
        <v>45714</v>
      </c>
      <c r="C84" t="s">
        <v>236</v>
      </c>
      <c r="D84" t="s">
        <v>18</v>
      </c>
      <c r="E84" t="s">
        <v>19</v>
      </c>
      <c r="F84" t="s">
        <v>31</v>
      </c>
      <c r="G84">
        <v>3</v>
      </c>
      <c r="H84" s="5">
        <v>11</v>
      </c>
      <c r="I84" t="s">
        <v>98</v>
      </c>
      <c r="J84" t="s">
        <v>98</v>
      </c>
      <c r="K84" t="s">
        <v>215</v>
      </c>
      <c r="L84" t="s">
        <v>2125</v>
      </c>
      <c r="M84" s="5">
        <f t="shared" si="7"/>
        <v>33</v>
      </c>
      <c r="N84" t="str">
        <f t="shared" si="8"/>
        <v>February</v>
      </c>
      <c r="O84" t="str">
        <f t="shared" si="9"/>
        <v>Wednesday</v>
      </c>
      <c r="P84">
        <f t="shared" si="6"/>
        <v>9</v>
      </c>
      <c r="Q84" s="2">
        <f t="shared" si="10"/>
        <v>3</v>
      </c>
      <c r="R84" s="2">
        <f t="shared" si="11"/>
        <v>2</v>
      </c>
      <c r="S84">
        <f>SUMIF(Table1[product_category],"Bakery",Table1[Total_bill])</f>
        <v>2951.25</v>
      </c>
    </row>
    <row r="85" spans="1:19" x14ac:dyDescent="0.3">
      <c r="A85" s="2">
        <v>10084</v>
      </c>
      <c r="B85" s="4">
        <v>45715</v>
      </c>
      <c r="C85" t="s">
        <v>237</v>
      </c>
      <c r="D85" t="s">
        <v>18</v>
      </c>
      <c r="E85" t="s">
        <v>19</v>
      </c>
      <c r="F85" t="s">
        <v>35</v>
      </c>
      <c r="G85">
        <v>4</v>
      </c>
      <c r="H85" s="5">
        <v>4</v>
      </c>
      <c r="I85" t="s">
        <v>32</v>
      </c>
      <c r="J85" t="s">
        <v>122</v>
      </c>
      <c r="K85" t="s">
        <v>122</v>
      </c>
      <c r="L85" t="s">
        <v>2124</v>
      </c>
      <c r="M85" s="5">
        <f t="shared" si="7"/>
        <v>16</v>
      </c>
      <c r="N85" t="str">
        <f t="shared" si="8"/>
        <v>February</v>
      </c>
      <c r="O85" t="str">
        <f t="shared" si="9"/>
        <v>Thursday</v>
      </c>
      <c r="P85">
        <f t="shared" si="6"/>
        <v>7</v>
      </c>
      <c r="Q85" s="2">
        <f t="shared" si="10"/>
        <v>4</v>
      </c>
      <c r="R85" s="2">
        <f t="shared" si="11"/>
        <v>2</v>
      </c>
      <c r="S85">
        <f>SUMIF(Table1[product_category],"Bakery",Table1[Total_bill])</f>
        <v>2951.25</v>
      </c>
    </row>
    <row r="86" spans="1:19" x14ac:dyDescent="0.3">
      <c r="A86" s="2">
        <v>10085</v>
      </c>
      <c r="B86" s="4">
        <v>45716</v>
      </c>
      <c r="C86" t="s">
        <v>238</v>
      </c>
      <c r="D86" t="s">
        <v>18</v>
      </c>
      <c r="E86" t="s">
        <v>19</v>
      </c>
      <c r="F86" t="s">
        <v>42</v>
      </c>
      <c r="G86">
        <v>3</v>
      </c>
      <c r="H86" s="5">
        <v>4.25</v>
      </c>
      <c r="I86" t="s">
        <v>36</v>
      </c>
      <c r="J86" t="s">
        <v>211</v>
      </c>
      <c r="K86" t="s">
        <v>239</v>
      </c>
      <c r="L86" t="s">
        <v>2123</v>
      </c>
      <c r="M86" s="5">
        <f t="shared" si="7"/>
        <v>12.75</v>
      </c>
      <c r="N86" t="str">
        <f t="shared" si="8"/>
        <v>February</v>
      </c>
      <c r="O86" t="str">
        <f t="shared" si="9"/>
        <v>Friday</v>
      </c>
      <c r="P86">
        <f t="shared" si="6"/>
        <v>9</v>
      </c>
      <c r="Q86" s="2">
        <f t="shared" si="10"/>
        <v>5</v>
      </c>
      <c r="R86" s="2">
        <f t="shared" si="11"/>
        <v>2</v>
      </c>
      <c r="S86">
        <f>SUMIF(Table1[product_category],"Bakery",Table1[Total_bill])</f>
        <v>2951.25</v>
      </c>
    </row>
    <row r="87" spans="1:19" x14ac:dyDescent="0.3">
      <c r="A87" s="2">
        <v>10086</v>
      </c>
      <c r="B87" s="4">
        <v>45717</v>
      </c>
      <c r="C87" t="s">
        <v>240</v>
      </c>
      <c r="D87" t="s">
        <v>25</v>
      </c>
      <c r="E87" t="s">
        <v>26</v>
      </c>
      <c r="F87" t="s">
        <v>46</v>
      </c>
      <c r="G87">
        <v>3</v>
      </c>
      <c r="H87" s="5">
        <v>3.25</v>
      </c>
      <c r="I87" t="s">
        <v>21</v>
      </c>
      <c r="J87" t="s">
        <v>81</v>
      </c>
      <c r="K87" t="s">
        <v>113</v>
      </c>
      <c r="L87" t="s">
        <v>2125</v>
      </c>
      <c r="M87" s="5">
        <f t="shared" si="7"/>
        <v>9.75</v>
      </c>
      <c r="N87" t="str">
        <f t="shared" si="8"/>
        <v>March</v>
      </c>
      <c r="O87" t="str">
        <f t="shared" si="9"/>
        <v>Saturday</v>
      </c>
      <c r="P87">
        <f t="shared" si="6"/>
        <v>9</v>
      </c>
      <c r="Q87" s="2">
        <f t="shared" si="10"/>
        <v>6</v>
      </c>
      <c r="R87" s="2">
        <f t="shared" si="11"/>
        <v>3</v>
      </c>
      <c r="S87">
        <f>SUMIF(Table1[product_category],"Bakery",Table1[Total_bill])</f>
        <v>2951.25</v>
      </c>
    </row>
    <row r="88" spans="1:19" x14ac:dyDescent="0.3">
      <c r="A88" s="2">
        <v>10087</v>
      </c>
      <c r="B88" s="4">
        <v>45718</v>
      </c>
      <c r="C88" t="s">
        <v>241</v>
      </c>
      <c r="D88" t="s">
        <v>18</v>
      </c>
      <c r="E88" t="s">
        <v>19</v>
      </c>
      <c r="F88" t="s">
        <v>50</v>
      </c>
      <c r="G88">
        <v>4</v>
      </c>
      <c r="H88" s="5">
        <v>3.25</v>
      </c>
      <c r="I88" t="s">
        <v>21</v>
      </c>
      <c r="J88" t="s">
        <v>81</v>
      </c>
      <c r="K88" t="s">
        <v>82</v>
      </c>
      <c r="L88" t="s">
        <v>2125</v>
      </c>
      <c r="M88" s="5">
        <f t="shared" si="7"/>
        <v>13</v>
      </c>
      <c r="N88" t="str">
        <f t="shared" si="8"/>
        <v>March</v>
      </c>
      <c r="O88" t="str">
        <f t="shared" si="9"/>
        <v>Sunday</v>
      </c>
      <c r="P88">
        <f t="shared" si="6"/>
        <v>15</v>
      </c>
      <c r="Q88" s="2">
        <f t="shared" si="10"/>
        <v>7</v>
      </c>
      <c r="R88" s="2">
        <f t="shared" si="11"/>
        <v>3</v>
      </c>
      <c r="S88">
        <f>SUMIF(Table1[product_category],"Bakery",Table1[Total_bill])</f>
        <v>2951.25</v>
      </c>
    </row>
    <row r="89" spans="1:19" x14ac:dyDescent="0.3">
      <c r="A89" s="2">
        <v>10088</v>
      </c>
      <c r="B89" s="4">
        <v>45719</v>
      </c>
      <c r="C89" t="s">
        <v>242</v>
      </c>
      <c r="D89" t="s">
        <v>25</v>
      </c>
      <c r="E89" t="s">
        <v>26</v>
      </c>
      <c r="F89" t="s">
        <v>54</v>
      </c>
      <c r="G89">
        <v>4</v>
      </c>
      <c r="H89" s="5">
        <v>14</v>
      </c>
      <c r="I89" t="s">
        <v>101</v>
      </c>
      <c r="J89" t="s">
        <v>102</v>
      </c>
      <c r="K89" t="s">
        <v>193</v>
      </c>
      <c r="L89" t="s">
        <v>2125</v>
      </c>
      <c r="M89" s="5">
        <f t="shared" si="7"/>
        <v>56</v>
      </c>
      <c r="N89" t="str">
        <f t="shared" si="8"/>
        <v>March</v>
      </c>
      <c r="O89" t="str">
        <f t="shared" si="9"/>
        <v>Monday</v>
      </c>
      <c r="P89">
        <f t="shared" si="6"/>
        <v>13</v>
      </c>
      <c r="Q89" s="2">
        <f t="shared" si="10"/>
        <v>1</v>
      </c>
      <c r="R89" s="2">
        <f t="shared" si="11"/>
        <v>3</v>
      </c>
      <c r="S89">
        <f>SUMIF(Table1[product_category],"Bakery",Table1[Total_bill])</f>
        <v>2951.25</v>
      </c>
    </row>
    <row r="90" spans="1:19" x14ac:dyDescent="0.3">
      <c r="A90" s="2">
        <v>10089</v>
      </c>
      <c r="B90" s="4">
        <v>45720</v>
      </c>
      <c r="C90" t="s">
        <v>243</v>
      </c>
      <c r="D90" t="s">
        <v>40</v>
      </c>
      <c r="E90" t="s">
        <v>41</v>
      </c>
      <c r="F90" t="s">
        <v>57</v>
      </c>
      <c r="G90">
        <v>3</v>
      </c>
      <c r="H90" s="5">
        <v>14</v>
      </c>
      <c r="I90" t="s">
        <v>101</v>
      </c>
      <c r="J90" t="s">
        <v>102</v>
      </c>
      <c r="K90" t="s">
        <v>193</v>
      </c>
      <c r="L90" t="s">
        <v>2125</v>
      </c>
      <c r="M90" s="5">
        <f t="shared" si="7"/>
        <v>42</v>
      </c>
      <c r="N90" t="str">
        <f t="shared" si="8"/>
        <v>March</v>
      </c>
      <c r="O90" t="str">
        <f t="shared" si="9"/>
        <v>Tuesday</v>
      </c>
      <c r="P90">
        <f t="shared" si="6"/>
        <v>17</v>
      </c>
      <c r="Q90" s="2">
        <f t="shared" si="10"/>
        <v>2</v>
      </c>
      <c r="R90" s="2">
        <f t="shared" si="11"/>
        <v>3</v>
      </c>
      <c r="S90">
        <f>SUMIF(Table1[product_category],"Bakery",Table1[Total_bill])</f>
        <v>2951.25</v>
      </c>
    </row>
    <row r="91" spans="1:19" x14ac:dyDescent="0.3">
      <c r="A91" s="2">
        <v>10090</v>
      </c>
      <c r="B91" s="4">
        <v>45721</v>
      </c>
      <c r="C91" t="s">
        <v>244</v>
      </c>
      <c r="D91" t="s">
        <v>25</v>
      </c>
      <c r="E91" t="s">
        <v>26</v>
      </c>
      <c r="F91" t="s">
        <v>61</v>
      </c>
      <c r="G91">
        <v>2</v>
      </c>
      <c r="H91" s="5">
        <v>3.25</v>
      </c>
      <c r="I91" t="s">
        <v>21</v>
      </c>
      <c r="J91" t="s">
        <v>81</v>
      </c>
      <c r="K91" t="s">
        <v>113</v>
      </c>
      <c r="L91" t="s">
        <v>2125</v>
      </c>
      <c r="M91" s="5">
        <f t="shared" si="7"/>
        <v>6.5</v>
      </c>
      <c r="N91" t="str">
        <f t="shared" si="8"/>
        <v>March</v>
      </c>
      <c r="O91" t="str">
        <f t="shared" si="9"/>
        <v>Wednesday</v>
      </c>
      <c r="P91">
        <f t="shared" si="6"/>
        <v>11</v>
      </c>
      <c r="Q91" s="2">
        <f t="shared" si="10"/>
        <v>3</v>
      </c>
      <c r="R91" s="2">
        <f t="shared" si="11"/>
        <v>3</v>
      </c>
      <c r="S91">
        <f>SUMIF(Table1[product_category],"Bakery",Table1[Total_bill])</f>
        <v>2951.25</v>
      </c>
    </row>
    <row r="92" spans="1:19" x14ac:dyDescent="0.3">
      <c r="A92" s="2">
        <v>10091</v>
      </c>
      <c r="B92" s="4">
        <v>45722</v>
      </c>
      <c r="C92" t="s">
        <v>245</v>
      </c>
      <c r="D92" t="s">
        <v>25</v>
      </c>
      <c r="E92" t="s">
        <v>26</v>
      </c>
      <c r="F92" t="s">
        <v>64</v>
      </c>
      <c r="G92">
        <v>1</v>
      </c>
      <c r="H92" s="5">
        <v>3.5</v>
      </c>
      <c r="I92" t="s">
        <v>36</v>
      </c>
      <c r="J92" t="s">
        <v>246</v>
      </c>
      <c r="K92" t="s">
        <v>247</v>
      </c>
      <c r="L92" t="s">
        <v>2123</v>
      </c>
      <c r="M92" s="5">
        <f t="shared" si="7"/>
        <v>3.5</v>
      </c>
      <c r="N92" t="str">
        <f t="shared" si="8"/>
        <v>March</v>
      </c>
      <c r="O92" t="str">
        <f t="shared" si="9"/>
        <v>Thursday</v>
      </c>
      <c r="P92">
        <f t="shared" si="6"/>
        <v>7</v>
      </c>
      <c r="Q92" s="2">
        <f t="shared" si="10"/>
        <v>4</v>
      </c>
      <c r="R92" s="2">
        <f t="shared" si="11"/>
        <v>3</v>
      </c>
      <c r="S92">
        <f>SUMIF(Table1[product_category],"Bakery",Table1[Total_bill])</f>
        <v>2951.25</v>
      </c>
    </row>
    <row r="93" spans="1:19" x14ac:dyDescent="0.3">
      <c r="A93" s="2">
        <v>10092</v>
      </c>
      <c r="B93" s="4">
        <v>45723</v>
      </c>
      <c r="C93" t="s">
        <v>248</v>
      </c>
      <c r="D93" t="s">
        <v>18</v>
      </c>
      <c r="E93" t="s">
        <v>19</v>
      </c>
      <c r="F93" t="s">
        <v>66</v>
      </c>
      <c r="G93">
        <v>4</v>
      </c>
      <c r="H93" s="5">
        <v>3.5</v>
      </c>
      <c r="I93" t="s">
        <v>36</v>
      </c>
      <c r="J93" t="s">
        <v>37</v>
      </c>
      <c r="K93" t="s">
        <v>38</v>
      </c>
      <c r="L93" t="s">
        <v>2123</v>
      </c>
      <c r="M93" s="5">
        <f t="shared" si="7"/>
        <v>14</v>
      </c>
      <c r="N93" t="str">
        <f t="shared" si="8"/>
        <v>March</v>
      </c>
      <c r="O93" t="str">
        <f t="shared" si="9"/>
        <v>Friday</v>
      </c>
      <c r="P93">
        <f t="shared" si="6"/>
        <v>15</v>
      </c>
      <c r="Q93" s="2">
        <f t="shared" si="10"/>
        <v>5</v>
      </c>
      <c r="R93" s="2">
        <f t="shared" si="11"/>
        <v>3</v>
      </c>
      <c r="S93">
        <f>SUMIF(Table1[product_category],"Bakery",Table1[Total_bill])</f>
        <v>2951.25</v>
      </c>
    </row>
    <row r="94" spans="1:19" x14ac:dyDescent="0.3">
      <c r="A94" s="2">
        <v>10093</v>
      </c>
      <c r="B94" s="4">
        <v>45724</v>
      </c>
      <c r="C94" t="s">
        <v>249</v>
      </c>
      <c r="D94" t="s">
        <v>25</v>
      </c>
      <c r="E94" t="s">
        <v>26</v>
      </c>
      <c r="F94" t="s">
        <v>68</v>
      </c>
      <c r="G94">
        <v>4</v>
      </c>
      <c r="H94" s="5">
        <v>1.75</v>
      </c>
      <c r="I94" t="s">
        <v>32</v>
      </c>
      <c r="J94" t="s">
        <v>43</v>
      </c>
      <c r="K94" t="s">
        <v>44</v>
      </c>
      <c r="L94" t="s">
        <v>2122</v>
      </c>
      <c r="M94" s="5">
        <f t="shared" si="7"/>
        <v>7</v>
      </c>
      <c r="N94" t="str">
        <f t="shared" si="8"/>
        <v>March</v>
      </c>
      <c r="O94" t="str">
        <f t="shared" si="9"/>
        <v>Saturday</v>
      </c>
      <c r="P94">
        <f t="shared" si="6"/>
        <v>15</v>
      </c>
      <c r="Q94" s="2">
        <f t="shared" si="10"/>
        <v>6</v>
      </c>
      <c r="R94" s="2">
        <f t="shared" si="11"/>
        <v>3</v>
      </c>
      <c r="S94">
        <f>SUMIF(Table1[product_category],"Bakery",Table1[Total_bill])</f>
        <v>2951.25</v>
      </c>
    </row>
    <row r="95" spans="1:19" x14ac:dyDescent="0.3">
      <c r="A95" s="2">
        <v>10094</v>
      </c>
      <c r="B95" s="4">
        <v>45725</v>
      </c>
      <c r="C95" t="s">
        <v>250</v>
      </c>
      <c r="D95" t="s">
        <v>18</v>
      </c>
      <c r="E95" t="s">
        <v>19</v>
      </c>
      <c r="F95" t="s">
        <v>71</v>
      </c>
      <c r="G95">
        <v>4</v>
      </c>
      <c r="H95" s="5">
        <v>24</v>
      </c>
      <c r="I95" t="s">
        <v>101</v>
      </c>
      <c r="J95" t="s">
        <v>102</v>
      </c>
      <c r="K95" t="s">
        <v>103</v>
      </c>
      <c r="L95" t="s">
        <v>2125</v>
      </c>
      <c r="M95" s="5">
        <f t="shared" si="7"/>
        <v>96</v>
      </c>
      <c r="N95" t="str">
        <f t="shared" si="8"/>
        <v>March</v>
      </c>
      <c r="O95" t="str">
        <f t="shared" si="9"/>
        <v>Sunday</v>
      </c>
      <c r="P95">
        <f t="shared" si="6"/>
        <v>12</v>
      </c>
      <c r="Q95" s="2">
        <f t="shared" si="10"/>
        <v>7</v>
      </c>
      <c r="R95" s="2">
        <f t="shared" si="11"/>
        <v>3</v>
      </c>
      <c r="S95">
        <f>SUMIF(Table1[product_category],"Bakery",Table1[Total_bill])</f>
        <v>2951.25</v>
      </c>
    </row>
    <row r="96" spans="1:19" x14ac:dyDescent="0.3">
      <c r="A96" s="2">
        <v>10095</v>
      </c>
      <c r="B96" s="4">
        <v>45726</v>
      </c>
      <c r="C96" t="s">
        <v>251</v>
      </c>
      <c r="D96" t="s">
        <v>25</v>
      </c>
      <c r="E96" t="s">
        <v>26</v>
      </c>
      <c r="F96" t="s">
        <v>75</v>
      </c>
      <c r="G96">
        <v>2</v>
      </c>
      <c r="H96" s="5">
        <v>5.5</v>
      </c>
      <c r="I96" t="s">
        <v>72</v>
      </c>
      <c r="J96" t="s">
        <v>72</v>
      </c>
      <c r="K96" t="s">
        <v>73</v>
      </c>
      <c r="L96" t="s">
        <v>2125</v>
      </c>
      <c r="M96" s="5">
        <f t="shared" si="7"/>
        <v>11</v>
      </c>
      <c r="N96" t="str">
        <f t="shared" si="8"/>
        <v>March</v>
      </c>
      <c r="O96" t="str">
        <f t="shared" si="9"/>
        <v>Monday</v>
      </c>
      <c r="P96">
        <f t="shared" si="6"/>
        <v>15</v>
      </c>
      <c r="Q96" s="2">
        <f t="shared" si="10"/>
        <v>1</v>
      </c>
      <c r="R96" s="2">
        <f t="shared" si="11"/>
        <v>3</v>
      </c>
      <c r="S96">
        <f>SUMIF(Table1[product_category],"Bakery",Table1[Total_bill])</f>
        <v>2951.25</v>
      </c>
    </row>
    <row r="97" spans="1:19" x14ac:dyDescent="0.3">
      <c r="A97" s="2">
        <v>10096</v>
      </c>
      <c r="B97" s="4">
        <v>45727</v>
      </c>
      <c r="C97" t="s">
        <v>252</v>
      </c>
      <c r="D97" t="s">
        <v>18</v>
      </c>
      <c r="E97" t="s">
        <v>19</v>
      </c>
      <c r="F97" t="s">
        <v>78</v>
      </c>
      <c r="G97">
        <v>4</v>
      </c>
      <c r="H97" s="5">
        <v>3.25</v>
      </c>
      <c r="I97" t="s">
        <v>21</v>
      </c>
      <c r="J97" t="s">
        <v>81</v>
      </c>
      <c r="K97" t="s">
        <v>82</v>
      </c>
      <c r="L97" t="s">
        <v>2125</v>
      </c>
      <c r="M97" s="5">
        <f t="shared" si="7"/>
        <v>13</v>
      </c>
      <c r="N97" t="str">
        <f t="shared" si="8"/>
        <v>March</v>
      </c>
      <c r="O97" t="str">
        <f t="shared" si="9"/>
        <v>Tuesday</v>
      </c>
      <c r="P97">
        <f t="shared" si="6"/>
        <v>11</v>
      </c>
      <c r="Q97" s="2">
        <f t="shared" si="10"/>
        <v>2</v>
      </c>
      <c r="R97" s="2">
        <f t="shared" si="11"/>
        <v>3</v>
      </c>
      <c r="S97">
        <f>SUMIF(Table1[product_category],"Bakery",Table1[Total_bill])</f>
        <v>2951.25</v>
      </c>
    </row>
    <row r="98" spans="1:19" x14ac:dyDescent="0.3">
      <c r="A98" s="2">
        <v>10097</v>
      </c>
      <c r="B98" s="4">
        <v>45728</v>
      </c>
      <c r="C98" t="s">
        <v>253</v>
      </c>
      <c r="D98" t="s">
        <v>18</v>
      </c>
      <c r="E98" t="s">
        <v>19</v>
      </c>
      <c r="F98" t="s">
        <v>80</v>
      </c>
      <c r="G98">
        <v>4</v>
      </c>
      <c r="H98" s="5">
        <v>13</v>
      </c>
      <c r="I98" t="s">
        <v>98</v>
      </c>
      <c r="J98" t="s">
        <v>98</v>
      </c>
      <c r="K98" t="s">
        <v>95</v>
      </c>
      <c r="L98" t="s">
        <v>2125</v>
      </c>
      <c r="M98" s="5">
        <f t="shared" si="7"/>
        <v>52</v>
      </c>
      <c r="N98" t="str">
        <f t="shared" si="8"/>
        <v>March</v>
      </c>
      <c r="O98" t="str">
        <f t="shared" si="9"/>
        <v>Wednesday</v>
      </c>
      <c r="P98">
        <f t="shared" si="6"/>
        <v>12</v>
      </c>
      <c r="Q98" s="2">
        <f t="shared" si="10"/>
        <v>3</v>
      </c>
      <c r="R98" s="2">
        <f t="shared" si="11"/>
        <v>3</v>
      </c>
      <c r="S98">
        <f>SUMIF(Table1[product_category],"Bakery",Table1[Total_bill])</f>
        <v>2951.25</v>
      </c>
    </row>
    <row r="99" spans="1:19" x14ac:dyDescent="0.3">
      <c r="A99" s="2">
        <v>10098</v>
      </c>
      <c r="B99" s="4">
        <v>45729</v>
      </c>
      <c r="C99" t="s">
        <v>254</v>
      </c>
      <c r="D99" t="s">
        <v>40</v>
      </c>
      <c r="E99" t="s">
        <v>41</v>
      </c>
      <c r="F99" t="s">
        <v>84</v>
      </c>
      <c r="G99">
        <v>3</v>
      </c>
      <c r="H99" s="5">
        <v>14</v>
      </c>
      <c r="I99" t="s">
        <v>98</v>
      </c>
      <c r="J99" t="s">
        <v>98</v>
      </c>
      <c r="K99" t="s">
        <v>129</v>
      </c>
      <c r="L99" t="s">
        <v>2125</v>
      </c>
      <c r="M99" s="5">
        <f t="shared" si="7"/>
        <v>42</v>
      </c>
      <c r="N99" t="str">
        <f t="shared" si="8"/>
        <v>March</v>
      </c>
      <c r="O99" t="str">
        <f t="shared" si="9"/>
        <v>Thursday</v>
      </c>
      <c r="P99">
        <f t="shared" si="6"/>
        <v>10</v>
      </c>
      <c r="Q99" s="2">
        <f t="shared" si="10"/>
        <v>4</v>
      </c>
      <c r="R99" s="2">
        <f t="shared" si="11"/>
        <v>3</v>
      </c>
      <c r="S99">
        <f>SUMIF(Table1[product_category],"Bakery",Table1[Total_bill])</f>
        <v>2951.25</v>
      </c>
    </row>
    <row r="100" spans="1:19" x14ac:dyDescent="0.3">
      <c r="A100" s="2">
        <v>10099</v>
      </c>
      <c r="B100" s="4">
        <v>45730</v>
      </c>
      <c r="C100" t="s">
        <v>255</v>
      </c>
      <c r="D100" t="s">
        <v>40</v>
      </c>
      <c r="E100" t="s">
        <v>41</v>
      </c>
      <c r="F100" t="s">
        <v>86</v>
      </c>
      <c r="G100">
        <v>4</v>
      </c>
      <c r="H100" s="5">
        <v>24</v>
      </c>
      <c r="I100" t="s">
        <v>101</v>
      </c>
      <c r="J100" t="s">
        <v>102</v>
      </c>
      <c r="K100" t="s">
        <v>103</v>
      </c>
      <c r="L100" t="s">
        <v>2125</v>
      </c>
      <c r="M100" s="5">
        <f t="shared" si="7"/>
        <v>96</v>
      </c>
      <c r="N100" t="str">
        <f t="shared" si="8"/>
        <v>March</v>
      </c>
      <c r="O100" t="str">
        <f t="shared" si="9"/>
        <v>Friday</v>
      </c>
      <c r="P100">
        <f t="shared" si="6"/>
        <v>6</v>
      </c>
      <c r="Q100" s="2">
        <f t="shared" si="10"/>
        <v>5</v>
      </c>
      <c r="R100" s="2">
        <f t="shared" si="11"/>
        <v>3</v>
      </c>
      <c r="S100">
        <f>SUMIF(Table1[product_category],"Bakery",Table1[Total_bill])</f>
        <v>2951.25</v>
      </c>
    </row>
    <row r="101" spans="1:19" x14ac:dyDescent="0.3">
      <c r="A101" s="2">
        <v>10100</v>
      </c>
      <c r="B101" s="4">
        <v>45731</v>
      </c>
      <c r="C101" t="s">
        <v>256</v>
      </c>
      <c r="D101" t="s">
        <v>40</v>
      </c>
      <c r="E101" t="s">
        <v>41</v>
      </c>
      <c r="F101" t="s">
        <v>88</v>
      </c>
      <c r="G101">
        <v>3</v>
      </c>
      <c r="H101" s="5">
        <v>4.75</v>
      </c>
      <c r="I101" t="s">
        <v>32</v>
      </c>
      <c r="J101" t="s">
        <v>69</v>
      </c>
      <c r="K101" t="s">
        <v>69</v>
      </c>
      <c r="L101" t="s">
        <v>2123</v>
      </c>
      <c r="M101" s="5">
        <f t="shared" si="7"/>
        <v>14.25</v>
      </c>
      <c r="N101" t="str">
        <f t="shared" si="8"/>
        <v>March</v>
      </c>
      <c r="O101" t="str">
        <f t="shared" si="9"/>
        <v>Saturday</v>
      </c>
      <c r="P101">
        <f t="shared" si="6"/>
        <v>7</v>
      </c>
      <c r="Q101" s="2">
        <f t="shared" si="10"/>
        <v>6</v>
      </c>
      <c r="R101" s="2">
        <f t="shared" si="11"/>
        <v>3</v>
      </c>
      <c r="S101">
        <f>SUMIF(Table1[product_category],"Bakery",Table1[Total_bill])</f>
        <v>2951.25</v>
      </c>
    </row>
    <row r="102" spans="1:19" x14ac:dyDescent="0.3">
      <c r="A102" s="2">
        <v>10101</v>
      </c>
      <c r="B102" s="4">
        <v>45732</v>
      </c>
      <c r="C102" t="s">
        <v>257</v>
      </c>
      <c r="D102" t="s">
        <v>40</v>
      </c>
      <c r="E102" t="s">
        <v>41</v>
      </c>
      <c r="F102" t="s">
        <v>93</v>
      </c>
      <c r="G102">
        <v>1</v>
      </c>
      <c r="H102" s="5">
        <v>9.5</v>
      </c>
      <c r="I102" t="s">
        <v>28</v>
      </c>
      <c r="J102" t="s">
        <v>28</v>
      </c>
      <c r="K102" t="s">
        <v>29</v>
      </c>
      <c r="L102" t="s">
        <v>2125</v>
      </c>
      <c r="M102" s="5">
        <f t="shared" si="7"/>
        <v>9.5</v>
      </c>
      <c r="N102" t="str">
        <f t="shared" si="8"/>
        <v>March</v>
      </c>
      <c r="O102" t="str">
        <f t="shared" si="9"/>
        <v>Sunday</v>
      </c>
      <c r="P102">
        <f t="shared" si="6"/>
        <v>6</v>
      </c>
      <c r="Q102" s="2">
        <f t="shared" si="10"/>
        <v>7</v>
      </c>
      <c r="R102" s="2">
        <f t="shared" si="11"/>
        <v>3</v>
      </c>
      <c r="S102">
        <f>SUMIF(Table1[product_category],"Bakery",Table1[Total_bill])</f>
        <v>2951.25</v>
      </c>
    </row>
    <row r="103" spans="1:19" x14ac:dyDescent="0.3">
      <c r="A103" s="2">
        <v>10102</v>
      </c>
      <c r="B103" s="4">
        <v>45733</v>
      </c>
      <c r="C103" t="s">
        <v>258</v>
      </c>
      <c r="D103" t="s">
        <v>40</v>
      </c>
      <c r="E103" t="s">
        <v>41</v>
      </c>
      <c r="F103" t="s">
        <v>97</v>
      </c>
      <c r="G103">
        <v>1</v>
      </c>
      <c r="H103" s="5">
        <v>4.25</v>
      </c>
      <c r="I103" t="s">
        <v>32</v>
      </c>
      <c r="J103" t="s">
        <v>202</v>
      </c>
      <c r="K103" t="s">
        <v>202</v>
      </c>
      <c r="L103" t="s">
        <v>2124</v>
      </c>
      <c r="M103" s="5">
        <f t="shared" si="7"/>
        <v>4.25</v>
      </c>
      <c r="N103" t="str">
        <f t="shared" si="8"/>
        <v>March</v>
      </c>
      <c r="O103" t="str">
        <f t="shared" si="9"/>
        <v>Monday</v>
      </c>
      <c r="P103">
        <f t="shared" si="6"/>
        <v>13</v>
      </c>
      <c r="Q103" s="2">
        <f t="shared" si="10"/>
        <v>1</v>
      </c>
      <c r="R103" s="2">
        <f t="shared" si="11"/>
        <v>3</v>
      </c>
      <c r="S103">
        <f>SUMIF(Table1[product_category],"Bakery",Table1[Total_bill])</f>
        <v>2951.25</v>
      </c>
    </row>
    <row r="104" spans="1:19" x14ac:dyDescent="0.3">
      <c r="A104" s="2">
        <v>10103</v>
      </c>
      <c r="B104" s="4">
        <v>45734</v>
      </c>
      <c r="C104" t="s">
        <v>259</v>
      </c>
      <c r="D104" t="s">
        <v>18</v>
      </c>
      <c r="E104" t="s">
        <v>19</v>
      </c>
      <c r="F104" t="s">
        <v>100</v>
      </c>
      <c r="G104">
        <v>4</v>
      </c>
      <c r="H104" s="5">
        <v>5.5</v>
      </c>
      <c r="I104" t="s">
        <v>72</v>
      </c>
      <c r="J104" t="s">
        <v>72</v>
      </c>
      <c r="K104" t="s">
        <v>73</v>
      </c>
      <c r="L104" t="s">
        <v>2125</v>
      </c>
      <c r="M104" s="5">
        <f t="shared" si="7"/>
        <v>22</v>
      </c>
      <c r="N104" t="str">
        <f t="shared" si="8"/>
        <v>March</v>
      </c>
      <c r="O104" t="str">
        <f t="shared" si="9"/>
        <v>Tuesday</v>
      </c>
      <c r="P104">
        <f t="shared" si="6"/>
        <v>9</v>
      </c>
      <c r="Q104" s="2">
        <f t="shared" si="10"/>
        <v>2</v>
      </c>
      <c r="R104" s="2">
        <f t="shared" si="11"/>
        <v>3</v>
      </c>
      <c r="S104">
        <f>SUMIF(Table1[product_category],"Bakery",Table1[Total_bill])</f>
        <v>2951.25</v>
      </c>
    </row>
    <row r="105" spans="1:19" x14ac:dyDescent="0.3">
      <c r="A105" s="2">
        <v>10104</v>
      </c>
      <c r="B105" s="4">
        <v>45735</v>
      </c>
      <c r="C105" t="s">
        <v>260</v>
      </c>
      <c r="D105" t="s">
        <v>40</v>
      </c>
      <c r="E105" t="s">
        <v>41</v>
      </c>
      <c r="F105" t="s">
        <v>105</v>
      </c>
      <c r="G105">
        <v>1</v>
      </c>
      <c r="H105" s="5">
        <v>4.5</v>
      </c>
      <c r="I105" t="s">
        <v>89</v>
      </c>
      <c r="J105" t="s">
        <v>261</v>
      </c>
      <c r="K105" t="s">
        <v>261</v>
      </c>
      <c r="L105" t="s">
        <v>2123</v>
      </c>
      <c r="M105" s="5">
        <f t="shared" si="7"/>
        <v>4.5</v>
      </c>
      <c r="N105" t="str">
        <f t="shared" si="8"/>
        <v>March</v>
      </c>
      <c r="O105" t="str">
        <f t="shared" si="9"/>
        <v>Wednesday</v>
      </c>
      <c r="P105">
        <f t="shared" si="6"/>
        <v>12</v>
      </c>
      <c r="Q105" s="2">
        <f t="shared" si="10"/>
        <v>3</v>
      </c>
      <c r="R105" s="2">
        <f t="shared" si="11"/>
        <v>3</v>
      </c>
      <c r="S105">
        <f>SUMIF(Table1[product_category],"Bakery",Table1[Total_bill])</f>
        <v>2951.25</v>
      </c>
    </row>
    <row r="106" spans="1:19" x14ac:dyDescent="0.3">
      <c r="A106" s="2">
        <v>10105</v>
      </c>
      <c r="B106" s="4">
        <v>45736</v>
      </c>
      <c r="C106" t="s">
        <v>262</v>
      </c>
      <c r="D106" t="s">
        <v>25</v>
      </c>
      <c r="E106" t="s">
        <v>26</v>
      </c>
      <c r="F106" t="s">
        <v>107</v>
      </c>
      <c r="G106">
        <v>3</v>
      </c>
      <c r="H106" s="5">
        <v>3.5</v>
      </c>
      <c r="I106" t="s">
        <v>21</v>
      </c>
      <c r="J106" t="s">
        <v>51</v>
      </c>
      <c r="K106" t="s">
        <v>52</v>
      </c>
      <c r="L106" t="s">
        <v>2125</v>
      </c>
      <c r="M106" s="5">
        <f t="shared" si="7"/>
        <v>10.5</v>
      </c>
      <c r="N106" t="str">
        <f t="shared" si="8"/>
        <v>March</v>
      </c>
      <c r="O106" t="str">
        <f t="shared" si="9"/>
        <v>Thursday</v>
      </c>
      <c r="P106">
        <f t="shared" si="6"/>
        <v>18</v>
      </c>
      <c r="Q106" s="2">
        <f t="shared" si="10"/>
        <v>4</v>
      </c>
      <c r="R106" s="2">
        <f t="shared" si="11"/>
        <v>3</v>
      </c>
      <c r="S106">
        <f>SUMIF(Table1[product_category],"Bakery",Table1[Total_bill])</f>
        <v>2951.25</v>
      </c>
    </row>
    <row r="107" spans="1:19" x14ac:dyDescent="0.3">
      <c r="A107" s="2">
        <v>10106</v>
      </c>
      <c r="B107" s="4">
        <v>45737</v>
      </c>
      <c r="C107" t="s">
        <v>263</v>
      </c>
      <c r="D107" t="s">
        <v>40</v>
      </c>
      <c r="E107" t="s">
        <v>41</v>
      </c>
      <c r="F107" t="s">
        <v>109</v>
      </c>
      <c r="G107">
        <v>2</v>
      </c>
      <c r="H107" s="5">
        <v>9.5</v>
      </c>
      <c r="I107" t="s">
        <v>28</v>
      </c>
      <c r="J107" t="s">
        <v>28</v>
      </c>
      <c r="K107" t="s">
        <v>29</v>
      </c>
      <c r="L107" t="s">
        <v>2125</v>
      </c>
      <c r="M107" s="5">
        <f t="shared" si="7"/>
        <v>19</v>
      </c>
      <c r="N107" t="str">
        <f t="shared" si="8"/>
        <v>March</v>
      </c>
      <c r="O107" t="str">
        <f t="shared" si="9"/>
        <v>Friday</v>
      </c>
      <c r="P107">
        <f t="shared" si="6"/>
        <v>8</v>
      </c>
      <c r="Q107" s="2">
        <f t="shared" si="10"/>
        <v>5</v>
      </c>
      <c r="R107" s="2">
        <f t="shared" si="11"/>
        <v>3</v>
      </c>
      <c r="S107">
        <f>SUMIF(Table1[product_category],"Bakery",Table1[Total_bill])</f>
        <v>2951.25</v>
      </c>
    </row>
    <row r="108" spans="1:19" x14ac:dyDescent="0.3">
      <c r="A108" s="2">
        <v>10107</v>
      </c>
      <c r="B108" s="4">
        <v>45738</v>
      </c>
      <c r="C108" t="s">
        <v>264</v>
      </c>
      <c r="D108" t="s">
        <v>40</v>
      </c>
      <c r="E108" t="s">
        <v>41</v>
      </c>
      <c r="F108" t="s">
        <v>112</v>
      </c>
      <c r="G108">
        <v>1</v>
      </c>
      <c r="H108" s="5">
        <v>6</v>
      </c>
      <c r="I108" t="s">
        <v>72</v>
      </c>
      <c r="J108" t="s">
        <v>72</v>
      </c>
      <c r="K108" t="s">
        <v>138</v>
      </c>
      <c r="L108" t="s">
        <v>2125</v>
      </c>
      <c r="M108" s="5">
        <f t="shared" si="7"/>
        <v>6</v>
      </c>
      <c r="N108" t="str">
        <f t="shared" si="8"/>
        <v>March</v>
      </c>
      <c r="O108" t="str">
        <f t="shared" si="9"/>
        <v>Saturday</v>
      </c>
      <c r="P108">
        <f t="shared" si="6"/>
        <v>10</v>
      </c>
      <c r="Q108" s="2">
        <f t="shared" si="10"/>
        <v>6</v>
      </c>
      <c r="R108" s="2">
        <f t="shared" si="11"/>
        <v>3</v>
      </c>
      <c r="S108">
        <f>SUMIF(Table1[product_category],"Bakery",Table1[Total_bill])</f>
        <v>2951.25</v>
      </c>
    </row>
    <row r="109" spans="1:19" x14ac:dyDescent="0.3">
      <c r="A109" s="2">
        <v>10108</v>
      </c>
      <c r="B109" s="4">
        <v>45739</v>
      </c>
      <c r="C109" t="s">
        <v>265</v>
      </c>
      <c r="D109" t="s">
        <v>18</v>
      </c>
      <c r="E109" t="s">
        <v>19</v>
      </c>
      <c r="F109" t="s">
        <v>115</v>
      </c>
      <c r="G109">
        <v>2</v>
      </c>
      <c r="H109" s="5">
        <v>5</v>
      </c>
      <c r="I109" t="s">
        <v>89</v>
      </c>
      <c r="J109" t="s">
        <v>90</v>
      </c>
      <c r="K109" t="s">
        <v>91</v>
      </c>
      <c r="L109" t="s">
        <v>2123</v>
      </c>
      <c r="M109" s="5">
        <f t="shared" si="7"/>
        <v>10</v>
      </c>
      <c r="N109" t="str">
        <f t="shared" si="8"/>
        <v>March</v>
      </c>
      <c r="O109" t="str">
        <f t="shared" si="9"/>
        <v>Sunday</v>
      </c>
      <c r="P109">
        <f t="shared" si="6"/>
        <v>15</v>
      </c>
      <c r="Q109" s="2">
        <f t="shared" si="10"/>
        <v>7</v>
      </c>
      <c r="R109" s="2">
        <f t="shared" si="11"/>
        <v>3</v>
      </c>
      <c r="S109">
        <f>SUMIF(Table1[product_category],"Bakery",Table1[Total_bill])</f>
        <v>2951.25</v>
      </c>
    </row>
    <row r="110" spans="1:19" x14ac:dyDescent="0.3">
      <c r="A110" s="2">
        <v>10109</v>
      </c>
      <c r="B110" s="4">
        <v>45740</v>
      </c>
      <c r="C110" t="s">
        <v>266</v>
      </c>
      <c r="D110" t="s">
        <v>18</v>
      </c>
      <c r="E110" t="s">
        <v>19</v>
      </c>
      <c r="F110" t="s">
        <v>117</v>
      </c>
      <c r="G110">
        <v>1</v>
      </c>
      <c r="H110" s="5">
        <v>9.5</v>
      </c>
      <c r="I110" t="s">
        <v>28</v>
      </c>
      <c r="J110" t="s">
        <v>28</v>
      </c>
      <c r="K110" t="s">
        <v>29</v>
      </c>
      <c r="L110" t="s">
        <v>2125</v>
      </c>
      <c r="M110" s="5">
        <f t="shared" si="7"/>
        <v>9.5</v>
      </c>
      <c r="N110" t="str">
        <f t="shared" si="8"/>
        <v>March</v>
      </c>
      <c r="O110" t="str">
        <f t="shared" si="9"/>
        <v>Monday</v>
      </c>
      <c r="P110">
        <f t="shared" si="6"/>
        <v>8</v>
      </c>
      <c r="Q110" s="2">
        <f t="shared" si="10"/>
        <v>1</v>
      </c>
      <c r="R110" s="2">
        <f t="shared" si="11"/>
        <v>3</v>
      </c>
      <c r="S110">
        <f>SUMIF(Table1[product_category],"Bakery",Table1[Total_bill])</f>
        <v>2951.25</v>
      </c>
    </row>
    <row r="111" spans="1:19" x14ac:dyDescent="0.3">
      <c r="A111" s="2">
        <v>10110</v>
      </c>
      <c r="B111" s="4">
        <v>45741</v>
      </c>
      <c r="C111" t="s">
        <v>267</v>
      </c>
      <c r="D111" t="s">
        <v>18</v>
      </c>
      <c r="E111" t="s">
        <v>19</v>
      </c>
      <c r="F111" t="s">
        <v>119</v>
      </c>
      <c r="G111">
        <v>4</v>
      </c>
      <c r="H111" s="5">
        <v>2.5</v>
      </c>
      <c r="I111" t="s">
        <v>32</v>
      </c>
      <c r="J111" t="s">
        <v>226</v>
      </c>
      <c r="K111" t="s">
        <v>227</v>
      </c>
      <c r="L111" t="s">
        <v>2122</v>
      </c>
      <c r="M111" s="5">
        <f t="shared" si="7"/>
        <v>10</v>
      </c>
      <c r="N111" t="str">
        <f t="shared" si="8"/>
        <v>March</v>
      </c>
      <c r="O111" t="str">
        <f t="shared" si="9"/>
        <v>Tuesday</v>
      </c>
      <c r="P111">
        <f t="shared" si="6"/>
        <v>7</v>
      </c>
      <c r="Q111" s="2">
        <f t="shared" si="10"/>
        <v>2</v>
      </c>
      <c r="R111" s="2">
        <f t="shared" si="11"/>
        <v>3</v>
      </c>
      <c r="S111">
        <f>SUMIF(Table1[product_category],"Bakery",Table1[Total_bill])</f>
        <v>2951.25</v>
      </c>
    </row>
    <row r="112" spans="1:19" x14ac:dyDescent="0.3">
      <c r="A112" s="2">
        <v>10111</v>
      </c>
      <c r="B112" s="4">
        <v>45742</v>
      </c>
      <c r="C112" t="s">
        <v>268</v>
      </c>
      <c r="D112" t="s">
        <v>25</v>
      </c>
      <c r="E112" t="s">
        <v>26</v>
      </c>
      <c r="F112" t="s">
        <v>121</v>
      </c>
      <c r="G112">
        <v>4</v>
      </c>
      <c r="H112" s="5">
        <v>4</v>
      </c>
      <c r="I112" t="s">
        <v>32</v>
      </c>
      <c r="J112" t="s">
        <v>94</v>
      </c>
      <c r="K112" t="s">
        <v>95</v>
      </c>
      <c r="L112" t="s">
        <v>2124</v>
      </c>
      <c r="M112" s="5">
        <f t="shared" si="7"/>
        <v>16</v>
      </c>
      <c r="N112" t="str">
        <f t="shared" si="8"/>
        <v>March</v>
      </c>
      <c r="O112" t="str">
        <f t="shared" si="9"/>
        <v>Wednesday</v>
      </c>
      <c r="P112">
        <f t="shared" si="6"/>
        <v>9</v>
      </c>
      <c r="Q112" s="2">
        <f t="shared" si="10"/>
        <v>3</v>
      </c>
      <c r="R112" s="2">
        <f t="shared" si="11"/>
        <v>3</v>
      </c>
      <c r="S112">
        <f>SUMIF(Table1[product_category],"Bakery",Table1[Total_bill])</f>
        <v>2951.25</v>
      </c>
    </row>
    <row r="113" spans="1:19" x14ac:dyDescent="0.3">
      <c r="A113" s="2">
        <v>10112</v>
      </c>
      <c r="B113" s="4">
        <v>45743</v>
      </c>
      <c r="C113" t="s">
        <v>269</v>
      </c>
      <c r="D113" t="s">
        <v>40</v>
      </c>
      <c r="E113" t="s">
        <v>41</v>
      </c>
      <c r="F113" t="s">
        <v>124</v>
      </c>
      <c r="G113">
        <v>4</v>
      </c>
      <c r="H113" s="5">
        <v>2.5</v>
      </c>
      <c r="I113" t="s">
        <v>21</v>
      </c>
      <c r="J113" t="s">
        <v>47</v>
      </c>
      <c r="K113" t="s">
        <v>48</v>
      </c>
      <c r="L113" t="s">
        <v>2125</v>
      </c>
      <c r="M113" s="5">
        <f t="shared" si="7"/>
        <v>10</v>
      </c>
      <c r="N113" t="str">
        <f t="shared" si="8"/>
        <v>March</v>
      </c>
      <c r="O113" t="str">
        <f t="shared" si="9"/>
        <v>Thursday</v>
      </c>
      <c r="P113">
        <f t="shared" si="6"/>
        <v>8</v>
      </c>
      <c r="Q113" s="2">
        <f t="shared" si="10"/>
        <v>4</v>
      </c>
      <c r="R113" s="2">
        <f t="shared" si="11"/>
        <v>3</v>
      </c>
      <c r="S113">
        <f>SUMIF(Table1[product_category],"Bakery",Table1[Total_bill])</f>
        <v>2951.25</v>
      </c>
    </row>
    <row r="114" spans="1:19" x14ac:dyDescent="0.3">
      <c r="A114" s="2">
        <v>10113</v>
      </c>
      <c r="B114" s="4">
        <v>45744</v>
      </c>
      <c r="C114" t="s">
        <v>270</v>
      </c>
      <c r="D114" t="s">
        <v>40</v>
      </c>
      <c r="E114" t="s">
        <v>41</v>
      </c>
      <c r="F114" t="s">
        <v>126</v>
      </c>
      <c r="G114">
        <v>4</v>
      </c>
      <c r="H114" s="5">
        <v>4</v>
      </c>
      <c r="I114" t="s">
        <v>36</v>
      </c>
      <c r="J114" t="s">
        <v>110</v>
      </c>
      <c r="K114" t="s">
        <v>110</v>
      </c>
      <c r="L114" t="s">
        <v>2122</v>
      </c>
      <c r="M114" s="5">
        <f t="shared" si="7"/>
        <v>16</v>
      </c>
      <c r="N114" t="str">
        <f t="shared" si="8"/>
        <v>March</v>
      </c>
      <c r="O114" t="str">
        <f t="shared" si="9"/>
        <v>Friday</v>
      </c>
      <c r="P114">
        <f t="shared" si="6"/>
        <v>18</v>
      </c>
      <c r="Q114" s="2">
        <f t="shared" si="10"/>
        <v>5</v>
      </c>
      <c r="R114" s="2">
        <f t="shared" si="11"/>
        <v>3</v>
      </c>
      <c r="S114">
        <f>SUMIF(Table1[product_category],"Bakery",Table1[Total_bill])</f>
        <v>2951.25</v>
      </c>
    </row>
    <row r="115" spans="1:19" x14ac:dyDescent="0.3">
      <c r="A115" s="2">
        <v>10114</v>
      </c>
      <c r="B115" s="4">
        <v>45745</v>
      </c>
      <c r="C115" t="s">
        <v>271</v>
      </c>
      <c r="D115" t="s">
        <v>25</v>
      </c>
      <c r="E115" t="s">
        <v>26</v>
      </c>
      <c r="F115" t="s">
        <v>128</v>
      </c>
      <c r="G115">
        <v>2</v>
      </c>
      <c r="H115" s="5">
        <v>3.5</v>
      </c>
      <c r="I115" t="s">
        <v>21</v>
      </c>
      <c r="J115" t="s">
        <v>51</v>
      </c>
      <c r="K115" t="s">
        <v>52</v>
      </c>
      <c r="L115" t="s">
        <v>2125</v>
      </c>
      <c r="M115" s="5">
        <f t="shared" si="7"/>
        <v>7</v>
      </c>
      <c r="N115" t="str">
        <f t="shared" si="8"/>
        <v>March</v>
      </c>
      <c r="O115" t="str">
        <f t="shared" si="9"/>
        <v>Saturday</v>
      </c>
      <c r="P115">
        <f t="shared" si="6"/>
        <v>16</v>
      </c>
      <c r="Q115" s="2">
        <f t="shared" si="10"/>
        <v>6</v>
      </c>
      <c r="R115" s="2">
        <f t="shared" si="11"/>
        <v>3</v>
      </c>
      <c r="S115">
        <f>SUMIF(Table1[product_category],"Bakery",Table1[Total_bill])</f>
        <v>2951.25</v>
      </c>
    </row>
    <row r="116" spans="1:19" x14ac:dyDescent="0.3">
      <c r="A116" s="2">
        <v>10115</v>
      </c>
      <c r="B116" s="4">
        <v>45746</v>
      </c>
      <c r="C116" t="s">
        <v>272</v>
      </c>
      <c r="D116" t="s">
        <v>18</v>
      </c>
      <c r="E116" t="s">
        <v>19</v>
      </c>
      <c r="F116" t="s">
        <v>131</v>
      </c>
      <c r="G116">
        <v>2</v>
      </c>
      <c r="H116" s="5">
        <v>2.75</v>
      </c>
      <c r="I116" t="s">
        <v>32</v>
      </c>
      <c r="J116" t="s">
        <v>226</v>
      </c>
      <c r="K116" t="s">
        <v>273</v>
      </c>
      <c r="L116" t="s">
        <v>2122</v>
      </c>
      <c r="M116" s="5">
        <f t="shared" si="7"/>
        <v>5.5</v>
      </c>
      <c r="N116" t="str">
        <f t="shared" si="8"/>
        <v>March</v>
      </c>
      <c r="O116" t="str">
        <f t="shared" si="9"/>
        <v>Sunday</v>
      </c>
      <c r="P116">
        <f t="shared" si="6"/>
        <v>13</v>
      </c>
      <c r="Q116" s="2">
        <f t="shared" si="10"/>
        <v>7</v>
      </c>
      <c r="R116" s="2">
        <f t="shared" si="11"/>
        <v>3</v>
      </c>
      <c r="S116">
        <f>SUMIF(Table1[product_category],"Bakery",Table1[Total_bill])</f>
        <v>2951.25</v>
      </c>
    </row>
    <row r="117" spans="1:19" x14ac:dyDescent="0.3">
      <c r="A117" s="2">
        <v>10116</v>
      </c>
      <c r="B117" s="4">
        <v>45747</v>
      </c>
      <c r="C117" t="s">
        <v>274</v>
      </c>
      <c r="D117" t="s">
        <v>18</v>
      </c>
      <c r="E117" t="s">
        <v>19</v>
      </c>
      <c r="F117" t="s">
        <v>133</v>
      </c>
      <c r="G117">
        <v>2</v>
      </c>
      <c r="H117" s="5">
        <v>4.25</v>
      </c>
      <c r="I117" t="s">
        <v>32</v>
      </c>
      <c r="J117" t="s">
        <v>202</v>
      </c>
      <c r="K117" t="s">
        <v>202</v>
      </c>
      <c r="L117" t="s">
        <v>2124</v>
      </c>
      <c r="M117" s="5">
        <f t="shared" si="7"/>
        <v>8.5</v>
      </c>
      <c r="N117" t="str">
        <f t="shared" si="8"/>
        <v>March</v>
      </c>
      <c r="O117" t="str">
        <f t="shared" si="9"/>
        <v>Monday</v>
      </c>
      <c r="P117">
        <f t="shared" si="6"/>
        <v>17</v>
      </c>
      <c r="Q117" s="2">
        <f t="shared" si="10"/>
        <v>1</v>
      </c>
      <c r="R117" s="2">
        <f t="shared" si="11"/>
        <v>3</v>
      </c>
      <c r="S117">
        <f>SUMIF(Table1[product_category],"Bakery",Table1[Total_bill])</f>
        <v>2951.25</v>
      </c>
    </row>
    <row r="118" spans="1:19" x14ac:dyDescent="0.3">
      <c r="A118" s="2">
        <v>10117</v>
      </c>
      <c r="B118" s="4">
        <v>45748</v>
      </c>
      <c r="C118" t="s">
        <v>275</v>
      </c>
      <c r="D118" t="s">
        <v>18</v>
      </c>
      <c r="E118" t="s">
        <v>19</v>
      </c>
      <c r="F118" t="s">
        <v>135</v>
      </c>
      <c r="G118">
        <v>3</v>
      </c>
      <c r="H118" s="5">
        <v>3</v>
      </c>
      <c r="I118" t="s">
        <v>36</v>
      </c>
      <c r="J118" t="s">
        <v>37</v>
      </c>
      <c r="K118" t="s">
        <v>276</v>
      </c>
      <c r="L118" t="s">
        <v>2124</v>
      </c>
      <c r="M118" s="5">
        <f t="shared" si="7"/>
        <v>9</v>
      </c>
      <c r="N118" t="str">
        <f t="shared" si="8"/>
        <v>April</v>
      </c>
      <c r="O118" t="str">
        <f t="shared" si="9"/>
        <v>Tuesday</v>
      </c>
      <c r="P118">
        <f t="shared" si="6"/>
        <v>16</v>
      </c>
      <c r="Q118" s="2">
        <f t="shared" si="10"/>
        <v>2</v>
      </c>
      <c r="R118" s="2">
        <f t="shared" si="11"/>
        <v>4</v>
      </c>
      <c r="S118">
        <f>SUMIF(Table1[product_category],"Bakery",Table1[Total_bill])</f>
        <v>2951.25</v>
      </c>
    </row>
    <row r="119" spans="1:19" x14ac:dyDescent="0.3">
      <c r="A119" s="2">
        <v>10118</v>
      </c>
      <c r="B119" s="4">
        <v>45749</v>
      </c>
      <c r="C119" t="s">
        <v>277</v>
      </c>
      <c r="D119" t="s">
        <v>18</v>
      </c>
      <c r="E119" t="s">
        <v>19</v>
      </c>
      <c r="F119" t="s">
        <v>137</v>
      </c>
      <c r="G119">
        <v>3</v>
      </c>
      <c r="H119" s="5">
        <v>3</v>
      </c>
      <c r="I119" t="s">
        <v>32</v>
      </c>
      <c r="J119" t="s">
        <v>55</v>
      </c>
      <c r="K119" t="s">
        <v>55</v>
      </c>
      <c r="L119" t="s">
        <v>2122</v>
      </c>
      <c r="M119" s="5">
        <f t="shared" si="7"/>
        <v>9</v>
      </c>
      <c r="N119" t="str">
        <f t="shared" si="8"/>
        <v>April</v>
      </c>
      <c r="O119" t="str">
        <f t="shared" si="9"/>
        <v>Wednesday</v>
      </c>
      <c r="P119">
        <f t="shared" si="6"/>
        <v>8</v>
      </c>
      <c r="Q119" s="2">
        <f t="shared" si="10"/>
        <v>3</v>
      </c>
      <c r="R119" s="2">
        <f t="shared" si="11"/>
        <v>4</v>
      </c>
      <c r="S119">
        <f>SUMIF(Table1[product_category],"Bakery",Table1[Total_bill])</f>
        <v>2951.25</v>
      </c>
    </row>
    <row r="120" spans="1:19" x14ac:dyDescent="0.3">
      <c r="A120" s="2">
        <v>10119</v>
      </c>
      <c r="B120" s="4">
        <v>45750</v>
      </c>
      <c r="C120" t="s">
        <v>278</v>
      </c>
      <c r="D120" t="s">
        <v>40</v>
      </c>
      <c r="E120" t="s">
        <v>41</v>
      </c>
      <c r="F120" t="s">
        <v>140</v>
      </c>
      <c r="G120">
        <v>2</v>
      </c>
      <c r="H120" s="5">
        <v>4</v>
      </c>
      <c r="I120" t="s">
        <v>89</v>
      </c>
      <c r="J120" t="s">
        <v>261</v>
      </c>
      <c r="K120" t="s">
        <v>261</v>
      </c>
      <c r="L120" t="s">
        <v>2124</v>
      </c>
      <c r="M120" s="5">
        <f t="shared" si="7"/>
        <v>8</v>
      </c>
      <c r="N120" t="str">
        <f t="shared" si="8"/>
        <v>April</v>
      </c>
      <c r="O120" t="str">
        <f t="shared" si="9"/>
        <v>Thursday</v>
      </c>
      <c r="P120">
        <f t="shared" si="6"/>
        <v>18</v>
      </c>
      <c r="Q120" s="2">
        <f t="shared" si="10"/>
        <v>4</v>
      </c>
      <c r="R120" s="2">
        <f t="shared" si="11"/>
        <v>4</v>
      </c>
      <c r="S120">
        <f>SUMIF(Table1[product_category],"Bakery",Table1[Total_bill])</f>
        <v>2951.25</v>
      </c>
    </row>
    <row r="121" spans="1:19" x14ac:dyDescent="0.3">
      <c r="A121" s="2">
        <v>10120</v>
      </c>
      <c r="B121" s="4">
        <v>45751</v>
      </c>
      <c r="C121" t="s">
        <v>279</v>
      </c>
      <c r="D121" t="s">
        <v>18</v>
      </c>
      <c r="E121" t="s">
        <v>19</v>
      </c>
      <c r="F121" t="s">
        <v>143</v>
      </c>
      <c r="G121">
        <v>3</v>
      </c>
      <c r="H121" s="5">
        <v>3</v>
      </c>
      <c r="I121" t="s">
        <v>36</v>
      </c>
      <c r="J121" t="s">
        <v>246</v>
      </c>
      <c r="K121" t="s">
        <v>247</v>
      </c>
      <c r="L121" t="s">
        <v>2124</v>
      </c>
      <c r="M121" s="5">
        <f t="shared" si="7"/>
        <v>9</v>
      </c>
      <c r="N121" t="str">
        <f t="shared" si="8"/>
        <v>April</v>
      </c>
      <c r="O121" t="str">
        <f t="shared" si="9"/>
        <v>Friday</v>
      </c>
      <c r="P121">
        <f t="shared" si="6"/>
        <v>12</v>
      </c>
      <c r="Q121" s="2">
        <f t="shared" si="10"/>
        <v>5</v>
      </c>
      <c r="R121" s="2">
        <f t="shared" si="11"/>
        <v>4</v>
      </c>
      <c r="S121">
        <f>SUMIF(Table1[product_category],"Bakery",Table1[Total_bill])</f>
        <v>2951.25</v>
      </c>
    </row>
    <row r="122" spans="1:19" x14ac:dyDescent="0.3">
      <c r="A122" s="2">
        <v>10121</v>
      </c>
      <c r="B122" s="4">
        <v>45752</v>
      </c>
      <c r="C122" t="s">
        <v>280</v>
      </c>
      <c r="D122" t="s">
        <v>25</v>
      </c>
      <c r="E122" t="s">
        <v>26</v>
      </c>
      <c r="F122" t="s">
        <v>146</v>
      </c>
      <c r="G122">
        <v>4</v>
      </c>
      <c r="H122" s="5">
        <v>3.25</v>
      </c>
      <c r="I122" t="s">
        <v>32</v>
      </c>
      <c r="J122" t="s">
        <v>226</v>
      </c>
      <c r="K122" t="s">
        <v>273</v>
      </c>
      <c r="L122" t="s">
        <v>2124</v>
      </c>
      <c r="M122" s="5">
        <f t="shared" si="7"/>
        <v>13</v>
      </c>
      <c r="N122" t="str">
        <f t="shared" si="8"/>
        <v>April</v>
      </c>
      <c r="O122" t="str">
        <f t="shared" si="9"/>
        <v>Saturday</v>
      </c>
      <c r="P122">
        <f t="shared" si="6"/>
        <v>16</v>
      </c>
      <c r="Q122" s="2">
        <f t="shared" si="10"/>
        <v>6</v>
      </c>
      <c r="R122" s="2">
        <f t="shared" si="11"/>
        <v>4</v>
      </c>
      <c r="S122">
        <f>SUMIF(Table1[product_category],"Bakery",Table1[Total_bill])</f>
        <v>2951.25</v>
      </c>
    </row>
    <row r="123" spans="1:19" x14ac:dyDescent="0.3">
      <c r="A123" s="2">
        <v>10122</v>
      </c>
      <c r="B123" s="4">
        <v>45753</v>
      </c>
      <c r="C123" t="s">
        <v>281</v>
      </c>
      <c r="D123" t="s">
        <v>18</v>
      </c>
      <c r="E123" t="s">
        <v>19</v>
      </c>
      <c r="F123" t="s">
        <v>148</v>
      </c>
      <c r="G123">
        <v>1</v>
      </c>
      <c r="H123" s="5">
        <v>2.5</v>
      </c>
      <c r="I123" t="s">
        <v>21</v>
      </c>
      <c r="J123" t="s">
        <v>47</v>
      </c>
      <c r="K123" t="s">
        <v>48</v>
      </c>
      <c r="L123" t="s">
        <v>2125</v>
      </c>
      <c r="M123" s="5">
        <f t="shared" si="7"/>
        <v>2.5</v>
      </c>
      <c r="N123" t="str">
        <f t="shared" si="8"/>
        <v>April</v>
      </c>
      <c r="O123" t="str">
        <f t="shared" si="9"/>
        <v>Sunday</v>
      </c>
      <c r="P123">
        <f t="shared" si="6"/>
        <v>18</v>
      </c>
      <c r="Q123" s="2">
        <f t="shared" si="10"/>
        <v>7</v>
      </c>
      <c r="R123" s="2">
        <f t="shared" si="11"/>
        <v>4</v>
      </c>
      <c r="S123">
        <f>SUMIF(Table1[product_category],"Bakery",Table1[Total_bill])</f>
        <v>2951.25</v>
      </c>
    </row>
    <row r="124" spans="1:19" x14ac:dyDescent="0.3">
      <c r="A124" s="2">
        <v>10123</v>
      </c>
      <c r="B124" s="4">
        <v>45754</v>
      </c>
      <c r="C124" t="s">
        <v>282</v>
      </c>
      <c r="D124" t="s">
        <v>25</v>
      </c>
      <c r="E124" t="s">
        <v>26</v>
      </c>
      <c r="F124" t="s">
        <v>150</v>
      </c>
      <c r="G124">
        <v>3</v>
      </c>
      <c r="H124" s="5">
        <v>13</v>
      </c>
      <c r="I124" t="s">
        <v>98</v>
      </c>
      <c r="J124" t="s">
        <v>98</v>
      </c>
      <c r="K124" t="s">
        <v>95</v>
      </c>
      <c r="L124" t="s">
        <v>2125</v>
      </c>
      <c r="M124" s="5">
        <f t="shared" si="7"/>
        <v>39</v>
      </c>
      <c r="N124" t="str">
        <f t="shared" si="8"/>
        <v>April</v>
      </c>
      <c r="O124" t="str">
        <f t="shared" si="9"/>
        <v>Monday</v>
      </c>
      <c r="P124">
        <f t="shared" si="6"/>
        <v>9</v>
      </c>
      <c r="Q124" s="2">
        <f t="shared" si="10"/>
        <v>1</v>
      </c>
      <c r="R124" s="2">
        <f t="shared" si="11"/>
        <v>4</v>
      </c>
      <c r="S124">
        <f>SUMIF(Table1[product_category],"Bakery",Table1[Total_bill])</f>
        <v>2951.25</v>
      </c>
    </row>
    <row r="125" spans="1:19" x14ac:dyDescent="0.3">
      <c r="A125" s="2">
        <v>10124</v>
      </c>
      <c r="B125" s="4">
        <v>45755</v>
      </c>
      <c r="C125" t="s">
        <v>283</v>
      </c>
      <c r="D125" t="s">
        <v>40</v>
      </c>
      <c r="E125" t="s">
        <v>41</v>
      </c>
      <c r="F125" t="s">
        <v>152</v>
      </c>
      <c r="G125">
        <v>2</v>
      </c>
      <c r="H125" s="5">
        <v>4.75</v>
      </c>
      <c r="I125" t="s">
        <v>32</v>
      </c>
      <c r="J125" t="s">
        <v>202</v>
      </c>
      <c r="K125" t="s">
        <v>202</v>
      </c>
      <c r="L125" t="s">
        <v>2123</v>
      </c>
      <c r="M125" s="5">
        <f t="shared" si="7"/>
        <v>9.5</v>
      </c>
      <c r="N125" t="str">
        <f t="shared" si="8"/>
        <v>April</v>
      </c>
      <c r="O125" t="str">
        <f t="shared" si="9"/>
        <v>Tuesday</v>
      </c>
      <c r="P125">
        <f t="shared" si="6"/>
        <v>7</v>
      </c>
      <c r="Q125" s="2">
        <f t="shared" si="10"/>
        <v>2</v>
      </c>
      <c r="R125" s="2">
        <f t="shared" si="11"/>
        <v>4</v>
      </c>
      <c r="S125">
        <f>SUMIF(Table1[product_category],"Bakery",Table1[Total_bill])</f>
        <v>2951.25</v>
      </c>
    </row>
    <row r="126" spans="1:19" x14ac:dyDescent="0.3">
      <c r="A126" s="2">
        <v>10125</v>
      </c>
      <c r="B126" s="4">
        <v>45756</v>
      </c>
      <c r="C126" t="s">
        <v>284</v>
      </c>
      <c r="D126" t="s">
        <v>18</v>
      </c>
      <c r="E126" t="s">
        <v>19</v>
      </c>
      <c r="F126" t="s">
        <v>154</v>
      </c>
      <c r="G126">
        <v>4</v>
      </c>
      <c r="H126" s="5">
        <v>9.5</v>
      </c>
      <c r="I126" t="s">
        <v>28</v>
      </c>
      <c r="J126" t="s">
        <v>28</v>
      </c>
      <c r="K126" t="s">
        <v>29</v>
      </c>
      <c r="L126" t="s">
        <v>2125</v>
      </c>
      <c r="M126" s="5">
        <f t="shared" si="7"/>
        <v>38</v>
      </c>
      <c r="N126" t="str">
        <f t="shared" si="8"/>
        <v>April</v>
      </c>
      <c r="O126" t="str">
        <f t="shared" si="9"/>
        <v>Wednesday</v>
      </c>
      <c r="P126">
        <f t="shared" si="6"/>
        <v>8</v>
      </c>
      <c r="Q126" s="2">
        <f t="shared" si="10"/>
        <v>3</v>
      </c>
      <c r="R126" s="2">
        <f t="shared" si="11"/>
        <v>4</v>
      </c>
      <c r="S126">
        <f>SUMIF(Table1[product_category],"Bakery",Table1[Total_bill])</f>
        <v>2951.25</v>
      </c>
    </row>
    <row r="127" spans="1:19" x14ac:dyDescent="0.3">
      <c r="A127" s="2">
        <v>10126</v>
      </c>
      <c r="B127" s="4">
        <v>45757</v>
      </c>
      <c r="C127" t="s">
        <v>285</v>
      </c>
      <c r="D127" t="s">
        <v>18</v>
      </c>
      <c r="E127" t="s">
        <v>19</v>
      </c>
      <c r="F127" t="s">
        <v>156</v>
      </c>
      <c r="G127">
        <v>3</v>
      </c>
      <c r="H127" s="5">
        <v>2.75</v>
      </c>
      <c r="I127" t="s">
        <v>21</v>
      </c>
      <c r="J127" t="s">
        <v>22</v>
      </c>
      <c r="K127" t="s">
        <v>23</v>
      </c>
      <c r="L127" t="s">
        <v>2125</v>
      </c>
      <c r="M127" s="5">
        <f t="shared" si="7"/>
        <v>8.25</v>
      </c>
      <c r="N127" t="str">
        <f t="shared" si="8"/>
        <v>April</v>
      </c>
      <c r="O127" t="str">
        <f t="shared" si="9"/>
        <v>Thursday</v>
      </c>
      <c r="P127">
        <f t="shared" si="6"/>
        <v>10</v>
      </c>
      <c r="Q127" s="2">
        <f t="shared" si="10"/>
        <v>4</v>
      </c>
      <c r="R127" s="2">
        <f t="shared" si="11"/>
        <v>4</v>
      </c>
      <c r="S127">
        <f>SUMIF(Table1[product_category],"Bakery",Table1[Total_bill])</f>
        <v>2951.25</v>
      </c>
    </row>
    <row r="128" spans="1:19" x14ac:dyDescent="0.3">
      <c r="A128" s="2">
        <v>10127</v>
      </c>
      <c r="B128" s="4">
        <v>45758</v>
      </c>
      <c r="C128" t="s">
        <v>286</v>
      </c>
      <c r="D128" t="s">
        <v>25</v>
      </c>
      <c r="E128" t="s">
        <v>26</v>
      </c>
      <c r="F128" t="s">
        <v>158</v>
      </c>
      <c r="G128">
        <v>4</v>
      </c>
      <c r="H128" s="5">
        <v>2.75</v>
      </c>
      <c r="I128" t="s">
        <v>21</v>
      </c>
      <c r="J128" t="s">
        <v>22</v>
      </c>
      <c r="K128" t="s">
        <v>23</v>
      </c>
      <c r="L128" t="s">
        <v>2125</v>
      </c>
      <c r="M128" s="5">
        <f t="shared" si="7"/>
        <v>11</v>
      </c>
      <c r="N128" t="str">
        <f t="shared" si="8"/>
        <v>April</v>
      </c>
      <c r="O128" t="str">
        <f t="shared" si="9"/>
        <v>Friday</v>
      </c>
      <c r="P128">
        <f t="shared" si="6"/>
        <v>16</v>
      </c>
      <c r="Q128" s="2">
        <f t="shared" si="10"/>
        <v>5</v>
      </c>
      <c r="R128" s="2">
        <f t="shared" si="11"/>
        <v>4</v>
      </c>
      <c r="S128">
        <f>SUMIF(Table1[product_category],"Bakery",Table1[Total_bill])</f>
        <v>2951.25</v>
      </c>
    </row>
    <row r="129" spans="1:19" x14ac:dyDescent="0.3">
      <c r="A129" s="2">
        <v>10128</v>
      </c>
      <c r="B129" s="4">
        <v>45759</v>
      </c>
      <c r="C129" t="s">
        <v>287</v>
      </c>
      <c r="D129" t="s">
        <v>18</v>
      </c>
      <c r="E129" t="s">
        <v>19</v>
      </c>
      <c r="F129" t="s">
        <v>160</v>
      </c>
      <c r="G129">
        <v>1</v>
      </c>
      <c r="H129" s="5">
        <v>4</v>
      </c>
      <c r="I129" t="s">
        <v>89</v>
      </c>
      <c r="J129" t="s">
        <v>261</v>
      </c>
      <c r="K129" t="s">
        <v>261</v>
      </c>
      <c r="L129" t="s">
        <v>2124</v>
      </c>
      <c r="M129" s="5">
        <f t="shared" si="7"/>
        <v>4</v>
      </c>
      <c r="N129" t="str">
        <f t="shared" si="8"/>
        <v>April</v>
      </c>
      <c r="O129" t="str">
        <f t="shared" si="9"/>
        <v>Saturday</v>
      </c>
      <c r="P129">
        <f t="shared" si="6"/>
        <v>17</v>
      </c>
      <c r="Q129" s="2">
        <f t="shared" si="10"/>
        <v>6</v>
      </c>
      <c r="R129" s="2">
        <f t="shared" si="11"/>
        <v>4</v>
      </c>
      <c r="S129">
        <f>SUMIF(Table1[product_category],"Bakery",Table1[Total_bill])</f>
        <v>2951.25</v>
      </c>
    </row>
    <row r="130" spans="1:19" x14ac:dyDescent="0.3">
      <c r="A130" s="2">
        <v>10129</v>
      </c>
      <c r="B130" s="4">
        <v>45760</v>
      </c>
      <c r="C130" t="s">
        <v>288</v>
      </c>
      <c r="D130" t="s">
        <v>25</v>
      </c>
      <c r="E130" t="s">
        <v>26</v>
      </c>
      <c r="F130" t="s">
        <v>162</v>
      </c>
      <c r="G130">
        <v>2</v>
      </c>
      <c r="H130" s="5">
        <v>6</v>
      </c>
      <c r="I130" t="s">
        <v>72</v>
      </c>
      <c r="J130" t="s">
        <v>72</v>
      </c>
      <c r="K130" t="s">
        <v>138</v>
      </c>
      <c r="L130" t="s">
        <v>2125</v>
      </c>
      <c r="M130" s="5">
        <f t="shared" si="7"/>
        <v>12</v>
      </c>
      <c r="N130" t="str">
        <f t="shared" si="8"/>
        <v>April</v>
      </c>
      <c r="O130" t="str">
        <f t="shared" si="9"/>
        <v>Sunday</v>
      </c>
      <c r="P130">
        <f t="shared" ref="P130:P193" si="12">HOUR(TIMEVALUE(C130))</f>
        <v>6</v>
      </c>
      <c r="Q130" s="2">
        <f t="shared" si="10"/>
        <v>7</v>
      </c>
      <c r="R130" s="2">
        <f t="shared" si="11"/>
        <v>4</v>
      </c>
      <c r="S130">
        <f>SUMIF(Table1[product_category],"Bakery",Table1[Total_bill])</f>
        <v>2951.25</v>
      </c>
    </row>
    <row r="131" spans="1:19" x14ac:dyDescent="0.3">
      <c r="A131" s="2">
        <v>10130</v>
      </c>
      <c r="B131" s="4">
        <v>45761</v>
      </c>
      <c r="C131" t="s">
        <v>289</v>
      </c>
      <c r="D131" t="s">
        <v>40</v>
      </c>
      <c r="E131" t="s">
        <v>41</v>
      </c>
      <c r="F131" t="s">
        <v>164</v>
      </c>
      <c r="G131">
        <v>3</v>
      </c>
      <c r="H131" s="5">
        <v>2.75</v>
      </c>
      <c r="I131" t="s">
        <v>21</v>
      </c>
      <c r="J131" t="s">
        <v>22</v>
      </c>
      <c r="K131" t="s">
        <v>23</v>
      </c>
      <c r="L131" t="s">
        <v>2125</v>
      </c>
      <c r="M131" s="5">
        <f t="shared" ref="M131:M194" si="13">G131*H131</f>
        <v>8.25</v>
      </c>
      <c r="N131" t="str">
        <f t="shared" ref="N131:N194" si="14">TEXT(B131,"mmmm")</f>
        <v>April</v>
      </c>
      <c r="O131" t="str">
        <f t="shared" ref="O131:O194" si="15">TEXT(B131,"dddd")</f>
        <v>Monday</v>
      </c>
      <c r="P131">
        <f t="shared" si="12"/>
        <v>12</v>
      </c>
      <c r="Q131" s="2">
        <f t="shared" ref="Q131:Q194" si="16">WEEKDAY(B131,2)</f>
        <v>1</v>
      </c>
      <c r="R131" s="2">
        <f t="shared" ref="R131:R194" si="17">MONTH(B131)</f>
        <v>4</v>
      </c>
      <c r="S131">
        <f>SUMIF(Table1[product_category],"Bakery",Table1[Total_bill])</f>
        <v>2951.25</v>
      </c>
    </row>
    <row r="132" spans="1:19" x14ac:dyDescent="0.3">
      <c r="A132" s="2">
        <v>10131</v>
      </c>
      <c r="B132" s="4">
        <v>45762</v>
      </c>
      <c r="C132" t="s">
        <v>290</v>
      </c>
      <c r="D132" t="s">
        <v>25</v>
      </c>
      <c r="E132" t="s">
        <v>26</v>
      </c>
      <c r="F132" t="s">
        <v>166</v>
      </c>
      <c r="G132">
        <v>4</v>
      </c>
      <c r="H132" s="5">
        <v>3.5</v>
      </c>
      <c r="I132" t="s">
        <v>32</v>
      </c>
      <c r="J132" t="s">
        <v>33</v>
      </c>
      <c r="K132" t="s">
        <v>33</v>
      </c>
      <c r="L132" t="s">
        <v>2122</v>
      </c>
      <c r="M132" s="5">
        <f t="shared" si="13"/>
        <v>14</v>
      </c>
      <c r="N132" t="str">
        <f t="shared" si="14"/>
        <v>April</v>
      </c>
      <c r="O132" t="str">
        <f t="shared" si="15"/>
        <v>Tuesday</v>
      </c>
      <c r="P132">
        <f t="shared" si="12"/>
        <v>10</v>
      </c>
      <c r="Q132" s="2">
        <f t="shared" si="16"/>
        <v>2</v>
      </c>
      <c r="R132" s="2">
        <f t="shared" si="17"/>
        <v>4</v>
      </c>
      <c r="S132">
        <f>SUMIF(Table1[product_category],"Bakery",Table1[Total_bill])</f>
        <v>2951.25</v>
      </c>
    </row>
    <row r="133" spans="1:19" x14ac:dyDescent="0.3">
      <c r="A133" s="2">
        <v>10132</v>
      </c>
      <c r="B133" s="4">
        <v>45763</v>
      </c>
      <c r="C133" t="s">
        <v>291</v>
      </c>
      <c r="D133" t="s">
        <v>25</v>
      </c>
      <c r="E133" t="s">
        <v>26</v>
      </c>
      <c r="F133" t="s">
        <v>168</v>
      </c>
      <c r="G133">
        <v>4</v>
      </c>
      <c r="H133" s="5">
        <v>5.5</v>
      </c>
      <c r="I133" t="s">
        <v>72</v>
      </c>
      <c r="J133" t="s">
        <v>72</v>
      </c>
      <c r="K133" t="s">
        <v>141</v>
      </c>
      <c r="L133" t="s">
        <v>2125</v>
      </c>
      <c r="M133" s="5">
        <f t="shared" si="13"/>
        <v>22</v>
      </c>
      <c r="N133" t="str">
        <f t="shared" si="14"/>
        <v>April</v>
      </c>
      <c r="O133" t="str">
        <f t="shared" si="15"/>
        <v>Wednesday</v>
      </c>
      <c r="P133">
        <f t="shared" si="12"/>
        <v>8</v>
      </c>
      <c r="Q133" s="2">
        <f t="shared" si="16"/>
        <v>3</v>
      </c>
      <c r="R133" s="2">
        <f t="shared" si="17"/>
        <v>4</v>
      </c>
      <c r="S133">
        <f>SUMIF(Table1[product_category],"Bakery",Table1[Total_bill])</f>
        <v>2951.25</v>
      </c>
    </row>
    <row r="134" spans="1:19" x14ac:dyDescent="0.3">
      <c r="A134" s="2">
        <v>10133</v>
      </c>
      <c r="B134" s="4">
        <v>45764</v>
      </c>
      <c r="C134" t="s">
        <v>292</v>
      </c>
      <c r="D134" t="s">
        <v>25</v>
      </c>
      <c r="E134" t="s">
        <v>26</v>
      </c>
      <c r="F134" t="s">
        <v>170</v>
      </c>
      <c r="G134">
        <v>2</v>
      </c>
      <c r="H134" s="5">
        <v>3</v>
      </c>
      <c r="I134" t="s">
        <v>21</v>
      </c>
      <c r="J134" t="s">
        <v>181</v>
      </c>
      <c r="K134" t="s">
        <v>182</v>
      </c>
      <c r="L134" t="s">
        <v>2125</v>
      </c>
      <c r="M134" s="5">
        <f t="shared" si="13"/>
        <v>6</v>
      </c>
      <c r="N134" t="str">
        <f t="shared" si="14"/>
        <v>April</v>
      </c>
      <c r="O134" t="str">
        <f t="shared" si="15"/>
        <v>Thursday</v>
      </c>
      <c r="P134">
        <f t="shared" si="12"/>
        <v>7</v>
      </c>
      <c r="Q134" s="2">
        <f t="shared" si="16"/>
        <v>4</v>
      </c>
      <c r="R134" s="2">
        <f t="shared" si="17"/>
        <v>4</v>
      </c>
      <c r="S134">
        <f>SUMIF(Table1[product_category],"Bakery",Table1[Total_bill])</f>
        <v>2951.25</v>
      </c>
    </row>
    <row r="135" spans="1:19" x14ac:dyDescent="0.3">
      <c r="A135" s="2">
        <v>10134</v>
      </c>
      <c r="B135" s="4">
        <v>45765</v>
      </c>
      <c r="C135" t="s">
        <v>293</v>
      </c>
      <c r="D135" t="s">
        <v>40</v>
      </c>
      <c r="E135" t="s">
        <v>41</v>
      </c>
      <c r="F135" t="s">
        <v>172</v>
      </c>
      <c r="G135">
        <v>4</v>
      </c>
      <c r="H135" s="5">
        <v>2.25</v>
      </c>
      <c r="I135" t="s">
        <v>21</v>
      </c>
      <c r="J135" t="s">
        <v>58</v>
      </c>
      <c r="K135" t="s">
        <v>59</v>
      </c>
      <c r="L135" t="s">
        <v>2125</v>
      </c>
      <c r="M135" s="5">
        <f t="shared" si="13"/>
        <v>9</v>
      </c>
      <c r="N135" t="str">
        <f t="shared" si="14"/>
        <v>April</v>
      </c>
      <c r="O135" t="str">
        <f t="shared" si="15"/>
        <v>Friday</v>
      </c>
      <c r="P135">
        <f t="shared" si="12"/>
        <v>9</v>
      </c>
      <c r="Q135" s="2">
        <f t="shared" si="16"/>
        <v>5</v>
      </c>
      <c r="R135" s="2">
        <f t="shared" si="17"/>
        <v>4</v>
      </c>
      <c r="S135">
        <f>SUMIF(Table1[product_category],"Bakery",Table1[Total_bill])</f>
        <v>2951.25</v>
      </c>
    </row>
    <row r="136" spans="1:19" x14ac:dyDescent="0.3">
      <c r="A136" s="2">
        <v>10135</v>
      </c>
      <c r="B136" s="4">
        <v>45766</v>
      </c>
      <c r="C136" t="s">
        <v>294</v>
      </c>
      <c r="D136" t="s">
        <v>40</v>
      </c>
      <c r="E136" t="s">
        <v>41</v>
      </c>
      <c r="F136" t="s">
        <v>174</v>
      </c>
      <c r="G136">
        <v>3</v>
      </c>
      <c r="H136" s="5">
        <v>8</v>
      </c>
      <c r="I136" t="s">
        <v>28</v>
      </c>
      <c r="J136" t="s">
        <v>28</v>
      </c>
      <c r="K136" t="s">
        <v>76</v>
      </c>
      <c r="L136" t="s">
        <v>2125</v>
      </c>
      <c r="M136" s="5">
        <f t="shared" si="13"/>
        <v>24</v>
      </c>
      <c r="N136" t="str">
        <f t="shared" si="14"/>
        <v>April</v>
      </c>
      <c r="O136" t="str">
        <f t="shared" si="15"/>
        <v>Saturday</v>
      </c>
      <c r="P136">
        <f t="shared" si="12"/>
        <v>19</v>
      </c>
      <c r="Q136" s="2">
        <f t="shared" si="16"/>
        <v>6</v>
      </c>
      <c r="R136" s="2">
        <f t="shared" si="17"/>
        <v>4</v>
      </c>
      <c r="S136">
        <f>SUMIF(Table1[product_category],"Bakery",Table1[Total_bill])</f>
        <v>2951.25</v>
      </c>
    </row>
    <row r="137" spans="1:19" x14ac:dyDescent="0.3">
      <c r="A137" s="2">
        <v>10136</v>
      </c>
      <c r="B137" s="4">
        <v>45767</v>
      </c>
      <c r="C137" t="s">
        <v>295</v>
      </c>
      <c r="D137" t="s">
        <v>40</v>
      </c>
      <c r="E137" t="s">
        <v>41</v>
      </c>
      <c r="F137" t="s">
        <v>176</v>
      </c>
      <c r="G137">
        <v>3</v>
      </c>
      <c r="H137" s="5">
        <v>3.25</v>
      </c>
      <c r="I137" t="s">
        <v>21</v>
      </c>
      <c r="J137" t="s">
        <v>81</v>
      </c>
      <c r="K137" t="s">
        <v>113</v>
      </c>
      <c r="L137" t="s">
        <v>2125</v>
      </c>
      <c r="M137" s="5">
        <f t="shared" si="13"/>
        <v>9.75</v>
      </c>
      <c r="N137" t="str">
        <f t="shared" si="14"/>
        <v>April</v>
      </c>
      <c r="O137" t="str">
        <f t="shared" si="15"/>
        <v>Sunday</v>
      </c>
      <c r="P137">
        <f t="shared" si="12"/>
        <v>9</v>
      </c>
      <c r="Q137" s="2">
        <f t="shared" si="16"/>
        <v>7</v>
      </c>
      <c r="R137" s="2">
        <f t="shared" si="17"/>
        <v>4</v>
      </c>
      <c r="S137">
        <f>SUMIF(Table1[product_category],"Bakery",Table1[Total_bill])</f>
        <v>2951.25</v>
      </c>
    </row>
    <row r="138" spans="1:19" x14ac:dyDescent="0.3">
      <c r="A138" s="2">
        <v>10137</v>
      </c>
      <c r="B138" s="4">
        <v>45768</v>
      </c>
      <c r="C138" t="s">
        <v>296</v>
      </c>
      <c r="D138" t="s">
        <v>25</v>
      </c>
      <c r="E138" t="s">
        <v>26</v>
      </c>
      <c r="F138" t="s">
        <v>178</v>
      </c>
      <c r="G138">
        <v>1</v>
      </c>
      <c r="H138" s="5">
        <v>3.25</v>
      </c>
      <c r="I138" t="s">
        <v>21</v>
      </c>
      <c r="J138" t="s">
        <v>81</v>
      </c>
      <c r="K138" t="s">
        <v>82</v>
      </c>
      <c r="L138" t="s">
        <v>2125</v>
      </c>
      <c r="M138" s="5">
        <f t="shared" si="13"/>
        <v>3.25</v>
      </c>
      <c r="N138" t="str">
        <f t="shared" si="14"/>
        <v>April</v>
      </c>
      <c r="O138" t="str">
        <f t="shared" si="15"/>
        <v>Monday</v>
      </c>
      <c r="P138">
        <f t="shared" si="12"/>
        <v>12</v>
      </c>
      <c r="Q138" s="2">
        <f t="shared" si="16"/>
        <v>1</v>
      </c>
      <c r="R138" s="2">
        <f t="shared" si="17"/>
        <v>4</v>
      </c>
      <c r="S138">
        <f>SUMIF(Table1[product_category],"Bakery",Table1[Total_bill])</f>
        <v>2951.25</v>
      </c>
    </row>
    <row r="139" spans="1:19" x14ac:dyDescent="0.3">
      <c r="A139" s="2">
        <v>10138</v>
      </c>
      <c r="B139" s="4">
        <v>45769</v>
      </c>
      <c r="C139" t="s">
        <v>297</v>
      </c>
      <c r="D139" t="s">
        <v>25</v>
      </c>
      <c r="E139" t="s">
        <v>26</v>
      </c>
      <c r="F139" t="s">
        <v>180</v>
      </c>
      <c r="G139">
        <v>4</v>
      </c>
      <c r="H139" s="5">
        <v>2.5</v>
      </c>
      <c r="I139" t="s">
        <v>36</v>
      </c>
      <c r="J139" t="s">
        <v>37</v>
      </c>
      <c r="K139" t="s">
        <v>38</v>
      </c>
      <c r="L139" t="s">
        <v>2122</v>
      </c>
      <c r="M139" s="5">
        <f t="shared" si="13"/>
        <v>10</v>
      </c>
      <c r="N139" t="str">
        <f t="shared" si="14"/>
        <v>April</v>
      </c>
      <c r="O139" t="str">
        <f t="shared" si="15"/>
        <v>Tuesday</v>
      </c>
      <c r="P139">
        <f t="shared" si="12"/>
        <v>14</v>
      </c>
      <c r="Q139" s="2">
        <f t="shared" si="16"/>
        <v>2</v>
      </c>
      <c r="R139" s="2">
        <f t="shared" si="17"/>
        <v>4</v>
      </c>
      <c r="S139">
        <f>SUMIF(Table1[product_category],"Bakery",Table1[Total_bill])</f>
        <v>2951.25</v>
      </c>
    </row>
    <row r="140" spans="1:19" x14ac:dyDescent="0.3">
      <c r="A140" s="2">
        <v>10139</v>
      </c>
      <c r="B140" s="4">
        <v>45770</v>
      </c>
      <c r="C140" t="s">
        <v>298</v>
      </c>
      <c r="D140" t="s">
        <v>18</v>
      </c>
      <c r="E140" t="s">
        <v>19</v>
      </c>
      <c r="F140" t="s">
        <v>184</v>
      </c>
      <c r="G140">
        <v>1</v>
      </c>
      <c r="H140" s="5">
        <v>3</v>
      </c>
      <c r="I140" t="s">
        <v>21</v>
      </c>
      <c r="J140" t="s">
        <v>181</v>
      </c>
      <c r="K140" t="s">
        <v>182</v>
      </c>
      <c r="L140" t="s">
        <v>2125</v>
      </c>
      <c r="M140" s="5">
        <f t="shared" si="13"/>
        <v>3</v>
      </c>
      <c r="N140" t="str">
        <f t="shared" si="14"/>
        <v>April</v>
      </c>
      <c r="O140" t="str">
        <f t="shared" si="15"/>
        <v>Wednesday</v>
      </c>
      <c r="P140">
        <f t="shared" si="12"/>
        <v>10</v>
      </c>
      <c r="Q140" s="2">
        <f t="shared" si="16"/>
        <v>3</v>
      </c>
      <c r="R140" s="2">
        <f t="shared" si="17"/>
        <v>4</v>
      </c>
      <c r="S140">
        <f>SUMIF(Table1[product_category],"Bakery",Table1[Total_bill])</f>
        <v>2951.25</v>
      </c>
    </row>
    <row r="141" spans="1:19" x14ac:dyDescent="0.3">
      <c r="A141" s="2">
        <v>10140</v>
      </c>
      <c r="B141" s="4">
        <v>45771</v>
      </c>
      <c r="C141" t="s">
        <v>299</v>
      </c>
      <c r="D141" t="s">
        <v>40</v>
      </c>
      <c r="E141" t="s">
        <v>41</v>
      </c>
      <c r="F141" t="s">
        <v>186</v>
      </c>
      <c r="G141">
        <v>1</v>
      </c>
      <c r="H141" s="5">
        <v>3.75</v>
      </c>
      <c r="I141" t="s">
        <v>36</v>
      </c>
      <c r="J141" t="s">
        <v>211</v>
      </c>
      <c r="K141" t="s">
        <v>239</v>
      </c>
      <c r="L141" t="s">
        <v>2124</v>
      </c>
      <c r="M141" s="5">
        <f t="shared" si="13"/>
        <v>3.75</v>
      </c>
      <c r="N141" t="str">
        <f t="shared" si="14"/>
        <v>April</v>
      </c>
      <c r="O141" t="str">
        <f t="shared" si="15"/>
        <v>Thursday</v>
      </c>
      <c r="P141">
        <f t="shared" si="12"/>
        <v>20</v>
      </c>
      <c r="Q141" s="2">
        <f t="shared" si="16"/>
        <v>4</v>
      </c>
      <c r="R141" s="2">
        <f t="shared" si="17"/>
        <v>4</v>
      </c>
      <c r="S141">
        <f>SUMIF(Table1[product_category],"Bakery",Table1[Total_bill])</f>
        <v>2951.25</v>
      </c>
    </row>
    <row r="142" spans="1:19" x14ac:dyDescent="0.3">
      <c r="A142" s="2">
        <v>10141</v>
      </c>
      <c r="B142" s="4">
        <v>45772</v>
      </c>
      <c r="C142" t="s">
        <v>300</v>
      </c>
      <c r="D142" t="s">
        <v>40</v>
      </c>
      <c r="E142" t="s">
        <v>41</v>
      </c>
      <c r="F142" t="s">
        <v>188</v>
      </c>
      <c r="G142">
        <v>3</v>
      </c>
      <c r="H142" s="5">
        <v>2.75</v>
      </c>
      <c r="I142" t="s">
        <v>32</v>
      </c>
      <c r="J142" t="s">
        <v>226</v>
      </c>
      <c r="K142" t="s">
        <v>273</v>
      </c>
      <c r="L142" t="s">
        <v>2122</v>
      </c>
      <c r="M142" s="5">
        <f t="shared" si="13"/>
        <v>8.25</v>
      </c>
      <c r="N142" t="str">
        <f t="shared" si="14"/>
        <v>April</v>
      </c>
      <c r="O142" t="str">
        <f t="shared" si="15"/>
        <v>Friday</v>
      </c>
      <c r="P142">
        <f t="shared" si="12"/>
        <v>20</v>
      </c>
      <c r="Q142" s="2">
        <f t="shared" si="16"/>
        <v>5</v>
      </c>
      <c r="R142" s="2">
        <f t="shared" si="17"/>
        <v>4</v>
      </c>
      <c r="S142">
        <f>SUMIF(Table1[product_category],"Bakery",Table1[Total_bill])</f>
        <v>2951.25</v>
      </c>
    </row>
    <row r="143" spans="1:19" x14ac:dyDescent="0.3">
      <c r="A143" s="2">
        <v>10142</v>
      </c>
      <c r="B143" s="4">
        <v>45773</v>
      </c>
      <c r="C143" t="s">
        <v>301</v>
      </c>
      <c r="D143" t="s">
        <v>40</v>
      </c>
      <c r="E143" t="s">
        <v>41</v>
      </c>
      <c r="F143" t="s">
        <v>190</v>
      </c>
      <c r="G143">
        <v>3</v>
      </c>
      <c r="H143" s="5">
        <v>2.75</v>
      </c>
      <c r="I143" t="s">
        <v>32</v>
      </c>
      <c r="J143" t="s">
        <v>144</v>
      </c>
      <c r="K143" t="s">
        <v>144</v>
      </c>
      <c r="L143" t="s">
        <v>2122</v>
      </c>
      <c r="M143" s="5">
        <f t="shared" si="13"/>
        <v>8.25</v>
      </c>
      <c r="N143" t="str">
        <f t="shared" si="14"/>
        <v>April</v>
      </c>
      <c r="O143" t="str">
        <f t="shared" si="15"/>
        <v>Saturday</v>
      </c>
      <c r="P143">
        <f t="shared" si="12"/>
        <v>8</v>
      </c>
      <c r="Q143" s="2">
        <f t="shared" si="16"/>
        <v>6</v>
      </c>
      <c r="R143" s="2">
        <f t="shared" si="17"/>
        <v>4</v>
      </c>
      <c r="S143">
        <f>SUMIF(Table1[product_category],"Bakery",Table1[Total_bill])</f>
        <v>2951.25</v>
      </c>
    </row>
    <row r="144" spans="1:19" x14ac:dyDescent="0.3">
      <c r="A144" s="2">
        <v>10143</v>
      </c>
      <c r="B144" s="4">
        <v>45774</v>
      </c>
      <c r="C144" t="s">
        <v>302</v>
      </c>
      <c r="D144" t="s">
        <v>40</v>
      </c>
      <c r="E144" t="s">
        <v>41</v>
      </c>
      <c r="F144" t="s">
        <v>192</v>
      </c>
      <c r="G144">
        <v>3</v>
      </c>
      <c r="H144" s="5">
        <v>3.25</v>
      </c>
      <c r="I144" t="s">
        <v>36</v>
      </c>
      <c r="J144" t="s">
        <v>211</v>
      </c>
      <c r="K144" t="s">
        <v>239</v>
      </c>
      <c r="L144" t="s">
        <v>2122</v>
      </c>
      <c r="M144" s="5">
        <f t="shared" si="13"/>
        <v>9.75</v>
      </c>
      <c r="N144" t="str">
        <f t="shared" si="14"/>
        <v>April</v>
      </c>
      <c r="O144" t="str">
        <f t="shared" si="15"/>
        <v>Sunday</v>
      </c>
      <c r="P144">
        <f t="shared" si="12"/>
        <v>11</v>
      </c>
      <c r="Q144" s="2">
        <f t="shared" si="16"/>
        <v>7</v>
      </c>
      <c r="R144" s="2">
        <f t="shared" si="17"/>
        <v>4</v>
      </c>
      <c r="S144">
        <f>SUMIF(Table1[product_category],"Bakery",Table1[Total_bill])</f>
        <v>2951.25</v>
      </c>
    </row>
    <row r="145" spans="1:19" x14ac:dyDescent="0.3">
      <c r="A145" s="2">
        <v>10144</v>
      </c>
      <c r="B145" s="4">
        <v>45775</v>
      </c>
      <c r="C145" t="s">
        <v>303</v>
      </c>
      <c r="D145" t="s">
        <v>25</v>
      </c>
      <c r="E145" t="s">
        <v>26</v>
      </c>
      <c r="F145" t="s">
        <v>195</v>
      </c>
      <c r="G145">
        <v>1</v>
      </c>
      <c r="H145" s="5">
        <v>4.5</v>
      </c>
      <c r="I145" t="s">
        <v>89</v>
      </c>
      <c r="J145" t="s">
        <v>90</v>
      </c>
      <c r="K145" t="s">
        <v>91</v>
      </c>
      <c r="L145" t="s">
        <v>2124</v>
      </c>
      <c r="M145" s="5">
        <f t="shared" si="13"/>
        <v>4.5</v>
      </c>
      <c r="N145" t="str">
        <f t="shared" si="14"/>
        <v>April</v>
      </c>
      <c r="O145" t="str">
        <f t="shared" si="15"/>
        <v>Monday</v>
      </c>
      <c r="P145">
        <f t="shared" si="12"/>
        <v>9</v>
      </c>
      <c r="Q145" s="2">
        <f t="shared" si="16"/>
        <v>1</v>
      </c>
      <c r="R145" s="2">
        <f t="shared" si="17"/>
        <v>4</v>
      </c>
      <c r="S145">
        <f>SUMIF(Table1[product_category],"Bakery",Table1[Total_bill])</f>
        <v>2951.25</v>
      </c>
    </row>
    <row r="146" spans="1:19" x14ac:dyDescent="0.3">
      <c r="A146" s="2">
        <v>10145</v>
      </c>
      <c r="B146" s="4">
        <v>45776</v>
      </c>
      <c r="C146" t="s">
        <v>304</v>
      </c>
      <c r="D146" t="s">
        <v>25</v>
      </c>
      <c r="E146" t="s">
        <v>26</v>
      </c>
      <c r="F146" t="s">
        <v>197</v>
      </c>
      <c r="G146">
        <v>3</v>
      </c>
      <c r="H146" s="5">
        <v>4.25</v>
      </c>
      <c r="I146" t="s">
        <v>32</v>
      </c>
      <c r="J146" t="s">
        <v>202</v>
      </c>
      <c r="K146" t="s">
        <v>202</v>
      </c>
      <c r="L146" t="s">
        <v>2124</v>
      </c>
      <c r="M146" s="5">
        <f t="shared" si="13"/>
        <v>12.75</v>
      </c>
      <c r="N146" t="str">
        <f t="shared" si="14"/>
        <v>April</v>
      </c>
      <c r="O146" t="str">
        <f t="shared" si="15"/>
        <v>Tuesday</v>
      </c>
      <c r="P146">
        <f t="shared" si="12"/>
        <v>9</v>
      </c>
      <c r="Q146" s="2">
        <f t="shared" si="16"/>
        <v>2</v>
      </c>
      <c r="R146" s="2">
        <f t="shared" si="17"/>
        <v>4</v>
      </c>
      <c r="S146">
        <f>SUMIF(Table1[product_category],"Bakery",Table1[Total_bill])</f>
        <v>2951.25</v>
      </c>
    </row>
    <row r="147" spans="1:19" x14ac:dyDescent="0.3">
      <c r="A147" s="2">
        <v>10146</v>
      </c>
      <c r="B147" s="4">
        <v>45777</v>
      </c>
      <c r="C147" t="s">
        <v>305</v>
      </c>
      <c r="D147" t="s">
        <v>18</v>
      </c>
      <c r="E147" t="s">
        <v>19</v>
      </c>
      <c r="F147" t="s">
        <v>199</v>
      </c>
      <c r="G147">
        <v>2</v>
      </c>
      <c r="H147" s="5">
        <v>11</v>
      </c>
      <c r="I147" t="s">
        <v>98</v>
      </c>
      <c r="J147" t="s">
        <v>98</v>
      </c>
      <c r="K147" t="s">
        <v>215</v>
      </c>
      <c r="L147" t="s">
        <v>2125</v>
      </c>
      <c r="M147" s="5">
        <f t="shared" si="13"/>
        <v>22</v>
      </c>
      <c r="N147" t="str">
        <f t="shared" si="14"/>
        <v>April</v>
      </c>
      <c r="O147" t="str">
        <f t="shared" si="15"/>
        <v>Wednesday</v>
      </c>
      <c r="P147">
        <f t="shared" si="12"/>
        <v>6</v>
      </c>
      <c r="Q147" s="2">
        <f t="shared" si="16"/>
        <v>3</v>
      </c>
      <c r="R147" s="2">
        <f t="shared" si="17"/>
        <v>4</v>
      </c>
      <c r="S147">
        <f>SUMIF(Table1[product_category],"Bakery",Table1[Total_bill])</f>
        <v>2951.25</v>
      </c>
    </row>
    <row r="148" spans="1:19" x14ac:dyDescent="0.3">
      <c r="A148" s="2">
        <v>10147</v>
      </c>
      <c r="B148" s="4">
        <v>45778</v>
      </c>
      <c r="C148" t="s">
        <v>306</v>
      </c>
      <c r="D148" t="s">
        <v>40</v>
      </c>
      <c r="E148" t="s">
        <v>41</v>
      </c>
      <c r="F148" t="s">
        <v>201</v>
      </c>
      <c r="G148">
        <v>4</v>
      </c>
      <c r="H148" s="5">
        <v>3.25</v>
      </c>
      <c r="I148" t="s">
        <v>21</v>
      </c>
      <c r="J148" t="s">
        <v>81</v>
      </c>
      <c r="K148" t="s">
        <v>113</v>
      </c>
      <c r="L148" t="s">
        <v>2125</v>
      </c>
      <c r="M148" s="5">
        <f t="shared" si="13"/>
        <v>13</v>
      </c>
      <c r="N148" t="str">
        <f t="shared" si="14"/>
        <v>May</v>
      </c>
      <c r="O148" t="str">
        <f t="shared" si="15"/>
        <v>Thursday</v>
      </c>
      <c r="P148">
        <f t="shared" si="12"/>
        <v>13</v>
      </c>
      <c r="Q148" s="2">
        <f t="shared" si="16"/>
        <v>4</v>
      </c>
      <c r="R148" s="2">
        <f t="shared" si="17"/>
        <v>5</v>
      </c>
      <c r="S148">
        <f>SUMIF(Table1[product_category],"Bakery",Table1[Total_bill])</f>
        <v>2951.25</v>
      </c>
    </row>
    <row r="149" spans="1:19" x14ac:dyDescent="0.3">
      <c r="A149" s="2">
        <v>10148</v>
      </c>
      <c r="B149" s="4">
        <v>45779</v>
      </c>
      <c r="C149" t="s">
        <v>307</v>
      </c>
      <c r="D149" t="s">
        <v>25</v>
      </c>
      <c r="E149" t="s">
        <v>26</v>
      </c>
      <c r="F149" t="s">
        <v>204</v>
      </c>
      <c r="G149">
        <v>2</v>
      </c>
      <c r="H149" s="5">
        <v>2.75</v>
      </c>
      <c r="I149" t="s">
        <v>32</v>
      </c>
      <c r="J149" t="s">
        <v>144</v>
      </c>
      <c r="K149" t="s">
        <v>144</v>
      </c>
      <c r="L149" t="s">
        <v>2122</v>
      </c>
      <c r="M149" s="5">
        <f t="shared" si="13"/>
        <v>5.5</v>
      </c>
      <c r="N149" t="str">
        <f t="shared" si="14"/>
        <v>May</v>
      </c>
      <c r="O149" t="str">
        <f t="shared" si="15"/>
        <v>Friday</v>
      </c>
      <c r="P149">
        <f t="shared" si="12"/>
        <v>12</v>
      </c>
      <c r="Q149" s="2">
        <f t="shared" si="16"/>
        <v>5</v>
      </c>
      <c r="R149" s="2">
        <f t="shared" si="17"/>
        <v>5</v>
      </c>
      <c r="S149">
        <f>SUMIF(Table1[product_category],"Bakery",Table1[Total_bill])</f>
        <v>2951.25</v>
      </c>
    </row>
    <row r="150" spans="1:19" x14ac:dyDescent="0.3">
      <c r="A150" s="2">
        <v>10149</v>
      </c>
      <c r="B150" s="4">
        <v>45780</v>
      </c>
      <c r="C150" t="s">
        <v>308</v>
      </c>
      <c r="D150" t="s">
        <v>25</v>
      </c>
      <c r="E150" t="s">
        <v>26</v>
      </c>
      <c r="F150" t="s">
        <v>206</v>
      </c>
      <c r="G150">
        <v>1</v>
      </c>
      <c r="H150" s="5">
        <v>3</v>
      </c>
      <c r="I150" t="s">
        <v>36</v>
      </c>
      <c r="J150" t="s">
        <v>246</v>
      </c>
      <c r="K150" t="s">
        <v>247</v>
      </c>
      <c r="L150" t="s">
        <v>2124</v>
      </c>
      <c r="M150" s="5">
        <f t="shared" si="13"/>
        <v>3</v>
      </c>
      <c r="N150" t="str">
        <f t="shared" si="14"/>
        <v>May</v>
      </c>
      <c r="O150" t="str">
        <f t="shared" si="15"/>
        <v>Saturday</v>
      </c>
      <c r="P150">
        <f t="shared" si="12"/>
        <v>6</v>
      </c>
      <c r="Q150" s="2">
        <f t="shared" si="16"/>
        <v>6</v>
      </c>
      <c r="R150" s="2">
        <f t="shared" si="17"/>
        <v>5</v>
      </c>
      <c r="S150">
        <f>SUMIF(Table1[product_category],"Bakery",Table1[Total_bill])</f>
        <v>2951.25</v>
      </c>
    </row>
    <row r="151" spans="1:19" x14ac:dyDescent="0.3">
      <c r="A151" s="2">
        <v>10150</v>
      </c>
      <c r="B151" s="4">
        <v>45781</v>
      </c>
      <c r="C151" t="s">
        <v>309</v>
      </c>
      <c r="D151" t="s">
        <v>40</v>
      </c>
      <c r="E151" t="s">
        <v>41</v>
      </c>
      <c r="F151" t="s">
        <v>208</v>
      </c>
      <c r="G151">
        <v>3</v>
      </c>
      <c r="H151" s="5">
        <v>5.5</v>
      </c>
      <c r="I151" t="s">
        <v>72</v>
      </c>
      <c r="J151" t="s">
        <v>72</v>
      </c>
      <c r="K151" t="s">
        <v>141</v>
      </c>
      <c r="L151" t="s">
        <v>2125</v>
      </c>
      <c r="M151" s="5">
        <f t="shared" si="13"/>
        <v>16.5</v>
      </c>
      <c r="N151" t="str">
        <f t="shared" si="14"/>
        <v>May</v>
      </c>
      <c r="O151" t="str">
        <f t="shared" si="15"/>
        <v>Sunday</v>
      </c>
      <c r="P151">
        <f t="shared" si="12"/>
        <v>9</v>
      </c>
      <c r="Q151" s="2">
        <f t="shared" si="16"/>
        <v>7</v>
      </c>
      <c r="R151" s="2">
        <f t="shared" si="17"/>
        <v>5</v>
      </c>
      <c r="S151">
        <f>SUMIF(Table1[product_category],"Bakery",Table1[Total_bill])</f>
        <v>2951.25</v>
      </c>
    </row>
    <row r="152" spans="1:19" x14ac:dyDescent="0.3">
      <c r="A152" s="2">
        <v>10151</v>
      </c>
      <c r="B152" s="4">
        <v>45782</v>
      </c>
      <c r="C152" t="s">
        <v>310</v>
      </c>
      <c r="D152" t="s">
        <v>18</v>
      </c>
      <c r="E152" t="s">
        <v>19</v>
      </c>
      <c r="F152" t="s">
        <v>210</v>
      </c>
      <c r="G152">
        <v>4</v>
      </c>
      <c r="H152" s="5">
        <v>3</v>
      </c>
      <c r="I152" t="s">
        <v>21</v>
      </c>
      <c r="J152" t="s">
        <v>181</v>
      </c>
      <c r="K152" t="s">
        <v>182</v>
      </c>
      <c r="L152" t="s">
        <v>2125</v>
      </c>
      <c r="M152" s="5">
        <f t="shared" si="13"/>
        <v>12</v>
      </c>
      <c r="N152" t="str">
        <f t="shared" si="14"/>
        <v>May</v>
      </c>
      <c r="O152" t="str">
        <f t="shared" si="15"/>
        <v>Monday</v>
      </c>
      <c r="P152">
        <f t="shared" si="12"/>
        <v>18</v>
      </c>
      <c r="Q152" s="2">
        <f t="shared" si="16"/>
        <v>1</v>
      </c>
      <c r="R152" s="2">
        <f t="shared" si="17"/>
        <v>5</v>
      </c>
      <c r="S152">
        <f>SUMIF(Table1[product_category],"Bakery",Table1[Total_bill])</f>
        <v>2951.25</v>
      </c>
    </row>
    <row r="153" spans="1:19" x14ac:dyDescent="0.3">
      <c r="A153" s="2">
        <v>10152</v>
      </c>
      <c r="B153" s="4">
        <v>45783</v>
      </c>
      <c r="C153" t="s">
        <v>311</v>
      </c>
      <c r="D153" t="s">
        <v>40</v>
      </c>
      <c r="E153" t="s">
        <v>41</v>
      </c>
      <c r="F153" t="s">
        <v>214</v>
      </c>
      <c r="G153">
        <v>1</v>
      </c>
      <c r="H153" s="5">
        <v>3</v>
      </c>
      <c r="I153" t="s">
        <v>36</v>
      </c>
      <c r="J153" t="s">
        <v>37</v>
      </c>
      <c r="K153" t="s">
        <v>38</v>
      </c>
      <c r="L153" t="s">
        <v>2124</v>
      </c>
      <c r="M153" s="5">
        <f t="shared" si="13"/>
        <v>3</v>
      </c>
      <c r="N153" t="str">
        <f t="shared" si="14"/>
        <v>May</v>
      </c>
      <c r="O153" t="str">
        <f t="shared" si="15"/>
        <v>Tuesday</v>
      </c>
      <c r="P153">
        <f t="shared" si="12"/>
        <v>8</v>
      </c>
      <c r="Q153" s="2">
        <f t="shared" si="16"/>
        <v>2</v>
      </c>
      <c r="R153" s="2">
        <f t="shared" si="17"/>
        <v>5</v>
      </c>
      <c r="S153">
        <f>SUMIF(Table1[product_category],"Bakery",Table1[Total_bill])</f>
        <v>2951.25</v>
      </c>
    </row>
    <row r="154" spans="1:19" x14ac:dyDescent="0.3">
      <c r="A154" s="2">
        <v>10153</v>
      </c>
      <c r="B154" s="4">
        <v>45784</v>
      </c>
      <c r="C154" t="s">
        <v>312</v>
      </c>
      <c r="D154" t="s">
        <v>25</v>
      </c>
      <c r="E154" t="s">
        <v>26</v>
      </c>
      <c r="F154" t="s">
        <v>217</v>
      </c>
      <c r="G154">
        <v>2</v>
      </c>
      <c r="H154" s="5">
        <v>2.75</v>
      </c>
      <c r="I154" t="s">
        <v>21</v>
      </c>
      <c r="J154" t="s">
        <v>22</v>
      </c>
      <c r="K154" t="s">
        <v>23</v>
      </c>
      <c r="L154" t="s">
        <v>2125</v>
      </c>
      <c r="M154" s="5">
        <f t="shared" si="13"/>
        <v>5.5</v>
      </c>
      <c r="N154" t="str">
        <f t="shared" si="14"/>
        <v>May</v>
      </c>
      <c r="O154" t="str">
        <f t="shared" si="15"/>
        <v>Wednesday</v>
      </c>
      <c r="P154">
        <f t="shared" si="12"/>
        <v>7</v>
      </c>
      <c r="Q154" s="2">
        <f t="shared" si="16"/>
        <v>3</v>
      </c>
      <c r="R154" s="2">
        <f t="shared" si="17"/>
        <v>5</v>
      </c>
      <c r="S154">
        <f>SUMIF(Table1[product_category],"Bakery",Table1[Total_bill])</f>
        <v>2951.25</v>
      </c>
    </row>
    <row r="155" spans="1:19" x14ac:dyDescent="0.3">
      <c r="A155" s="2">
        <v>10154</v>
      </c>
      <c r="B155" s="4">
        <v>45785</v>
      </c>
      <c r="C155" t="s">
        <v>313</v>
      </c>
      <c r="D155" t="s">
        <v>40</v>
      </c>
      <c r="E155" t="s">
        <v>41</v>
      </c>
      <c r="F155" t="s">
        <v>219</v>
      </c>
      <c r="G155">
        <v>4</v>
      </c>
      <c r="H155" s="5">
        <v>3</v>
      </c>
      <c r="I155" t="s">
        <v>21</v>
      </c>
      <c r="J155" t="s">
        <v>181</v>
      </c>
      <c r="K155" t="s">
        <v>182</v>
      </c>
      <c r="L155" t="s">
        <v>2125</v>
      </c>
      <c r="M155" s="5">
        <f t="shared" si="13"/>
        <v>12</v>
      </c>
      <c r="N155" t="str">
        <f t="shared" si="14"/>
        <v>May</v>
      </c>
      <c r="O155" t="str">
        <f t="shared" si="15"/>
        <v>Thursday</v>
      </c>
      <c r="P155">
        <f t="shared" si="12"/>
        <v>11</v>
      </c>
      <c r="Q155" s="2">
        <f t="shared" si="16"/>
        <v>4</v>
      </c>
      <c r="R155" s="2">
        <f t="shared" si="17"/>
        <v>5</v>
      </c>
      <c r="S155">
        <f>SUMIF(Table1[product_category],"Bakery",Table1[Total_bill])</f>
        <v>2951.25</v>
      </c>
    </row>
    <row r="156" spans="1:19" x14ac:dyDescent="0.3">
      <c r="A156" s="2">
        <v>10155</v>
      </c>
      <c r="B156" s="4">
        <v>45786</v>
      </c>
      <c r="C156" t="s">
        <v>314</v>
      </c>
      <c r="D156" t="s">
        <v>40</v>
      </c>
      <c r="E156" t="s">
        <v>41</v>
      </c>
      <c r="F156" t="s">
        <v>221</v>
      </c>
      <c r="G156">
        <v>4</v>
      </c>
      <c r="H156" s="5">
        <v>4.5</v>
      </c>
      <c r="I156" t="s">
        <v>89</v>
      </c>
      <c r="J156" t="s">
        <v>90</v>
      </c>
      <c r="K156" t="s">
        <v>91</v>
      </c>
      <c r="L156" t="s">
        <v>2124</v>
      </c>
      <c r="M156" s="5">
        <f t="shared" si="13"/>
        <v>18</v>
      </c>
      <c r="N156" t="str">
        <f t="shared" si="14"/>
        <v>May</v>
      </c>
      <c r="O156" t="str">
        <f t="shared" si="15"/>
        <v>Friday</v>
      </c>
      <c r="P156">
        <f t="shared" si="12"/>
        <v>20</v>
      </c>
      <c r="Q156" s="2">
        <f t="shared" si="16"/>
        <v>5</v>
      </c>
      <c r="R156" s="2">
        <f t="shared" si="17"/>
        <v>5</v>
      </c>
      <c r="S156">
        <f>SUMIF(Table1[product_category],"Bakery",Table1[Total_bill])</f>
        <v>2951.25</v>
      </c>
    </row>
    <row r="157" spans="1:19" x14ac:dyDescent="0.3">
      <c r="A157" s="2">
        <v>10156</v>
      </c>
      <c r="B157" s="4">
        <v>45787</v>
      </c>
      <c r="C157" t="s">
        <v>315</v>
      </c>
      <c r="D157" t="s">
        <v>25</v>
      </c>
      <c r="E157" t="s">
        <v>26</v>
      </c>
      <c r="F157" t="s">
        <v>223</v>
      </c>
      <c r="G157">
        <v>3</v>
      </c>
      <c r="H157" s="5">
        <v>13</v>
      </c>
      <c r="I157" t="s">
        <v>98</v>
      </c>
      <c r="J157" t="s">
        <v>98</v>
      </c>
      <c r="K157" t="s">
        <v>95</v>
      </c>
      <c r="L157" t="s">
        <v>2125</v>
      </c>
      <c r="M157" s="5">
        <f t="shared" si="13"/>
        <v>39</v>
      </c>
      <c r="N157" t="str">
        <f t="shared" si="14"/>
        <v>May</v>
      </c>
      <c r="O157" t="str">
        <f t="shared" si="15"/>
        <v>Saturday</v>
      </c>
      <c r="P157">
        <f t="shared" si="12"/>
        <v>8</v>
      </c>
      <c r="Q157" s="2">
        <f t="shared" si="16"/>
        <v>6</v>
      </c>
      <c r="R157" s="2">
        <f t="shared" si="17"/>
        <v>5</v>
      </c>
      <c r="S157">
        <f>SUMIF(Table1[product_category],"Bakery",Table1[Total_bill])</f>
        <v>2951.25</v>
      </c>
    </row>
    <row r="158" spans="1:19" x14ac:dyDescent="0.3">
      <c r="A158" s="2">
        <v>10157</v>
      </c>
      <c r="B158" s="4">
        <v>45788</v>
      </c>
      <c r="C158" t="s">
        <v>316</v>
      </c>
      <c r="D158" t="s">
        <v>25</v>
      </c>
      <c r="E158" t="s">
        <v>26</v>
      </c>
      <c r="F158" t="s">
        <v>225</v>
      </c>
      <c r="G158">
        <v>1</v>
      </c>
      <c r="H158" s="5">
        <v>3.5</v>
      </c>
      <c r="I158" t="s">
        <v>36</v>
      </c>
      <c r="J158" t="s">
        <v>37</v>
      </c>
      <c r="K158" t="s">
        <v>62</v>
      </c>
      <c r="L158" t="s">
        <v>2123</v>
      </c>
      <c r="M158" s="5">
        <f t="shared" si="13"/>
        <v>3.5</v>
      </c>
      <c r="N158" t="str">
        <f t="shared" si="14"/>
        <v>May</v>
      </c>
      <c r="O158" t="str">
        <f t="shared" si="15"/>
        <v>Sunday</v>
      </c>
      <c r="P158">
        <f t="shared" si="12"/>
        <v>14</v>
      </c>
      <c r="Q158" s="2">
        <f t="shared" si="16"/>
        <v>7</v>
      </c>
      <c r="R158" s="2">
        <f t="shared" si="17"/>
        <v>5</v>
      </c>
      <c r="S158">
        <f>SUMIF(Table1[product_category],"Bakery",Table1[Total_bill])</f>
        <v>2951.25</v>
      </c>
    </row>
    <row r="159" spans="1:19" x14ac:dyDescent="0.3">
      <c r="A159" s="2">
        <v>10158</v>
      </c>
      <c r="B159" s="4">
        <v>45789</v>
      </c>
      <c r="C159" t="s">
        <v>317</v>
      </c>
      <c r="D159" t="s">
        <v>18</v>
      </c>
      <c r="E159" t="s">
        <v>19</v>
      </c>
      <c r="F159" t="s">
        <v>229</v>
      </c>
      <c r="G159">
        <v>4</v>
      </c>
      <c r="H159" s="5">
        <v>2.75</v>
      </c>
      <c r="I159" t="s">
        <v>32</v>
      </c>
      <c r="J159" t="s">
        <v>226</v>
      </c>
      <c r="K159" t="s">
        <v>273</v>
      </c>
      <c r="L159" t="s">
        <v>2122</v>
      </c>
      <c r="M159" s="5">
        <f t="shared" si="13"/>
        <v>11</v>
      </c>
      <c r="N159" t="str">
        <f t="shared" si="14"/>
        <v>May</v>
      </c>
      <c r="O159" t="str">
        <f t="shared" si="15"/>
        <v>Monday</v>
      </c>
      <c r="P159">
        <f t="shared" si="12"/>
        <v>15</v>
      </c>
      <c r="Q159" s="2">
        <f t="shared" si="16"/>
        <v>1</v>
      </c>
      <c r="R159" s="2">
        <f t="shared" si="17"/>
        <v>5</v>
      </c>
      <c r="S159">
        <f>SUMIF(Table1[product_category],"Bakery",Table1[Total_bill])</f>
        <v>2951.25</v>
      </c>
    </row>
    <row r="160" spans="1:19" x14ac:dyDescent="0.3">
      <c r="A160" s="2">
        <v>10159</v>
      </c>
      <c r="B160" s="4">
        <v>45790</v>
      </c>
      <c r="C160" t="s">
        <v>318</v>
      </c>
      <c r="D160" t="s">
        <v>40</v>
      </c>
      <c r="E160" t="s">
        <v>41</v>
      </c>
      <c r="F160" t="s">
        <v>231</v>
      </c>
      <c r="G160">
        <v>4</v>
      </c>
      <c r="H160" s="5">
        <v>4.25</v>
      </c>
      <c r="I160" t="s">
        <v>36</v>
      </c>
      <c r="J160" t="s">
        <v>211</v>
      </c>
      <c r="K160" t="s">
        <v>239</v>
      </c>
      <c r="L160" t="s">
        <v>2123</v>
      </c>
      <c r="M160" s="5">
        <f t="shared" si="13"/>
        <v>17</v>
      </c>
      <c r="N160" t="str">
        <f t="shared" si="14"/>
        <v>May</v>
      </c>
      <c r="O160" t="str">
        <f t="shared" si="15"/>
        <v>Tuesday</v>
      </c>
      <c r="P160">
        <f t="shared" si="12"/>
        <v>8</v>
      </c>
      <c r="Q160" s="2">
        <f t="shared" si="16"/>
        <v>2</v>
      </c>
      <c r="R160" s="2">
        <f t="shared" si="17"/>
        <v>5</v>
      </c>
      <c r="S160">
        <f>SUMIF(Table1[product_category],"Bakery",Table1[Total_bill])</f>
        <v>2951.25</v>
      </c>
    </row>
    <row r="161" spans="1:19" x14ac:dyDescent="0.3">
      <c r="A161" s="2">
        <v>10160</v>
      </c>
      <c r="B161" s="4">
        <v>45791</v>
      </c>
      <c r="C161" t="s">
        <v>319</v>
      </c>
      <c r="D161" t="s">
        <v>25</v>
      </c>
      <c r="E161" t="s">
        <v>26</v>
      </c>
      <c r="F161" t="s">
        <v>233</v>
      </c>
      <c r="G161">
        <v>3</v>
      </c>
      <c r="H161" s="5">
        <v>5.5</v>
      </c>
      <c r="I161" t="s">
        <v>72</v>
      </c>
      <c r="J161" t="s">
        <v>72</v>
      </c>
      <c r="K161" t="s">
        <v>141</v>
      </c>
      <c r="L161" t="s">
        <v>2125</v>
      </c>
      <c r="M161" s="5">
        <f t="shared" si="13"/>
        <v>16.5</v>
      </c>
      <c r="N161" t="str">
        <f t="shared" si="14"/>
        <v>May</v>
      </c>
      <c r="O161" t="str">
        <f t="shared" si="15"/>
        <v>Wednesday</v>
      </c>
      <c r="P161">
        <f t="shared" si="12"/>
        <v>15</v>
      </c>
      <c r="Q161" s="2">
        <f t="shared" si="16"/>
        <v>3</v>
      </c>
      <c r="R161" s="2">
        <f t="shared" si="17"/>
        <v>5</v>
      </c>
      <c r="S161">
        <f>SUMIF(Table1[product_category],"Bakery",Table1[Total_bill])</f>
        <v>2951.25</v>
      </c>
    </row>
    <row r="162" spans="1:19" x14ac:dyDescent="0.3">
      <c r="A162" s="2">
        <v>10161</v>
      </c>
      <c r="B162" s="4">
        <v>45792</v>
      </c>
      <c r="C162" t="s">
        <v>320</v>
      </c>
      <c r="D162" t="s">
        <v>18</v>
      </c>
      <c r="E162" t="s">
        <v>19</v>
      </c>
      <c r="F162" t="s">
        <v>20</v>
      </c>
      <c r="G162">
        <v>3</v>
      </c>
      <c r="H162" s="5">
        <v>2.75</v>
      </c>
      <c r="I162" t="s">
        <v>32</v>
      </c>
      <c r="J162" t="s">
        <v>144</v>
      </c>
      <c r="K162" t="s">
        <v>144</v>
      </c>
      <c r="L162" t="s">
        <v>2122</v>
      </c>
      <c r="M162" s="5">
        <f t="shared" si="13"/>
        <v>8.25</v>
      </c>
      <c r="N162" t="str">
        <f t="shared" si="14"/>
        <v>May</v>
      </c>
      <c r="O162" t="str">
        <f t="shared" si="15"/>
        <v>Thursday</v>
      </c>
      <c r="P162">
        <f t="shared" si="12"/>
        <v>10</v>
      </c>
      <c r="Q162" s="2">
        <f t="shared" si="16"/>
        <v>4</v>
      </c>
      <c r="R162" s="2">
        <f t="shared" si="17"/>
        <v>5</v>
      </c>
      <c r="S162">
        <f>SUMIF(Table1[product_category],"Bakery",Table1[Total_bill])</f>
        <v>2951.25</v>
      </c>
    </row>
    <row r="163" spans="1:19" x14ac:dyDescent="0.3">
      <c r="A163" s="2">
        <v>10162</v>
      </c>
      <c r="B163" s="4">
        <v>45793</v>
      </c>
      <c r="C163" t="s">
        <v>321</v>
      </c>
      <c r="D163" t="s">
        <v>40</v>
      </c>
      <c r="E163" t="s">
        <v>41</v>
      </c>
      <c r="F163" t="s">
        <v>27</v>
      </c>
      <c r="G163">
        <v>1</v>
      </c>
      <c r="H163" s="5">
        <v>5</v>
      </c>
      <c r="I163" t="s">
        <v>89</v>
      </c>
      <c r="J163" t="s">
        <v>90</v>
      </c>
      <c r="K163" t="s">
        <v>91</v>
      </c>
      <c r="L163" t="s">
        <v>2123</v>
      </c>
      <c r="M163" s="5">
        <f t="shared" si="13"/>
        <v>5</v>
      </c>
      <c r="N163" t="str">
        <f t="shared" si="14"/>
        <v>May</v>
      </c>
      <c r="O163" t="str">
        <f t="shared" si="15"/>
        <v>Friday</v>
      </c>
      <c r="P163">
        <f t="shared" si="12"/>
        <v>13</v>
      </c>
      <c r="Q163" s="2">
        <f t="shared" si="16"/>
        <v>5</v>
      </c>
      <c r="R163" s="2">
        <f t="shared" si="17"/>
        <v>5</v>
      </c>
      <c r="S163">
        <f>SUMIF(Table1[product_category],"Bakery",Table1[Total_bill])</f>
        <v>2951.25</v>
      </c>
    </row>
    <row r="164" spans="1:19" x14ac:dyDescent="0.3">
      <c r="A164" s="2">
        <v>10163</v>
      </c>
      <c r="B164" s="4">
        <v>45794</v>
      </c>
      <c r="C164" t="s">
        <v>322</v>
      </c>
      <c r="D164" t="s">
        <v>40</v>
      </c>
      <c r="E164" t="s">
        <v>41</v>
      </c>
      <c r="F164" t="s">
        <v>31</v>
      </c>
      <c r="G164">
        <v>1</v>
      </c>
      <c r="H164" s="5">
        <v>3.25</v>
      </c>
      <c r="I164" t="s">
        <v>21</v>
      </c>
      <c r="J164" t="s">
        <v>81</v>
      </c>
      <c r="K164" t="s">
        <v>82</v>
      </c>
      <c r="L164" t="s">
        <v>2125</v>
      </c>
      <c r="M164" s="5">
        <f t="shared" si="13"/>
        <v>3.25</v>
      </c>
      <c r="N164" t="str">
        <f t="shared" si="14"/>
        <v>May</v>
      </c>
      <c r="O164" t="str">
        <f t="shared" si="15"/>
        <v>Saturday</v>
      </c>
      <c r="P164">
        <f t="shared" si="12"/>
        <v>13</v>
      </c>
      <c r="Q164" s="2">
        <f t="shared" si="16"/>
        <v>6</v>
      </c>
      <c r="R164" s="2">
        <f t="shared" si="17"/>
        <v>5</v>
      </c>
      <c r="S164">
        <f>SUMIF(Table1[product_category],"Bakery",Table1[Total_bill])</f>
        <v>2951.25</v>
      </c>
    </row>
    <row r="165" spans="1:19" x14ac:dyDescent="0.3">
      <c r="A165" s="2">
        <v>10164</v>
      </c>
      <c r="B165" s="4">
        <v>45795</v>
      </c>
      <c r="C165" t="s">
        <v>323</v>
      </c>
      <c r="D165" t="s">
        <v>25</v>
      </c>
      <c r="E165" t="s">
        <v>26</v>
      </c>
      <c r="F165" t="s">
        <v>35</v>
      </c>
      <c r="G165">
        <v>4</v>
      </c>
      <c r="H165" s="5">
        <v>9.5</v>
      </c>
      <c r="I165" t="s">
        <v>28</v>
      </c>
      <c r="J165" t="s">
        <v>28</v>
      </c>
      <c r="K165" t="s">
        <v>29</v>
      </c>
      <c r="L165" t="s">
        <v>2125</v>
      </c>
      <c r="M165" s="5">
        <f t="shared" si="13"/>
        <v>38</v>
      </c>
      <c r="N165" t="str">
        <f t="shared" si="14"/>
        <v>May</v>
      </c>
      <c r="O165" t="str">
        <f t="shared" si="15"/>
        <v>Sunday</v>
      </c>
      <c r="P165">
        <f t="shared" si="12"/>
        <v>12</v>
      </c>
      <c r="Q165" s="2">
        <f t="shared" si="16"/>
        <v>7</v>
      </c>
      <c r="R165" s="2">
        <f t="shared" si="17"/>
        <v>5</v>
      </c>
      <c r="S165">
        <f>SUMIF(Table1[product_category],"Bakery",Table1[Total_bill])</f>
        <v>2951.25</v>
      </c>
    </row>
    <row r="166" spans="1:19" x14ac:dyDescent="0.3">
      <c r="A166" s="2">
        <v>10165</v>
      </c>
      <c r="B166" s="4">
        <v>45796</v>
      </c>
      <c r="C166" t="s">
        <v>324</v>
      </c>
      <c r="D166" t="s">
        <v>18</v>
      </c>
      <c r="E166" t="s">
        <v>19</v>
      </c>
      <c r="F166" t="s">
        <v>42</v>
      </c>
      <c r="G166">
        <v>4</v>
      </c>
      <c r="H166" s="5">
        <v>2.25</v>
      </c>
      <c r="I166" t="s">
        <v>21</v>
      </c>
      <c r="J166" t="s">
        <v>58</v>
      </c>
      <c r="K166" t="s">
        <v>59</v>
      </c>
      <c r="L166" t="s">
        <v>2125</v>
      </c>
      <c r="M166" s="5">
        <f t="shared" si="13"/>
        <v>9</v>
      </c>
      <c r="N166" t="str">
        <f t="shared" si="14"/>
        <v>May</v>
      </c>
      <c r="O166" t="str">
        <f t="shared" si="15"/>
        <v>Monday</v>
      </c>
      <c r="P166">
        <f t="shared" si="12"/>
        <v>7</v>
      </c>
      <c r="Q166" s="2">
        <f t="shared" si="16"/>
        <v>1</v>
      </c>
      <c r="R166" s="2">
        <f t="shared" si="17"/>
        <v>5</v>
      </c>
      <c r="S166">
        <f>SUMIF(Table1[product_category],"Bakery",Table1[Total_bill])</f>
        <v>2951.25</v>
      </c>
    </row>
    <row r="167" spans="1:19" x14ac:dyDescent="0.3">
      <c r="A167" s="2">
        <v>10166</v>
      </c>
      <c r="B167" s="4">
        <v>45797</v>
      </c>
      <c r="C167" t="s">
        <v>325</v>
      </c>
      <c r="D167" t="s">
        <v>25</v>
      </c>
      <c r="E167" t="s">
        <v>26</v>
      </c>
      <c r="F167" t="s">
        <v>46</v>
      </c>
      <c r="G167">
        <v>2</v>
      </c>
      <c r="H167" s="5">
        <v>3</v>
      </c>
      <c r="I167" t="s">
        <v>36</v>
      </c>
      <c r="J167" t="s">
        <v>37</v>
      </c>
      <c r="K167" t="s">
        <v>276</v>
      </c>
      <c r="L167" t="s">
        <v>2124</v>
      </c>
      <c r="M167" s="5">
        <f t="shared" si="13"/>
        <v>6</v>
      </c>
      <c r="N167" t="str">
        <f t="shared" si="14"/>
        <v>May</v>
      </c>
      <c r="O167" t="str">
        <f t="shared" si="15"/>
        <v>Tuesday</v>
      </c>
      <c r="P167">
        <f t="shared" si="12"/>
        <v>16</v>
      </c>
      <c r="Q167" s="2">
        <f t="shared" si="16"/>
        <v>2</v>
      </c>
      <c r="R167" s="2">
        <f t="shared" si="17"/>
        <v>5</v>
      </c>
      <c r="S167">
        <f>SUMIF(Table1[product_category],"Bakery",Table1[Total_bill])</f>
        <v>2951.25</v>
      </c>
    </row>
    <row r="168" spans="1:19" x14ac:dyDescent="0.3">
      <c r="A168" s="2">
        <v>10167</v>
      </c>
      <c r="B168" s="4">
        <v>45798</v>
      </c>
      <c r="C168" t="s">
        <v>326</v>
      </c>
      <c r="D168" t="s">
        <v>18</v>
      </c>
      <c r="E168" t="s">
        <v>19</v>
      </c>
      <c r="F168" t="s">
        <v>50</v>
      </c>
      <c r="G168">
        <v>1</v>
      </c>
      <c r="H168" s="5">
        <v>6</v>
      </c>
      <c r="I168" t="s">
        <v>72</v>
      </c>
      <c r="J168" t="s">
        <v>72</v>
      </c>
      <c r="K168" t="s">
        <v>138</v>
      </c>
      <c r="L168" t="s">
        <v>2125</v>
      </c>
      <c r="M168" s="5">
        <f t="shared" si="13"/>
        <v>6</v>
      </c>
      <c r="N168" t="str">
        <f t="shared" si="14"/>
        <v>May</v>
      </c>
      <c r="O168" t="str">
        <f t="shared" si="15"/>
        <v>Wednesday</v>
      </c>
      <c r="P168">
        <f t="shared" si="12"/>
        <v>9</v>
      </c>
      <c r="Q168" s="2">
        <f t="shared" si="16"/>
        <v>3</v>
      </c>
      <c r="R168" s="2">
        <f t="shared" si="17"/>
        <v>5</v>
      </c>
      <c r="S168">
        <f>SUMIF(Table1[product_category],"Bakery",Table1[Total_bill])</f>
        <v>2951.25</v>
      </c>
    </row>
    <row r="169" spans="1:19" x14ac:dyDescent="0.3">
      <c r="A169" s="2">
        <v>10168</v>
      </c>
      <c r="B169" s="4">
        <v>45799</v>
      </c>
      <c r="C169" t="s">
        <v>327</v>
      </c>
      <c r="D169" t="s">
        <v>25</v>
      </c>
      <c r="E169" t="s">
        <v>26</v>
      </c>
      <c r="F169" t="s">
        <v>54</v>
      </c>
      <c r="G169">
        <v>1</v>
      </c>
      <c r="H169" s="5">
        <v>3.75</v>
      </c>
      <c r="I169" t="s">
        <v>36</v>
      </c>
      <c r="J169" t="s">
        <v>211</v>
      </c>
      <c r="K169" t="s">
        <v>212</v>
      </c>
      <c r="L169" t="s">
        <v>2124</v>
      </c>
      <c r="M169" s="5">
        <f t="shared" si="13"/>
        <v>3.75</v>
      </c>
      <c r="N169" t="str">
        <f t="shared" si="14"/>
        <v>May</v>
      </c>
      <c r="O169" t="str">
        <f t="shared" si="15"/>
        <v>Thursday</v>
      </c>
      <c r="P169">
        <f t="shared" si="12"/>
        <v>8</v>
      </c>
      <c r="Q169" s="2">
        <f t="shared" si="16"/>
        <v>4</v>
      </c>
      <c r="R169" s="2">
        <f t="shared" si="17"/>
        <v>5</v>
      </c>
      <c r="S169">
        <f>SUMIF(Table1[product_category],"Bakery",Table1[Total_bill])</f>
        <v>2951.25</v>
      </c>
    </row>
    <row r="170" spans="1:19" x14ac:dyDescent="0.3">
      <c r="A170" s="2">
        <v>10169</v>
      </c>
      <c r="B170" s="4">
        <v>45800</v>
      </c>
      <c r="C170" t="s">
        <v>328</v>
      </c>
      <c r="D170" t="s">
        <v>25</v>
      </c>
      <c r="E170" t="s">
        <v>26</v>
      </c>
      <c r="F170" t="s">
        <v>57</v>
      </c>
      <c r="G170">
        <v>1</v>
      </c>
      <c r="H170" s="5">
        <v>3.5</v>
      </c>
      <c r="I170" t="s">
        <v>32</v>
      </c>
      <c r="J170" t="s">
        <v>55</v>
      </c>
      <c r="K170" t="s">
        <v>55</v>
      </c>
      <c r="L170" t="s">
        <v>2124</v>
      </c>
      <c r="M170" s="5">
        <f t="shared" si="13"/>
        <v>3.5</v>
      </c>
      <c r="N170" t="str">
        <f t="shared" si="14"/>
        <v>May</v>
      </c>
      <c r="O170" t="str">
        <f t="shared" si="15"/>
        <v>Friday</v>
      </c>
      <c r="P170">
        <f t="shared" si="12"/>
        <v>6</v>
      </c>
      <c r="Q170" s="2">
        <f t="shared" si="16"/>
        <v>5</v>
      </c>
      <c r="R170" s="2">
        <f t="shared" si="17"/>
        <v>5</v>
      </c>
      <c r="S170">
        <f>SUMIF(Table1[product_category],"Bakery",Table1[Total_bill])</f>
        <v>2951.25</v>
      </c>
    </row>
    <row r="171" spans="1:19" x14ac:dyDescent="0.3">
      <c r="A171" s="2">
        <v>10170</v>
      </c>
      <c r="B171" s="4">
        <v>45801</v>
      </c>
      <c r="C171" t="s">
        <v>329</v>
      </c>
      <c r="D171" t="s">
        <v>40</v>
      </c>
      <c r="E171" t="s">
        <v>41</v>
      </c>
      <c r="F171" t="s">
        <v>61</v>
      </c>
      <c r="G171">
        <v>3</v>
      </c>
      <c r="H171" s="5">
        <v>3</v>
      </c>
      <c r="I171" t="s">
        <v>21</v>
      </c>
      <c r="J171" t="s">
        <v>181</v>
      </c>
      <c r="K171" t="s">
        <v>182</v>
      </c>
      <c r="L171" t="s">
        <v>2125</v>
      </c>
      <c r="M171" s="5">
        <f t="shared" si="13"/>
        <v>9</v>
      </c>
      <c r="N171" t="str">
        <f t="shared" si="14"/>
        <v>May</v>
      </c>
      <c r="O171" t="str">
        <f t="shared" si="15"/>
        <v>Saturday</v>
      </c>
      <c r="P171">
        <f t="shared" si="12"/>
        <v>13</v>
      </c>
      <c r="Q171" s="2">
        <f t="shared" si="16"/>
        <v>6</v>
      </c>
      <c r="R171" s="2">
        <f t="shared" si="17"/>
        <v>5</v>
      </c>
      <c r="S171">
        <f>SUMIF(Table1[product_category],"Bakery",Table1[Total_bill])</f>
        <v>2951.25</v>
      </c>
    </row>
    <row r="172" spans="1:19" x14ac:dyDescent="0.3">
      <c r="A172" s="2">
        <v>10171</v>
      </c>
      <c r="B172" s="4">
        <v>45802</v>
      </c>
      <c r="C172" t="s">
        <v>330</v>
      </c>
      <c r="D172" t="s">
        <v>40</v>
      </c>
      <c r="E172" t="s">
        <v>41</v>
      </c>
      <c r="F172" t="s">
        <v>64</v>
      </c>
      <c r="G172">
        <v>2</v>
      </c>
      <c r="H172" s="5">
        <v>3.5</v>
      </c>
      <c r="I172" t="s">
        <v>36</v>
      </c>
      <c r="J172" t="s">
        <v>246</v>
      </c>
      <c r="K172" t="s">
        <v>247</v>
      </c>
      <c r="L172" t="s">
        <v>2123</v>
      </c>
      <c r="M172" s="5">
        <f t="shared" si="13"/>
        <v>7</v>
      </c>
      <c r="N172" t="str">
        <f t="shared" si="14"/>
        <v>May</v>
      </c>
      <c r="O172" t="str">
        <f t="shared" si="15"/>
        <v>Sunday</v>
      </c>
      <c r="P172">
        <f t="shared" si="12"/>
        <v>14</v>
      </c>
      <c r="Q172" s="2">
        <f t="shared" si="16"/>
        <v>7</v>
      </c>
      <c r="R172" s="2">
        <f t="shared" si="17"/>
        <v>5</v>
      </c>
      <c r="S172">
        <f>SUMIF(Table1[product_category],"Bakery",Table1[Total_bill])</f>
        <v>2951.25</v>
      </c>
    </row>
    <row r="173" spans="1:19" x14ac:dyDescent="0.3">
      <c r="A173" s="2">
        <v>10172</v>
      </c>
      <c r="B173" s="4">
        <v>45803</v>
      </c>
      <c r="C173" t="s">
        <v>331</v>
      </c>
      <c r="D173" t="s">
        <v>18</v>
      </c>
      <c r="E173" t="s">
        <v>19</v>
      </c>
      <c r="F173" t="s">
        <v>66</v>
      </c>
      <c r="G173">
        <v>2</v>
      </c>
      <c r="H173" s="5">
        <v>14</v>
      </c>
      <c r="I173" t="s">
        <v>101</v>
      </c>
      <c r="J173" t="s">
        <v>102</v>
      </c>
      <c r="K173" t="s">
        <v>193</v>
      </c>
      <c r="L173" t="s">
        <v>2125</v>
      </c>
      <c r="M173" s="5">
        <f t="shared" si="13"/>
        <v>28</v>
      </c>
      <c r="N173" t="str">
        <f t="shared" si="14"/>
        <v>May</v>
      </c>
      <c r="O173" t="str">
        <f t="shared" si="15"/>
        <v>Monday</v>
      </c>
      <c r="P173">
        <f t="shared" si="12"/>
        <v>6</v>
      </c>
      <c r="Q173" s="2">
        <f t="shared" si="16"/>
        <v>1</v>
      </c>
      <c r="R173" s="2">
        <f t="shared" si="17"/>
        <v>5</v>
      </c>
      <c r="S173">
        <f>SUMIF(Table1[product_category],"Bakery",Table1[Total_bill])</f>
        <v>2951.25</v>
      </c>
    </row>
    <row r="174" spans="1:19" x14ac:dyDescent="0.3">
      <c r="A174" s="2">
        <v>10173</v>
      </c>
      <c r="B174" s="4">
        <v>45804</v>
      </c>
      <c r="C174" t="s">
        <v>332</v>
      </c>
      <c r="D174" t="s">
        <v>40</v>
      </c>
      <c r="E174" t="s">
        <v>41</v>
      </c>
      <c r="F174" t="s">
        <v>68</v>
      </c>
      <c r="G174">
        <v>3</v>
      </c>
      <c r="H174" s="5">
        <v>2.5</v>
      </c>
      <c r="I174" t="s">
        <v>21</v>
      </c>
      <c r="J174" t="s">
        <v>47</v>
      </c>
      <c r="K174" t="s">
        <v>48</v>
      </c>
      <c r="L174" t="s">
        <v>2125</v>
      </c>
      <c r="M174" s="5">
        <f t="shared" si="13"/>
        <v>7.5</v>
      </c>
      <c r="N174" t="str">
        <f t="shared" si="14"/>
        <v>May</v>
      </c>
      <c r="O174" t="str">
        <f t="shared" si="15"/>
        <v>Tuesday</v>
      </c>
      <c r="P174">
        <f t="shared" si="12"/>
        <v>12</v>
      </c>
      <c r="Q174" s="2">
        <f t="shared" si="16"/>
        <v>2</v>
      </c>
      <c r="R174" s="2">
        <f t="shared" si="17"/>
        <v>5</v>
      </c>
      <c r="S174">
        <f>SUMIF(Table1[product_category],"Bakery",Table1[Total_bill])</f>
        <v>2951.25</v>
      </c>
    </row>
    <row r="175" spans="1:19" x14ac:dyDescent="0.3">
      <c r="A175" s="2">
        <v>10174</v>
      </c>
      <c r="B175" s="4">
        <v>45805</v>
      </c>
      <c r="C175" t="s">
        <v>333</v>
      </c>
      <c r="D175" t="s">
        <v>40</v>
      </c>
      <c r="E175" t="s">
        <v>41</v>
      </c>
      <c r="F175" t="s">
        <v>71</v>
      </c>
      <c r="G175">
        <v>2</v>
      </c>
      <c r="H175" s="5">
        <v>6</v>
      </c>
      <c r="I175" t="s">
        <v>72</v>
      </c>
      <c r="J175" t="s">
        <v>72</v>
      </c>
      <c r="K175" t="s">
        <v>138</v>
      </c>
      <c r="L175" t="s">
        <v>2125</v>
      </c>
      <c r="M175" s="5">
        <f t="shared" si="13"/>
        <v>12</v>
      </c>
      <c r="N175" t="str">
        <f t="shared" si="14"/>
        <v>May</v>
      </c>
      <c r="O175" t="str">
        <f t="shared" si="15"/>
        <v>Wednesday</v>
      </c>
      <c r="P175">
        <f t="shared" si="12"/>
        <v>8</v>
      </c>
      <c r="Q175" s="2">
        <f t="shared" si="16"/>
        <v>3</v>
      </c>
      <c r="R175" s="2">
        <f t="shared" si="17"/>
        <v>5</v>
      </c>
      <c r="S175">
        <f>SUMIF(Table1[product_category],"Bakery",Table1[Total_bill])</f>
        <v>2951.25</v>
      </c>
    </row>
    <row r="176" spans="1:19" x14ac:dyDescent="0.3">
      <c r="A176" s="2">
        <v>10175</v>
      </c>
      <c r="B176" s="4">
        <v>45806</v>
      </c>
      <c r="C176" t="s">
        <v>334</v>
      </c>
      <c r="D176" t="s">
        <v>40</v>
      </c>
      <c r="E176" t="s">
        <v>41</v>
      </c>
      <c r="F176" t="s">
        <v>75</v>
      </c>
      <c r="G176">
        <v>4</v>
      </c>
      <c r="H176" s="5">
        <v>2.5</v>
      </c>
      <c r="I176" t="s">
        <v>21</v>
      </c>
      <c r="J176" t="s">
        <v>47</v>
      </c>
      <c r="K176" t="s">
        <v>48</v>
      </c>
      <c r="L176" t="s">
        <v>2125</v>
      </c>
      <c r="M176" s="5">
        <f t="shared" si="13"/>
        <v>10</v>
      </c>
      <c r="N176" t="str">
        <f t="shared" si="14"/>
        <v>May</v>
      </c>
      <c r="O176" t="str">
        <f t="shared" si="15"/>
        <v>Thursday</v>
      </c>
      <c r="P176">
        <f t="shared" si="12"/>
        <v>14</v>
      </c>
      <c r="Q176" s="2">
        <f t="shared" si="16"/>
        <v>4</v>
      </c>
      <c r="R176" s="2">
        <f t="shared" si="17"/>
        <v>5</v>
      </c>
      <c r="S176">
        <f>SUMIF(Table1[product_category],"Bakery",Table1[Total_bill])</f>
        <v>2951.25</v>
      </c>
    </row>
    <row r="177" spans="1:19" x14ac:dyDescent="0.3">
      <c r="A177" s="2">
        <v>10176</v>
      </c>
      <c r="B177" s="4">
        <v>45807</v>
      </c>
      <c r="C177" t="s">
        <v>335</v>
      </c>
      <c r="D177" t="s">
        <v>25</v>
      </c>
      <c r="E177" t="s">
        <v>26</v>
      </c>
      <c r="F177" t="s">
        <v>78</v>
      </c>
      <c r="G177">
        <v>2</v>
      </c>
      <c r="H177" s="5">
        <v>3.5</v>
      </c>
      <c r="I177" t="s">
        <v>36</v>
      </c>
      <c r="J177" t="s">
        <v>246</v>
      </c>
      <c r="K177" t="s">
        <v>247</v>
      </c>
      <c r="L177" t="s">
        <v>2123</v>
      </c>
      <c r="M177" s="5">
        <f t="shared" si="13"/>
        <v>7</v>
      </c>
      <c r="N177" t="str">
        <f t="shared" si="14"/>
        <v>May</v>
      </c>
      <c r="O177" t="str">
        <f t="shared" si="15"/>
        <v>Friday</v>
      </c>
      <c r="P177">
        <f t="shared" si="12"/>
        <v>8</v>
      </c>
      <c r="Q177" s="2">
        <f t="shared" si="16"/>
        <v>5</v>
      </c>
      <c r="R177" s="2">
        <f t="shared" si="17"/>
        <v>5</v>
      </c>
      <c r="S177">
        <f>SUMIF(Table1[product_category],"Bakery",Table1[Total_bill])</f>
        <v>2951.25</v>
      </c>
    </row>
    <row r="178" spans="1:19" x14ac:dyDescent="0.3">
      <c r="A178" s="2">
        <v>10177</v>
      </c>
      <c r="B178" s="4">
        <v>45808</v>
      </c>
      <c r="C178" t="s">
        <v>336</v>
      </c>
      <c r="D178" t="s">
        <v>18</v>
      </c>
      <c r="E178" t="s">
        <v>19</v>
      </c>
      <c r="F178" t="s">
        <v>80</v>
      </c>
      <c r="G178">
        <v>4</v>
      </c>
      <c r="H178" s="5">
        <v>5.5</v>
      </c>
      <c r="I178" t="s">
        <v>72</v>
      </c>
      <c r="J178" t="s">
        <v>72</v>
      </c>
      <c r="K178" t="s">
        <v>141</v>
      </c>
      <c r="L178" t="s">
        <v>2125</v>
      </c>
      <c r="M178" s="5">
        <f t="shared" si="13"/>
        <v>22</v>
      </c>
      <c r="N178" t="str">
        <f t="shared" si="14"/>
        <v>May</v>
      </c>
      <c r="O178" t="str">
        <f t="shared" si="15"/>
        <v>Saturday</v>
      </c>
      <c r="P178">
        <f t="shared" si="12"/>
        <v>14</v>
      </c>
      <c r="Q178" s="2">
        <f t="shared" si="16"/>
        <v>6</v>
      </c>
      <c r="R178" s="2">
        <f t="shared" si="17"/>
        <v>5</v>
      </c>
      <c r="S178">
        <f>SUMIF(Table1[product_category],"Bakery",Table1[Total_bill])</f>
        <v>2951.25</v>
      </c>
    </row>
    <row r="179" spans="1:19" x14ac:dyDescent="0.3">
      <c r="A179" s="2">
        <v>10178</v>
      </c>
      <c r="B179" s="4">
        <v>45809</v>
      </c>
      <c r="C179" t="s">
        <v>337</v>
      </c>
      <c r="D179" t="s">
        <v>18</v>
      </c>
      <c r="E179" t="s">
        <v>19</v>
      </c>
      <c r="F179" t="s">
        <v>84</v>
      </c>
      <c r="G179">
        <v>1</v>
      </c>
      <c r="H179" s="5">
        <v>4.75</v>
      </c>
      <c r="I179" t="s">
        <v>32</v>
      </c>
      <c r="J179" t="s">
        <v>202</v>
      </c>
      <c r="K179" t="s">
        <v>202</v>
      </c>
      <c r="L179" t="s">
        <v>2123</v>
      </c>
      <c r="M179" s="5">
        <f t="shared" si="13"/>
        <v>4.75</v>
      </c>
      <c r="N179" t="str">
        <f t="shared" si="14"/>
        <v>June</v>
      </c>
      <c r="O179" t="str">
        <f t="shared" si="15"/>
        <v>Sunday</v>
      </c>
      <c r="P179">
        <f t="shared" si="12"/>
        <v>10</v>
      </c>
      <c r="Q179" s="2">
        <f t="shared" si="16"/>
        <v>7</v>
      </c>
      <c r="R179" s="2">
        <f t="shared" si="17"/>
        <v>6</v>
      </c>
      <c r="S179">
        <f>SUMIF(Table1[product_category],"Bakery",Table1[Total_bill])</f>
        <v>2951.25</v>
      </c>
    </row>
    <row r="180" spans="1:19" x14ac:dyDescent="0.3">
      <c r="A180" s="2">
        <v>10179</v>
      </c>
      <c r="B180" s="4">
        <v>45810</v>
      </c>
      <c r="C180" t="s">
        <v>338</v>
      </c>
      <c r="D180" t="s">
        <v>40</v>
      </c>
      <c r="E180" t="s">
        <v>41</v>
      </c>
      <c r="F180" t="s">
        <v>86</v>
      </c>
      <c r="G180">
        <v>1</v>
      </c>
      <c r="H180" s="5">
        <v>3.25</v>
      </c>
      <c r="I180" t="s">
        <v>32</v>
      </c>
      <c r="J180" t="s">
        <v>144</v>
      </c>
      <c r="K180" t="s">
        <v>144</v>
      </c>
      <c r="L180" t="s">
        <v>2124</v>
      </c>
      <c r="M180" s="5">
        <f t="shared" si="13"/>
        <v>3.25</v>
      </c>
      <c r="N180" t="str">
        <f t="shared" si="14"/>
        <v>June</v>
      </c>
      <c r="O180" t="str">
        <f t="shared" si="15"/>
        <v>Monday</v>
      </c>
      <c r="P180">
        <f t="shared" si="12"/>
        <v>19</v>
      </c>
      <c r="Q180" s="2">
        <f t="shared" si="16"/>
        <v>1</v>
      </c>
      <c r="R180" s="2">
        <f t="shared" si="17"/>
        <v>6</v>
      </c>
      <c r="S180">
        <f>SUMIF(Table1[product_category],"Bakery",Table1[Total_bill])</f>
        <v>2951.25</v>
      </c>
    </row>
    <row r="181" spans="1:19" x14ac:dyDescent="0.3">
      <c r="A181" s="2">
        <v>10180</v>
      </c>
      <c r="B181" s="4">
        <v>45811</v>
      </c>
      <c r="C181" t="s">
        <v>339</v>
      </c>
      <c r="D181" t="s">
        <v>25</v>
      </c>
      <c r="E181" t="s">
        <v>26</v>
      </c>
      <c r="F181" t="s">
        <v>88</v>
      </c>
      <c r="G181">
        <v>2</v>
      </c>
      <c r="H181" s="5">
        <v>4.75</v>
      </c>
      <c r="I181" t="s">
        <v>32</v>
      </c>
      <c r="J181" t="s">
        <v>202</v>
      </c>
      <c r="K181" t="s">
        <v>202</v>
      </c>
      <c r="L181" t="s">
        <v>2123</v>
      </c>
      <c r="M181" s="5">
        <f t="shared" si="13"/>
        <v>9.5</v>
      </c>
      <c r="N181" t="str">
        <f t="shared" si="14"/>
        <v>June</v>
      </c>
      <c r="O181" t="str">
        <f t="shared" si="15"/>
        <v>Tuesday</v>
      </c>
      <c r="P181">
        <f t="shared" si="12"/>
        <v>7</v>
      </c>
      <c r="Q181" s="2">
        <f t="shared" si="16"/>
        <v>2</v>
      </c>
      <c r="R181" s="2">
        <f t="shared" si="17"/>
        <v>6</v>
      </c>
      <c r="S181">
        <f>SUMIF(Table1[product_category],"Bakery",Table1[Total_bill])</f>
        <v>2951.25</v>
      </c>
    </row>
    <row r="182" spans="1:19" x14ac:dyDescent="0.3">
      <c r="A182" s="2">
        <v>10181</v>
      </c>
      <c r="B182" s="4">
        <v>45812</v>
      </c>
      <c r="C182" t="s">
        <v>340</v>
      </c>
      <c r="D182" t="s">
        <v>40</v>
      </c>
      <c r="E182" t="s">
        <v>41</v>
      </c>
      <c r="F182" t="s">
        <v>93</v>
      </c>
      <c r="G182">
        <v>4</v>
      </c>
      <c r="H182" s="5">
        <v>2.5</v>
      </c>
      <c r="I182" t="s">
        <v>21</v>
      </c>
      <c r="J182" t="s">
        <v>47</v>
      </c>
      <c r="K182" t="s">
        <v>48</v>
      </c>
      <c r="L182" t="s">
        <v>2125</v>
      </c>
      <c r="M182" s="5">
        <f t="shared" si="13"/>
        <v>10</v>
      </c>
      <c r="N182" t="str">
        <f t="shared" si="14"/>
        <v>June</v>
      </c>
      <c r="O182" t="str">
        <f t="shared" si="15"/>
        <v>Wednesday</v>
      </c>
      <c r="P182">
        <f t="shared" si="12"/>
        <v>9</v>
      </c>
      <c r="Q182" s="2">
        <f t="shared" si="16"/>
        <v>3</v>
      </c>
      <c r="R182" s="2">
        <f t="shared" si="17"/>
        <v>6</v>
      </c>
      <c r="S182">
        <f>SUMIF(Table1[product_category],"Bakery",Table1[Total_bill])</f>
        <v>2951.25</v>
      </c>
    </row>
    <row r="183" spans="1:19" x14ac:dyDescent="0.3">
      <c r="A183" s="2">
        <v>10182</v>
      </c>
      <c r="B183" s="4">
        <v>45813</v>
      </c>
      <c r="C183" t="s">
        <v>341</v>
      </c>
      <c r="D183" t="s">
        <v>40</v>
      </c>
      <c r="E183" t="s">
        <v>41</v>
      </c>
      <c r="F183" t="s">
        <v>97</v>
      </c>
      <c r="G183">
        <v>4</v>
      </c>
      <c r="H183" s="5">
        <v>9.5</v>
      </c>
      <c r="I183" t="s">
        <v>28</v>
      </c>
      <c r="J183" t="s">
        <v>28</v>
      </c>
      <c r="K183" t="s">
        <v>29</v>
      </c>
      <c r="L183" t="s">
        <v>2125</v>
      </c>
      <c r="M183" s="5">
        <f t="shared" si="13"/>
        <v>38</v>
      </c>
      <c r="N183" t="str">
        <f t="shared" si="14"/>
        <v>June</v>
      </c>
      <c r="O183" t="str">
        <f t="shared" si="15"/>
        <v>Thursday</v>
      </c>
      <c r="P183">
        <f t="shared" si="12"/>
        <v>7</v>
      </c>
      <c r="Q183" s="2">
        <f t="shared" si="16"/>
        <v>4</v>
      </c>
      <c r="R183" s="2">
        <f t="shared" si="17"/>
        <v>6</v>
      </c>
      <c r="S183">
        <f>SUMIF(Table1[product_category],"Bakery",Table1[Total_bill])</f>
        <v>2951.25</v>
      </c>
    </row>
    <row r="184" spans="1:19" x14ac:dyDescent="0.3">
      <c r="A184" s="2">
        <v>10183</v>
      </c>
      <c r="B184" s="4">
        <v>45814</v>
      </c>
      <c r="C184" t="s">
        <v>342</v>
      </c>
      <c r="D184" t="s">
        <v>40</v>
      </c>
      <c r="E184" t="s">
        <v>41</v>
      </c>
      <c r="F184" t="s">
        <v>100</v>
      </c>
      <c r="G184">
        <v>1</v>
      </c>
      <c r="H184" s="5">
        <v>9.5</v>
      </c>
      <c r="I184" t="s">
        <v>28</v>
      </c>
      <c r="J184" t="s">
        <v>28</v>
      </c>
      <c r="K184" t="s">
        <v>29</v>
      </c>
      <c r="L184" t="s">
        <v>2125</v>
      </c>
      <c r="M184" s="5">
        <f t="shared" si="13"/>
        <v>9.5</v>
      </c>
      <c r="N184" t="str">
        <f t="shared" si="14"/>
        <v>June</v>
      </c>
      <c r="O184" t="str">
        <f t="shared" si="15"/>
        <v>Friday</v>
      </c>
      <c r="P184">
        <f t="shared" si="12"/>
        <v>18</v>
      </c>
      <c r="Q184" s="2">
        <f t="shared" si="16"/>
        <v>5</v>
      </c>
      <c r="R184" s="2">
        <f t="shared" si="17"/>
        <v>6</v>
      </c>
      <c r="S184">
        <f>SUMIF(Table1[product_category],"Bakery",Table1[Total_bill])</f>
        <v>2951.25</v>
      </c>
    </row>
    <row r="185" spans="1:19" x14ac:dyDescent="0.3">
      <c r="A185" s="2">
        <v>10184</v>
      </c>
      <c r="B185" s="4">
        <v>45815</v>
      </c>
      <c r="C185" t="s">
        <v>343</v>
      </c>
      <c r="D185" t="s">
        <v>18</v>
      </c>
      <c r="E185" t="s">
        <v>19</v>
      </c>
      <c r="F185" t="s">
        <v>105</v>
      </c>
      <c r="G185">
        <v>2</v>
      </c>
      <c r="H185" s="5">
        <v>3</v>
      </c>
      <c r="I185" t="s">
        <v>21</v>
      </c>
      <c r="J185" t="s">
        <v>181</v>
      </c>
      <c r="K185" t="s">
        <v>182</v>
      </c>
      <c r="L185" t="s">
        <v>2125</v>
      </c>
      <c r="M185" s="5">
        <f t="shared" si="13"/>
        <v>6</v>
      </c>
      <c r="N185" t="str">
        <f t="shared" si="14"/>
        <v>June</v>
      </c>
      <c r="O185" t="str">
        <f t="shared" si="15"/>
        <v>Saturday</v>
      </c>
      <c r="P185">
        <f t="shared" si="12"/>
        <v>17</v>
      </c>
      <c r="Q185" s="2">
        <f t="shared" si="16"/>
        <v>6</v>
      </c>
      <c r="R185" s="2">
        <f t="shared" si="17"/>
        <v>6</v>
      </c>
      <c r="S185">
        <f>SUMIF(Table1[product_category],"Bakery",Table1[Total_bill])</f>
        <v>2951.25</v>
      </c>
    </row>
    <row r="186" spans="1:19" x14ac:dyDescent="0.3">
      <c r="A186" s="2">
        <v>10185</v>
      </c>
      <c r="B186" s="4">
        <v>45816</v>
      </c>
      <c r="C186" t="s">
        <v>344</v>
      </c>
      <c r="D186" t="s">
        <v>18</v>
      </c>
      <c r="E186" t="s">
        <v>19</v>
      </c>
      <c r="F186" t="s">
        <v>107</v>
      </c>
      <c r="G186">
        <v>2</v>
      </c>
      <c r="H186" s="5">
        <v>3.25</v>
      </c>
      <c r="I186" t="s">
        <v>32</v>
      </c>
      <c r="J186" t="s">
        <v>144</v>
      </c>
      <c r="K186" t="s">
        <v>144</v>
      </c>
      <c r="L186" t="s">
        <v>2124</v>
      </c>
      <c r="M186" s="5">
        <f t="shared" si="13"/>
        <v>6.5</v>
      </c>
      <c r="N186" t="str">
        <f t="shared" si="14"/>
        <v>June</v>
      </c>
      <c r="O186" t="str">
        <f t="shared" si="15"/>
        <v>Sunday</v>
      </c>
      <c r="P186">
        <f t="shared" si="12"/>
        <v>8</v>
      </c>
      <c r="Q186" s="2">
        <f t="shared" si="16"/>
        <v>7</v>
      </c>
      <c r="R186" s="2">
        <f t="shared" si="17"/>
        <v>6</v>
      </c>
      <c r="S186">
        <f>SUMIF(Table1[product_category],"Bakery",Table1[Total_bill])</f>
        <v>2951.25</v>
      </c>
    </row>
    <row r="187" spans="1:19" x14ac:dyDescent="0.3">
      <c r="A187" s="2">
        <v>10186</v>
      </c>
      <c r="B187" s="4">
        <v>45817</v>
      </c>
      <c r="C187" t="s">
        <v>345</v>
      </c>
      <c r="D187" t="s">
        <v>25</v>
      </c>
      <c r="E187" t="s">
        <v>26</v>
      </c>
      <c r="F187" t="s">
        <v>109</v>
      </c>
      <c r="G187">
        <v>1</v>
      </c>
      <c r="H187" s="5">
        <v>3.25</v>
      </c>
      <c r="I187" t="s">
        <v>32</v>
      </c>
      <c r="J187" t="s">
        <v>226</v>
      </c>
      <c r="K187" t="s">
        <v>273</v>
      </c>
      <c r="L187" t="s">
        <v>2124</v>
      </c>
      <c r="M187" s="5">
        <f t="shared" si="13"/>
        <v>3.25</v>
      </c>
      <c r="N187" t="str">
        <f t="shared" si="14"/>
        <v>June</v>
      </c>
      <c r="O187" t="str">
        <f t="shared" si="15"/>
        <v>Monday</v>
      </c>
      <c r="P187">
        <f t="shared" si="12"/>
        <v>14</v>
      </c>
      <c r="Q187" s="2">
        <f t="shared" si="16"/>
        <v>1</v>
      </c>
      <c r="R187" s="2">
        <f t="shared" si="17"/>
        <v>6</v>
      </c>
      <c r="S187">
        <f>SUMIF(Table1[product_category],"Bakery",Table1[Total_bill])</f>
        <v>2951.25</v>
      </c>
    </row>
    <row r="188" spans="1:19" x14ac:dyDescent="0.3">
      <c r="A188" s="2">
        <v>10187</v>
      </c>
      <c r="B188" s="4">
        <v>45818</v>
      </c>
      <c r="C188" t="s">
        <v>346</v>
      </c>
      <c r="D188" t="s">
        <v>40</v>
      </c>
      <c r="E188" t="s">
        <v>41</v>
      </c>
      <c r="F188" t="s">
        <v>112</v>
      </c>
      <c r="G188">
        <v>4</v>
      </c>
      <c r="H188" s="5">
        <v>4.25</v>
      </c>
      <c r="I188" t="s">
        <v>32</v>
      </c>
      <c r="J188" t="s">
        <v>202</v>
      </c>
      <c r="K188" t="s">
        <v>202</v>
      </c>
      <c r="L188" t="s">
        <v>2124</v>
      </c>
      <c r="M188" s="5">
        <f t="shared" si="13"/>
        <v>17</v>
      </c>
      <c r="N188" t="str">
        <f t="shared" si="14"/>
        <v>June</v>
      </c>
      <c r="O188" t="str">
        <f t="shared" si="15"/>
        <v>Tuesday</v>
      </c>
      <c r="P188">
        <f t="shared" si="12"/>
        <v>16</v>
      </c>
      <c r="Q188" s="2">
        <f t="shared" si="16"/>
        <v>2</v>
      </c>
      <c r="R188" s="2">
        <f t="shared" si="17"/>
        <v>6</v>
      </c>
      <c r="S188">
        <f>SUMIF(Table1[product_category],"Bakery",Table1[Total_bill])</f>
        <v>2951.25</v>
      </c>
    </row>
    <row r="189" spans="1:19" x14ac:dyDescent="0.3">
      <c r="A189" s="2">
        <v>10188</v>
      </c>
      <c r="B189" s="4">
        <v>45819</v>
      </c>
      <c r="C189" t="s">
        <v>347</v>
      </c>
      <c r="D189" t="s">
        <v>25</v>
      </c>
      <c r="E189" t="s">
        <v>26</v>
      </c>
      <c r="F189" t="s">
        <v>115</v>
      </c>
      <c r="G189">
        <v>1</v>
      </c>
      <c r="H189" s="5">
        <v>3.25</v>
      </c>
      <c r="I189" t="s">
        <v>36</v>
      </c>
      <c r="J189" t="s">
        <v>211</v>
      </c>
      <c r="K189" t="s">
        <v>212</v>
      </c>
      <c r="L189" t="s">
        <v>2122</v>
      </c>
      <c r="M189" s="5">
        <f t="shared" si="13"/>
        <v>3.25</v>
      </c>
      <c r="N189" t="str">
        <f t="shared" si="14"/>
        <v>June</v>
      </c>
      <c r="O189" t="str">
        <f t="shared" si="15"/>
        <v>Wednesday</v>
      </c>
      <c r="P189">
        <f t="shared" si="12"/>
        <v>12</v>
      </c>
      <c r="Q189" s="2">
        <f t="shared" si="16"/>
        <v>3</v>
      </c>
      <c r="R189" s="2">
        <f t="shared" si="17"/>
        <v>6</v>
      </c>
      <c r="S189">
        <f>SUMIF(Table1[product_category],"Bakery",Table1[Total_bill])</f>
        <v>2951.25</v>
      </c>
    </row>
    <row r="190" spans="1:19" x14ac:dyDescent="0.3">
      <c r="A190" s="2">
        <v>10189</v>
      </c>
      <c r="B190" s="4">
        <v>45820</v>
      </c>
      <c r="C190" t="s">
        <v>348</v>
      </c>
      <c r="D190" t="s">
        <v>18</v>
      </c>
      <c r="E190" t="s">
        <v>19</v>
      </c>
      <c r="F190" t="s">
        <v>117</v>
      </c>
      <c r="G190">
        <v>2</v>
      </c>
      <c r="H190" s="5">
        <v>3.5</v>
      </c>
      <c r="I190" t="s">
        <v>36</v>
      </c>
      <c r="J190" t="s">
        <v>246</v>
      </c>
      <c r="K190" t="s">
        <v>247</v>
      </c>
      <c r="L190" t="s">
        <v>2123</v>
      </c>
      <c r="M190" s="5">
        <f t="shared" si="13"/>
        <v>7</v>
      </c>
      <c r="N190" t="str">
        <f t="shared" si="14"/>
        <v>June</v>
      </c>
      <c r="O190" t="str">
        <f t="shared" si="15"/>
        <v>Thursday</v>
      </c>
      <c r="P190">
        <f t="shared" si="12"/>
        <v>12</v>
      </c>
      <c r="Q190" s="2">
        <f t="shared" si="16"/>
        <v>4</v>
      </c>
      <c r="R190" s="2">
        <f t="shared" si="17"/>
        <v>6</v>
      </c>
      <c r="S190">
        <f>SUMIF(Table1[product_category],"Bakery",Table1[Total_bill])</f>
        <v>2951.25</v>
      </c>
    </row>
    <row r="191" spans="1:19" x14ac:dyDescent="0.3">
      <c r="A191" s="2">
        <v>10190</v>
      </c>
      <c r="B191" s="4">
        <v>45821</v>
      </c>
      <c r="C191" t="s">
        <v>349</v>
      </c>
      <c r="D191" t="s">
        <v>40</v>
      </c>
      <c r="E191" t="s">
        <v>41</v>
      </c>
      <c r="F191" t="s">
        <v>119</v>
      </c>
      <c r="G191">
        <v>3</v>
      </c>
      <c r="H191" s="5">
        <v>5.5</v>
      </c>
      <c r="I191" t="s">
        <v>72</v>
      </c>
      <c r="J191" t="s">
        <v>72</v>
      </c>
      <c r="K191" t="s">
        <v>73</v>
      </c>
      <c r="L191" t="s">
        <v>2125</v>
      </c>
      <c r="M191" s="5">
        <f t="shared" si="13"/>
        <v>16.5</v>
      </c>
      <c r="N191" t="str">
        <f t="shared" si="14"/>
        <v>June</v>
      </c>
      <c r="O191" t="str">
        <f t="shared" si="15"/>
        <v>Friday</v>
      </c>
      <c r="P191">
        <f t="shared" si="12"/>
        <v>8</v>
      </c>
      <c r="Q191" s="2">
        <f t="shared" si="16"/>
        <v>5</v>
      </c>
      <c r="R191" s="2">
        <f t="shared" si="17"/>
        <v>6</v>
      </c>
      <c r="S191">
        <f>SUMIF(Table1[product_category],"Bakery",Table1[Total_bill])</f>
        <v>2951.25</v>
      </c>
    </row>
    <row r="192" spans="1:19" x14ac:dyDescent="0.3">
      <c r="A192" s="2">
        <v>10191</v>
      </c>
      <c r="B192" s="4">
        <v>45822</v>
      </c>
      <c r="C192" t="s">
        <v>350</v>
      </c>
      <c r="D192" t="s">
        <v>40</v>
      </c>
      <c r="E192" t="s">
        <v>41</v>
      </c>
      <c r="F192" t="s">
        <v>121</v>
      </c>
      <c r="G192">
        <v>2</v>
      </c>
      <c r="H192" s="5">
        <v>3</v>
      </c>
      <c r="I192" t="s">
        <v>21</v>
      </c>
      <c r="J192" t="s">
        <v>181</v>
      </c>
      <c r="K192" t="s">
        <v>182</v>
      </c>
      <c r="L192" t="s">
        <v>2125</v>
      </c>
      <c r="M192" s="5">
        <f t="shared" si="13"/>
        <v>6</v>
      </c>
      <c r="N192" t="str">
        <f t="shared" si="14"/>
        <v>June</v>
      </c>
      <c r="O192" t="str">
        <f t="shared" si="15"/>
        <v>Saturday</v>
      </c>
      <c r="P192">
        <f t="shared" si="12"/>
        <v>7</v>
      </c>
      <c r="Q192" s="2">
        <f t="shared" si="16"/>
        <v>6</v>
      </c>
      <c r="R192" s="2">
        <f t="shared" si="17"/>
        <v>6</v>
      </c>
      <c r="S192">
        <f>SUMIF(Table1[product_category],"Bakery",Table1[Total_bill])</f>
        <v>2951.25</v>
      </c>
    </row>
    <row r="193" spans="1:19" x14ac:dyDescent="0.3">
      <c r="A193" s="2">
        <v>10192</v>
      </c>
      <c r="B193" s="4">
        <v>45823</v>
      </c>
      <c r="C193" t="s">
        <v>351</v>
      </c>
      <c r="D193" t="s">
        <v>18</v>
      </c>
      <c r="E193" t="s">
        <v>19</v>
      </c>
      <c r="F193" t="s">
        <v>124</v>
      </c>
      <c r="G193">
        <v>4</v>
      </c>
      <c r="H193" s="5">
        <v>3.25</v>
      </c>
      <c r="I193" t="s">
        <v>21</v>
      </c>
      <c r="J193" t="s">
        <v>81</v>
      </c>
      <c r="K193" t="s">
        <v>113</v>
      </c>
      <c r="L193" t="s">
        <v>2125</v>
      </c>
      <c r="M193" s="5">
        <f t="shared" si="13"/>
        <v>13</v>
      </c>
      <c r="N193" t="str">
        <f t="shared" si="14"/>
        <v>June</v>
      </c>
      <c r="O193" t="str">
        <f t="shared" si="15"/>
        <v>Sunday</v>
      </c>
      <c r="P193">
        <f t="shared" si="12"/>
        <v>18</v>
      </c>
      <c r="Q193" s="2">
        <f t="shared" si="16"/>
        <v>7</v>
      </c>
      <c r="R193" s="2">
        <f t="shared" si="17"/>
        <v>6</v>
      </c>
      <c r="S193">
        <f>SUMIF(Table1[product_category],"Bakery",Table1[Total_bill])</f>
        <v>2951.25</v>
      </c>
    </row>
    <row r="194" spans="1:19" x14ac:dyDescent="0.3">
      <c r="A194" s="2">
        <v>10193</v>
      </c>
      <c r="B194" s="4">
        <v>45824</v>
      </c>
      <c r="C194" t="s">
        <v>352</v>
      </c>
      <c r="D194" t="s">
        <v>40</v>
      </c>
      <c r="E194" t="s">
        <v>41</v>
      </c>
      <c r="F194" t="s">
        <v>126</v>
      </c>
      <c r="G194">
        <v>4</v>
      </c>
      <c r="H194" s="5">
        <v>3</v>
      </c>
      <c r="I194" t="s">
        <v>36</v>
      </c>
      <c r="J194" t="s">
        <v>37</v>
      </c>
      <c r="K194" t="s">
        <v>38</v>
      </c>
      <c r="L194" t="s">
        <v>2124</v>
      </c>
      <c r="M194" s="5">
        <f t="shared" si="13"/>
        <v>12</v>
      </c>
      <c r="N194" t="str">
        <f t="shared" si="14"/>
        <v>June</v>
      </c>
      <c r="O194" t="str">
        <f t="shared" si="15"/>
        <v>Monday</v>
      </c>
      <c r="P194">
        <f t="shared" ref="P194:P257" si="18">HOUR(TIMEVALUE(C194))</f>
        <v>18</v>
      </c>
      <c r="Q194" s="2">
        <f t="shared" si="16"/>
        <v>1</v>
      </c>
      <c r="R194" s="2">
        <f t="shared" si="17"/>
        <v>6</v>
      </c>
      <c r="S194">
        <f>SUMIF(Table1[product_category],"Bakery",Table1[Total_bill])</f>
        <v>2951.25</v>
      </c>
    </row>
    <row r="195" spans="1:19" x14ac:dyDescent="0.3">
      <c r="A195" s="2">
        <v>10194</v>
      </c>
      <c r="B195" s="4">
        <v>45825</v>
      </c>
      <c r="C195" t="s">
        <v>353</v>
      </c>
      <c r="D195" t="s">
        <v>18</v>
      </c>
      <c r="E195" t="s">
        <v>19</v>
      </c>
      <c r="F195" t="s">
        <v>128</v>
      </c>
      <c r="G195">
        <v>3</v>
      </c>
      <c r="H195" s="5">
        <v>3.5</v>
      </c>
      <c r="I195" t="s">
        <v>21</v>
      </c>
      <c r="J195" t="s">
        <v>51</v>
      </c>
      <c r="K195" t="s">
        <v>52</v>
      </c>
      <c r="L195" t="s">
        <v>2125</v>
      </c>
      <c r="M195" s="5">
        <f t="shared" ref="M195:M258" si="19">G195*H195</f>
        <v>10.5</v>
      </c>
      <c r="N195" t="str">
        <f t="shared" ref="N195:N258" si="20">TEXT(B195,"mmmm")</f>
        <v>June</v>
      </c>
      <c r="O195" t="str">
        <f t="shared" ref="O195:O258" si="21">TEXT(B195,"dddd")</f>
        <v>Tuesday</v>
      </c>
      <c r="P195">
        <f t="shared" si="18"/>
        <v>13</v>
      </c>
      <c r="Q195" s="2">
        <f t="shared" ref="Q195:Q258" si="22">WEEKDAY(B195,2)</f>
        <v>2</v>
      </c>
      <c r="R195" s="2">
        <f t="shared" ref="R195:R258" si="23">MONTH(B195)</f>
        <v>6</v>
      </c>
      <c r="S195">
        <f>SUMIF(Table1[product_category],"Bakery",Table1[Total_bill])</f>
        <v>2951.25</v>
      </c>
    </row>
    <row r="196" spans="1:19" x14ac:dyDescent="0.3">
      <c r="A196" s="2">
        <v>10195</v>
      </c>
      <c r="B196" s="4">
        <v>45826</v>
      </c>
      <c r="C196" t="s">
        <v>354</v>
      </c>
      <c r="D196" t="s">
        <v>18</v>
      </c>
      <c r="E196" t="s">
        <v>19</v>
      </c>
      <c r="F196" t="s">
        <v>131</v>
      </c>
      <c r="G196">
        <v>1</v>
      </c>
      <c r="H196" s="5">
        <v>4.5</v>
      </c>
      <c r="I196" t="s">
        <v>89</v>
      </c>
      <c r="J196" t="s">
        <v>90</v>
      </c>
      <c r="K196" t="s">
        <v>91</v>
      </c>
      <c r="L196" t="s">
        <v>2124</v>
      </c>
      <c r="M196" s="5">
        <f t="shared" si="19"/>
        <v>4.5</v>
      </c>
      <c r="N196" t="str">
        <f t="shared" si="20"/>
        <v>June</v>
      </c>
      <c r="O196" t="str">
        <f t="shared" si="21"/>
        <v>Wednesday</v>
      </c>
      <c r="P196">
        <f t="shared" si="18"/>
        <v>9</v>
      </c>
      <c r="Q196" s="2">
        <f t="shared" si="22"/>
        <v>3</v>
      </c>
      <c r="R196" s="2">
        <f t="shared" si="23"/>
        <v>6</v>
      </c>
      <c r="S196">
        <f>SUMIF(Table1[product_category],"Bakery",Table1[Total_bill])</f>
        <v>2951.25</v>
      </c>
    </row>
    <row r="197" spans="1:19" x14ac:dyDescent="0.3">
      <c r="A197" s="2">
        <v>10196</v>
      </c>
      <c r="B197" s="4">
        <v>45827</v>
      </c>
      <c r="C197" t="s">
        <v>355</v>
      </c>
      <c r="D197" t="s">
        <v>18</v>
      </c>
      <c r="E197" t="s">
        <v>19</v>
      </c>
      <c r="F197" t="s">
        <v>133</v>
      </c>
      <c r="G197">
        <v>4</v>
      </c>
      <c r="H197" s="5">
        <v>4.5</v>
      </c>
      <c r="I197" t="s">
        <v>32</v>
      </c>
      <c r="J197" t="s">
        <v>94</v>
      </c>
      <c r="K197" t="s">
        <v>95</v>
      </c>
      <c r="L197" t="s">
        <v>2123</v>
      </c>
      <c r="M197" s="5">
        <f t="shared" si="19"/>
        <v>18</v>
      </c>
      <c r="N197" t="str">
        <f t="shared" si="20"/>
        <v>June</v>
      </c>
      <c r="O197" t="str">
        <f t="shared" si="21"/>
        <v>Thursday</v>
      </c>
      <c r="P197">
        <f t="shared" si="18"/>
        <v>9</v>
      </c>
      <c r="Q197" s="2">
        <f t="shared" si="22"/>
        <v>4</v>
      </c>
      <c r="R197" s="2">
        <f t="shared" si="23"/>
        <v>6</v>
      </c>
      <c r="S197">
        <f>SUMIF(Table1[product_category],"Bakery",Table1[Total_bill])</f>
        <v>2951.25</v>
      </c>
    </row>
    <row r="198" spans="1:19" x14ac:dyDescent="0.3">
      <c r="A198" s="2">
        <v>10197</v>
      </c>
      <c r="B198" s="4">
        <v>45828</v>
      </c>
      <c r="C198" t="s">
        <v>356</v>
      </c>
      <c r="D198" t="s">
        <v>25</v>
      </c>
      <c r="E198" t="s">
        <v>26</v>
      </c>
      <c r="F198" t="s">
        <v>135</v>
      </c>
      <c r="G198">
        <v>2</v>
      </c>
      <c r="H198" s="5">
        <v>3.5</v>
      </c>
      <c r="I198" t="s">
        <v>21</v>
      </c>
      <c r="J198" t="s">
        <v>51</v>
      </c>
      <c r="K198" t="s">
        <v>52</v>
      </c>
      <c r="L198" t="s">
        <v>2125</v>
      </c>
      <c r="M198" s="5">
        <f t="shared" si="19"/>
        <v>7</v>
      </c>
      <c r="N198" t="str">
        <f t="shared" si="20"/>
        <v>June</v>
      </c>
      <c r="O198" t="str">
        <f t="shared" si="21"/>
        <v>Friday</v>
      </c>
      <c r="P198">
        <f t="shared" si="18"/>
        <v>15</v>
      </c>
      <c r="Q198" s="2">
        <f t="shared" si="22"/>
        <v>5</v>
      </c>
      <c r="R198" s="2">
        <f t="shared" si="23"/>
        <v>6</v>
      </c>
      <c r="S198">
        <f>SUMIF(Table1[product_category],"Bakery",Table1[Total_bill])</f>
        <v>2951.25</v>
      </c>
    </row>
    <row r="199" spans="1:19" x14ac:dyDescent="0.3">
      <c r="A199" s="2">
        <v>10198</v>
      </c>
      <c r="B199" s="4">
        <v>45829</v>
      </c>
      <c r="C199" t="s">
        <v>357</v>
      </c>
      <c r="D199" t="s">
        <v>40</v>
      </c>
      <c r="E199" t="s">
        <v>41</v>
      </c>
      <c r="F199" t="s">
        <v>137</v>
      </c>
      <c r="G199">
        <v>1</v>
      </c>
      <c r="H199" s="5">
        <v>4</v>
      </c>
      <c r="I199" t="s">
        <v>32</v>
      </c>
      <c r="J199" t="s">
        <v>122</v>
      </c>
      <c r="K199" t="s">
        <v>122</v>
      </c>
      <c r="L199" t="s">
        <v>2124</v>
      </c>
      <c r="M199" s="5">
        <f t="shared" si="19"/>
        <v>4</v>
      </c>
      <c r="N199" t="str">
        <f t="shared" si="20"/>
        <v>June</v>
      </c>
      <c r="O199" t="str">
        <f t="shared" si="21"/>
        <v>Saturday</v>
      </c>
      <c r="P199">
        <f t="shared" si="18"/>
        <v>18</v>
      </c>
      <c r="Q199" s="2">
        <f t="shared" si="22"/>
        <v>6</v>
      </c>
      <c r="R199" s="2">
        <f t="shared" si="23"/>
        <v>6</v>
      </c>
      <c r="S199">
        <f>SUMIF(Table1[product_category],"Bakery",Table1[Total_bill])</f>
        <v>2951.25</v>
      </c>
    </row>
    <row r="200" spans="1:19" x14ac:dyDescent="0.3">
      <c r="A200" s="2">
        <v>10199</v>
      </c>
      <c r="B200" s="4">
        <v>45830</v>
      </c>
      <c r="C200" t="s">
        <v>358</v>
      </c>
      <c r="D200" t="s">
        <v>25</v>
      </c>
      <c r="E200" t="s">
        <v>26</v>
      </c>
      <c r="F200" t="s">
        <v>140</v>
      </c>
      <c r="G200">
        <v>2</v>
      </c>
      <c r="H200" s="5">
        <v>2.25</v>
      </c>
      <c r="I200" t="s">
        <v>21</v>
      </c>
      <c r="J200" t="s">
        <v>58</v>
      </c>
      <c r="K200" t="s">
        <v>59</v>
      </c>
      <c r="L200" t="s">
        <v>2125</v>
      </c>
      <c r="M200" s="5">
        <f t="shared" si="19"/>
        <v>4.5</v>
      </c>
      <c r="N200" t="str">
        <f t="shared" si="20"/>
        <v>June</v>
      </c>
      <c r="O200" t="str">
        <f t="shared" si="21"/>
        <v>Sunday</v>
      </c>
      <c r="P200">
        <f t="shared" si="18"/>
        <v>17</v>
      </c>
      <c r="Q200" s="2">
        <f t="shared" si="22"/>
        <v>7</v>
      </c>
      <c r="R200" s="2">
        <f t="shared" si="23"/>
        <v>6</v>
      </c>
      <c r="S200">
        <f>SUMIF(Table1[product_category],"Bakery",Table1[Total_bill])</f>
        <v>2951.25</v>
      </c>
    </row>
    <row r="201" spans="1:19" x14ac:dyDescent="0.3">
      <c r="A201" s="2">
        <v>10200</v>
      </c>
      <c r="B201" s="4">
        <v>45831</v>
      </c>
      <c r="C201" t="s">
        <v>359</v>
      </c>
      <c r="D201" t="s">
        <v>40</v>
      </c>
      <c r="E201" t="s">
        <v>41</v>
      </c>
      <c r="F201" t="s">
        <v>143</v>
      </c>
      <c r="G201">
        <v>2</v>
      </c>
      <c r="H201" s="5">
        <v>11</v>
      </c>
      <c r="I201" t="s">
        <v>98</v>
      </c>
      <c r="J201" t="s">
        <v>98</v>
      </c>
      <c r="K201" t="s">
        <v>215</v>
      </c>
      <c r="L201" t="s">
        <v>2125</v>
      </c>
      <c r="M201" s="5">
        <f t="shared" si="19"/>
        <v>22</v>
      </c>
      <c r="N201" t="str">
        <f t="shared" si="20"/>
        <v>June</v>
      </c>
      <c r="O201" t="str">
        <f t="shared" si="21"/>
        <v>Monday</v>
      </c>
      <c r="P201">
        <f t="shared" si="18"/>
        <v>15</v>
      </c>
      <c r="Q201" s="2">
        <f t="shared" si="22"/>
        <v>1</v>
      </c>
      <c r="R201" s="2">
        <f t="shared" si="23"/>
        <v>6</v>
      </c>
      <c r="S201">
        <f>SUMIF(Table1[product_category],"Bakery",Table1[Total_bill])</f>
        <v>2951.25</v>
      </c>
    </row>
    <row r="202" spans="1:19" x14ac:dyDescent="0.3">
      <c r="A202" s="2">
        <v>10201</v>
      </c>
      <c r="B202" s="4">
        <v>45832</v>
      </c>
      <c r="C202" t="s">
        <v>360</v>
      </c>
      <c r="D202" t="s">
        <v>18</v>
      </c>
      <c r="E202" t="s">
        <v>19</v>
      </c>
      <c r="F202" t="s">
        <v>146</v>
      </c>
      <c r="G202">
        <v>3</v>
      </c>
      <c r="H202" s="5">
        <v>2.25</v>
      </c>
      <c r="I202" t="s">
        <v>21</v>
      </c>
      <c r="J202" t="s">
        <v>58</v>
      </c>
      <c r="K202" t="s">
        <v>59</v>
      </c>
      <c r="L202" t="s">
        <v>2125</v>
      </c>
      <c r="M202" s="5">
        <f t="shared" si="19"/>
        <v>6.75</v>
      </c>
      <c r="N202" t="str">
        <f t="shared" si="20"/>
        <v>June</v>
      </c>
      <c r="O202" t="str">
        <f t="shared" si="21"/>
        <v>Tuesday</v>
      </c>
      <c r="P202">
        <f t="shared" si="18"/>
        <v>14</v>
      </c>
      <c r="Q202" s="2">
        <f t="shared" si="22"/>
        <v>2</v>
      </c>
      <c r="R202" s="2">
        <f t="shared" si="23"/>
        <v>6</v>
      </c>
      <c r="S202">
        <f>SUMIF(Table1[product_category],"Bakery",Table1[Total_bill])</f>
        <v>2951.25</v>
      </c>
    </row>
    <row r="203" spans="1:19" x14ac:dyDescent="0.3">
      <c r="A203" s="2">
        <v>10202</v>
      </c>
      <c r="B203" s="4">
        <v>45833</v>
      </c>
      <c r="C203" t="s">
        <v>361</v>
      </c>
      <c r="D203" t="s">
        <v>40</v>
      </c>
      <c r="E203" t="s">
        <v>41</v>
      </c>
      <c r="F203" t="s">
        <v>148</v>
      </c>
      <c r="G203">
        <v>3</v>
      </c>
      <c r="H203" s="5">
        <v>3</v>
      </c>
      <c r="I203" t="s">
        <v>21</v>
      </c>
      <c r="J203" t="s">
        <v>181</v>
      </c>
      <c r="K203" t="s">
        <v>182</v>
      </c>
      <c r="L203" t="s">
        <v>2125</v>
      </c>
      <c r="M203" s="5">
        <f t="shared" si="19"/>
        <v>9</v>
      </c>
      <c r="N203" t="str">
        <f t="shared" si="20"/>
        <v>June</v>
      </c>
      <c r="O203" t="str">
        <f t="shared" si="21"/>
        <v>Wednesday</v>
      </c>
      <c r="P203">
        <f t="shared" si="18"/>
        <v>7</v>
      </c>
      <c r="Q203" s="2">
        <f t="shared" si="22"/>
        <v>3</v>
      </c>
      <c r="R203" s="2">
        <f t="shared" si="23"/>
        <v>6</v>
      </c>
      <c r="S203">
        <f>SUMIF(Table1[product_category],"Bakery",Table1[Total_bill])</f>
        <v>2951.25</v>
      </c>
    </row>
    <row r="204" spans="1:19" x14ac:dyDescent="0.3">
      <c r="A204" s="2">
        <v>10203</v>
      </c>
      <c r="B204" s="4">
        <v>45834</v>
      </c>
      <c r="C204" t="s">
        <v>362</v>
      </c>
      <c r="D204" t="s">
        <v>25</v>
      </c>
      <c r="E204" t="s">
        <v>26</v>
      </c>
      <c r="F204" t="s">
        <v>150</v>
      </c>
      <c r="G204">
        <v>4</v>
      </c>
      <c r="H204" s="5">
        <v>3.5</v>
      </c>
      <c r="I204" t="s">
        <v>36</v>
      </c>
      <c r="J204" t="s">
        <v>37</v>
      </c>
      <c r="K204" t="s">
        <v>62</v>
      </c>
      <c r="L204" t="s">
        <v>2123</v>
      </c>
      <c r="M204" s="5">
        <f t="shared" si="19"/>
        <v>14</v>
      </c>
      <c r="N204" t="str">
        <f t="shared" si="20"/>
        <v>June</v>
      </c>
      <c r="O204" t="str">
        <f t="shared" si="21"/>
        <v>Thursday</v>
      </c>
      <c r="P204">
        <f t="shared" si="18"/>
        <v>8</v>
      </c>
      <c r="Q204" s="2">
        <f t="shared" si="22"/>
        <v>4</v>
      </c>
      <c r="R204" s="2">
        <f t="shared" si="23"/>
        <v>6</v>
      </c>
      <c r="S204">
        <f>SUMIF(Table1[product_category],"Bakery",Table1[Total_bill])</f>
        <v>2951.25</v>
      </c>
    </row>
    <row r="205" spans="1:19" x14ac:dyDescent="0.3">
      <c r="A205" s="2">
        <v>10204</v>
      </c>
      <c r="B205" s="4">
        <v>45835</v>
      </c>
      <c r="C205" t="s">
        <v>363</v>
      </c>
      <c r="D205" t="s">
        <v>40</v>
      </c>
      <c r="E205" t="s">
        <v>41</v>
      </c>
      <c r="F205" t="s">
        <v>152</v>
      </c>
      <c r="G205">
        <v>1</v>
      </c>
      <c r="H205" s="5">
        <v>2.25</v>
      </c>
      <c r="I205" t="s">
        <v>32</v>
      </c>
      <c r="J205" t="s">
        <v>43</v>
      </c>
      <c r="K205" t="s">
        <v>44</v>
      </c>
      <c r="L205" t="s">
        <v>2124</v>
      </c>
      <c r="M205" s="5">
        <f t="shared" si="19"/>
        <v>2.25</v>
      </c>
      <c r="N205" t="str">
        <f t="shared" si="20"/>
        <v>June</v>
      </c>
      <c r="O205" t="str">
        <f t="shared" si="21"/>
        <v>Friday</v>
      </c>
      <c r="P205">
        <f t="shared" si="18"/>
        <v>18</v>
      </c>
      <c r="Q205" s="2">
        <f t="shared" si="22"/>
        <v>5</v>
      </c>
      <c r="R205" s="2">
        <f t="shared" si="23"/>
        <v>6</v>
      </c>
      <c r="S205">
        <f>SUMIF(Table1[product_category],"Bakery",Table1[Total_bill])</f>
        <v>2951.25</v>
      </c>
    </row>
    <row r="206" spans="1:19" x14ac:dyDescent="0.3">
      <c r="A206" s="2">
        <v>10205</v>
      </c>
      <c r="B206" s="4">
        <v>45836</v>
      </c>
      <c r="C206" t="s">
        <v>364</v>
      </c>
      <c r="D206" t="s">
        <v>18</v>
      </c>
      <c r="E206" t="s">
        <v>19</v>
      </c>
      <c r="F206" t="s">
        <v>154</v>
      </c>
      <c r="G206">
        <v>4</v>
      </c>
      <c r="H206" s="5">
        <v>5</v>
      </c>
      <c r="I206" t="s">
        <v>36</v>
      </c>
      <c r="J206" t="s">
        <v>110</v>
      </c>
      <c r="K206" t="s">
        <v>110</v>
      </c>
      <c r="L206" t="s">
        <v>2123</v>
      </c>
      <c r="M206" s="5">
        <f t="shared" si="19"/>
        <v>20</v>
      </c>
      <c r="N206" t="str">
        <f t="shared" si="20"/>
        <v>June</v>
      </c>
      <c r="O206" t="str">
        <f t="shared" si="21"/>
        <v>Saturday</v>
      </c>
      <c r="P206">
        <f t="shared" si="18"/>
        <v>13</v>
      </c>
      <c r="Q206" s="2">
        <f t="shared" si="22"/>
        <v>6</v>
      </c>
      <c r="R206" s="2">
        <f t="shared" si="23"/>
        <v>6</v>
      </c>
      <c r="S206">
        <f>SUMIF(Table1[product_category],"Bakery",Table1[Total_bill])</f>
        <v>2951.25</v>
      </c>
    </row>
    <row r="207" spans="1:19" x14ac:dyDescent="0.3">
      <c r="A207" s="2">
        <v>10206</v>
      </c>
      <c r="B207" s="4">
        <v>45837</v>
      </c>
      <c r="C207" t="s">
        <v>365</v>
      </c>
      <c r="D207" t="s">
        <v>18</v>
      </c>
      <c r="E207" t="s">
        <v>19</v>
      </c>
      <c r="F207" t="s">
        <v>156</v>
      </c>
      <c r="G207">
        <v>1</v>
      </c>
      <c r="H207" s="5">
        <v>3</v>
      </c>
      <c r="I207" t="s">
        <v>36</v>
      </c>
      <c r="J207" t="s">
        <v>37</v>
      </c>
      <c r="K207" t="s">
        <v>62</v>
      </c>
      <c r="L207" t="s">
        <v>2124</v>
      </c>
      <c r="M207" s="5">
        <f t="shared" si="19"/>
        <v>3</v>
      </c>
      <c r="N207" t="str">
        <f t="shared" si="20"/>
        <v>June</v>
      </c>
      <c r="O207" t="str">
        <f t="shared" si="21"/>
        <v>Sunday</v>
      </c>
      <c r="P207">
        <f t="shared" si="18"/>
        <v>6</v>
      </c>
      <c r="Q207" s="2">
        <f t="shared" si="22"/>
        <v>7</v>
      </c>
      <c r="R207" s="2">
        <f t="shared" si="23"/>
        <v>6</v>
      </c>
      <c r="S207">
        <f>SUMIF(Table1[product_category],"Bakery",Table1[Total_bill])</f>
        <v>2951.25</v>
      </c>
    </row>
    <row r="208" spans="1:19" x14ac:dyDescent="0.3">
      <c r="A208" s="2">
        <v>10207</v>
      </c>
      <c r="B208" s="4">
        <v>45838</v>
      </c>
      <c r="C208" t="s">
        <v>366</v>
      </c>
      <c r="D208" t="s">
        <v>40</v>
      </c>
      <c r="E208" t="s">
        <v>41</v>
      </c>
      <c r="F208" t="s">
        <v>158</v>
      </c>
      <c r="G208">
        <v>1</v>
      </c>
      <c r="H208" s="5">
        <v>3.5</v>
      </c>
      <c r="I208" t="s">
        <v>36</v>
      </c>
      <c r="J208" t="s">
        <v>37</v>
      </c>
      <c r="K208" t="s">
        <v>62</v>
      </c>
      <c r="L208" t="s">
        <v>2123</v>
      </c>
      <c r="M208" s="5">
        <f t="shared" si="19"/>
        <v>3.5</v>
      </c>
      <c r="N208" t="str">
        <f t="shared" si="20"/>
        <v>June</v>
      </c>
      <c r="O208" t="str">
        <f t="shared" si="21"/>
        <v>Monday</v>
      </c>
      <c r="P208">
        <f t="shared" si="18"/>
        <v>7</v>
      </c>
      <c r="Q208" s="2">
        <f t="shared" si="22"/>
        <v>1</v>
      </c>
      <c r="R208" s="2">
        <f t="shared" si="23"/>
        <v>6</v>
      </c>
      <c r="S208">
        <f>SUMIF(Table1[product_category],"Bakery",Table1[Total_bill])</f>
        <v>2951.25</v>
      </c>
    </row>
    <row r="209" spans="1:19" x14ac:dyDescent="0.3">
      <c r="A209" s="2">
        <v>10208</v>
      </c>
      <c r="B209" s="4">
        <v>45839</v>
      </c>
      <c r="C209" t="s">
        <v>367</v>
      </c>
      <c r="D209" t="s">
        <v>18</v>
      </c>
      <c r="E209" t="s">
        <v>19</v>
      </c>
      <c r="F209" t="s">
        <v>160</v>
      </c>
      <c r="G209">
        <v>4</v>
      </c>
      <c r="H209" s="5">
        <v>3.25</v>
      </c>
      <c r="I209" t="s">
        <v>21</v>
      </c>
      <c r="J209" t="s">
        <v>81</v>
      </c>
      <c r="K209" t="s">
        <v>113</v>
      </c>
      <c r="L209" t="s">
        <v>2125</v>
      </c>
      <c r="M209" s="5">
        <f t="shared" si="19"/>
        <v>13</v>
      </c>
      <c r="N209" t="str">
        <f t="shared" si="20"/>
        <v>July</v>
      </c>
      <c r="O209" t="str">
        <f t="shared" si="21"/>
        <v>Tuesday</v>
      </c>
      <c r="P209">
        <f t="shared" si="18"/>
        <v>14</v>
      </c>
      <c r="Q209" s="2">
        <f t="shared" si="22"/>
        <v>2</v>
      </c>
      <c r="R209" s="2">
        <f t="shared" si="23"/>
        <v>7</v>
      </c>
      <c r="S209">
        <f>SUMIF(Table1[product_category],"Bakery",Table1[Total_bill])</f>
        <v>2951.25</v>
      </c>
    </row>
    <row r="210" spans="1:19" x14ac:dyDescent="0.3">
      <c r="A210" s="2">
        <v>10209</v>
      </c>
      <c r="B210" s="4">
        <v>45840</v>
      </c>
      <c r="C210" t="s">
        <v>368</v>
      </c>
      <c r="D210" t="s">
        <v>25</v>
      </c>
      <c r="E210" t="s">
        <v>26</v>
      </c>
      <c r="F210" t="s">
        <v>162</v>
      </c>
      <c r="G210">
        <v>4</v>
      </c>
      <c r="H210" s="5">
        <v>3.25</v>
      </c>
      <c r="I210" t="s">
        <v>21</v>
      </c>
      <c r="J210" t="s">
        <v>81</v>
      </c>
      <c r="K210" t="s">
        <v>113</v>
      </c>
      <c r="L210" t="s">
        <v>2125</v>
      </c>
      <c r="M210" s="5">
        <f t="shared" si="19"/>
        <v>13</v>
      </c>
      <c r="N210" t="str">
        <f t="shared" si="20"/>
        <v>July</v>
      </c>
      <c r="O210" t="str">
        <f t="shared" si="21"/>
        <v>Wednesday</v>
      </c>
      <c r="P210">
        <f t="shared" si="18"/>
        <v>6</v>
      </c>
      <c r="Q210" s="2">
        <f t="shared" si="22"/>
        <v>3</v>
      </c>
      <c r="R210" s="2">
        <f t="shared" si="23"/>
        <v>7</v>
      </c>
      <c r="S210">
        <f>SUMIF(Table1[product_category],"Bakery",Table1[Total_bill])</f>
        <v>2951.25</v>
      </c>
    </row>
    <row r="211" spans="1:19" x14ac:dyDescent="0.3">
      <c r="A211" s="2">
        <v>10210</v>
      </c>
      <c r="B211" s="4">
        <v>45841</v>
      </c>
      <c r="C211" t="s">
        <v>369</v>
      </c>
      <c r="D211" t="s">
        <v>18</v>
      </c>
      <c r="E211" t="s">
        <v>19</v>
      </c>
      <c r="F211" t="s">
        <v>164</v>
      </c>
      <c r="G211">
        <v>4</v>
      </c>
      <c r="H211" s="5">
        <v>4.75</v>
      </c>
      <c r="I211" t="s">
        <v>32</v>
      </c>
      <c r="J211" t="s">
        <v>122</v>
      </c>
      <c r="K211" t="s">
        <v>122</v>
      </c>
      <c r="L211" t="s">
        <v>2123</v>
      </c>
      <c r="M211" s="5">
        <f t="shared" si="19"/>
        <v>19</v>
      </c>
      <c r="N211" t="str">
        <f t="shared" si="20"/>
        <v>July</v>
      </c>
      <c r="O211" t="str">
        <f t="shared" si="21"/>
        <v>Thursday</v>
      </c>
      <c r="P211">
        <f t="shared" si="18"/>
        <v>8</v>
      </c>
      <c r="Q211" s="2">
        <f t="shared" si="22"/>
        <v>4</v>
      </c>
      <c r="R211" s="2">
        <f t="shared" si="23"/>
        <v>7</v>
      </c>
      <c r="S211">
        <f>SUMIF(Table1[product_category],"Bakery",Table1[Total_bill])</f>
        <v>2951.25</v>
      </c>
    </row>
    <row r="212" spans="1:19" x14ac:dyDescent="0.3">
      <c r="A212" s="2">
        <v>10211</v>
      </c>
      <c r="B212" s="4">
        <v>45842</v>
      </c>
      <c r="C212" t="s">
        <v>370</v>
      </c>
      <c r="D212" t="s">
        <v>18</v>
      </c>
      <c r="E212" t="s">
        <v>19</v>
      </c>
      <c r="F212" t="s">
        <v>166</v>
      </c>
      <c r="G212">
        <v>4</v>
      </c>
      <c r="H212" s="5">
        <v>9.5</v>
      </c>
      <c r="I212" t="s">
        <v>28</v>
      </c>
      <c r="J212" t="s">
        <v>28</v>
      </c>
      <c r="K212" t="s">
        <v>29</v>
      </c>
      <c r="L212" t="s">
        <v>2125</v>
      </c>
      <c r="M212" s="5">
        <f t="shared" si="19"/>
        <v>38</v>
      </c>
      <c r="N212" t="str">
        <f t="shared" si="20"/>
        <v>July</v>
      </c>
      <c r="O212" t="str">
        <f t="shared" si="21"/>
        <v>Friday</v>
      </c>
      <c r="P212">
        <f t="shared" si="18"/>
        <v>12</v>
      </c>
      <c r="Q212" s="2">
        <f t="shared" si="22"/>
        <v>5</v>
      </c>
      <c r="R212" s="2">
        <f t="shared" si="23"/>
        <v>7</v>
      </c>
      <c r="S212">
        <f>SUMIF(Table1[product_category],"Bakery",Table1[Total_bill])</f>
        <v>2951.25</v>
      </c>
    </row>
    <row r="213" spans="1:19" x14ac:dyDescent="0.3">
      <c r="A213" s="2">
        <v>10212</v>
      </c>
      <c r="B213" s="4">
        <v>45843</v>
      </c>
      <c r="C213" t="s">
        <v>371</v>
      </c>
      <c r="D213" t="s">
        <v>25</v>
      </c>
      <c r="E213" t="s">
        <v>26</v>
      </c>
      <c r="F213" t="s">
        <v>168</v>
      </c>
      <c r="G213">
        <v>1</v>
      </c>
      <c r="H213" s="5">
        <v>11</v>
      </c>
      <c r="I213" t="s">
        <v>98</v>
      </c>
      <c r="J213" t="s">
        <v>98</v>
      </c>
      <c r="K213" t="s">
        <v>215</v>
      </c>
      <c r="L213" t="s">
        <v>2125</v>
      </c>
      <c r="M213" s="5">
        <f t="shared" si="19"/>
        <v>11</v>
      </c>
      <c r="N213" t="str">
        <f t="shared" si="20"/>
        <v>July</v>
      </c>
      <c r="O213" t="str">
        <f t="shared" si="21"/>
        <v>Saturday</v>
      </c>
      <c r="P213">
        <f t="shared" si="18"/>
        <v>14</v>
      </c>
      <c r="Q213" s="2">
        <f t="shared" si="22"/>
        <v>6</v>
      </c>
      <c r="R213" s="2">
        <f t="shared" si="23"/>
        <v>7</v>
      </c>
      <c r="S213">
        <f>SUMIF(Table1[product_category],"Bakery",Table1[Total_bill])</f>
        <v>2951.25</v>
      </c>
    </row>
    <row r="214" spans="1:19" x14ac:dyDescent="0.3">
      <c r="A214" s="2">
        <v>10213</v>
      </c>
      <c r="B214" s="4">
        <v>45844</v>
      </c>
      <c r="C214" t="s">
        <v>372</v>
      </c>
      <c r="D214" t="s">
        <v>40</v>
      </c>
      <c r="E214" t="s">
        <v>41</v>
      </c>
      <c r="F214" t="s">
        <v>170</v>
      </c>
      <c r="G214">
        <v>3</v>
      </c>
      <c r="H214" s="5">
        <v>3.75</v>
      </c>
      <c r="I214" t="s">
        <v>32</v>
      </c>
      <c r="J214" t="s">
        <v>226</v>
      </c>
      <c r="K214" t="s">
        <v>273</v>
      </c>
      <c r="L214" t="s">
        <v>2123</v>
      </c>
      <c r="M214" s="5">
        <f t="shared" si="19"/>
        <v>11.25</v>
      </c>
      <c r="N214" t="str">
        <f t="shared" si="20"/>
        <v>July</v>
      </c>
      <c r="O214" t="str">
        <f t="shared" si="21"/>
        <v>Sunday</v>
      </c>
      <c r="P214">
        <f t="shared" si="18"/>
        <v>14</v>
      </c>
      <c r="Q214" s="2">
        <f t="shared" si="22"/>
        <v>7</v>
      </c>
      <c r="R214" s="2">
        <f t="shared" si="23"/>
        <v>7</v>
      </c>
      <c r="S214">
        <f>SUMIF(Table1[product_category],"Bakery",Table1[Total_bill])</f>
        <v>2951.25</v>
      </c>
    </row>
    <row r="215" spans="1:19" x14ac:dyDescent="0.3">
      <c r="A215" s="2">
        <v>10214</v>
      </c>
      <c r="B215" s="4">
        <v>45845</v>
      </c>
      <c r="C215" t="s">
        <v>373</v>
      </c>
      <c r="D215" t="s">
        <v>25</v>
      </c>
      <c r="E215" t="s">
        <v>26</v>
      </c>
      <c r="F215" t="s">
        <v>172</v>
      </c>
      <c r="G215">
        <v>1</v>
      </c>
      <c r="H215" s="5">
        <v>2.25</v>
      </c>
      <c r="I215" t="s">
        <v>21</v>
      </c>
      <c r="J215" t="s">
        <v>58</v>
      </c>
      <c r="K215" t="s">
        <v>59</v>
      </c>
      <c r="L215" t="s">
        <v>2125</v>
      </c>
      <c r="M215" s="5">
        <f t="shared" si="19"/>
        <v>2.25</v>
      </c>
      <c r="N215" t="str">
        <f t="shared" si="20"/>
        <v>July</v>
      </c>
      <c r="O215" t="str">
        <f t="shared" si="21"/>
        <v>Monday</v>
      </c>
      <c r="P215">
        <f t="shared" si="18"/>
        <v>8</v>
      </c>
      <c r="Q215" s="2">
        <f t="shared" si="22"/>
        <v>1</v>
      </c>
      <c r="R215" s="2">
        <f t="shared" si="23"/>
        <v>7</v>
      </c>
      <c r="S215">
        <f>SUMIF(Table1[product_category],"Bakery",Table1[Total_bill])</f>
        <v>2951.25</v>
      </c>
    </row>
    <row r="216" spans="1:19" x14ac:dyDescent="0.3">
      <c r="A216" s="2">
        <v>10215</v>
      </c>
      <c r="B216" s="4">
        <v>45846</v>
      </c>
      <c r="C216" t="s">
        <v>374</v>
      </c>
      <c r="D216" t="s">
        <v>18</v>
      </c>
      <c r="E216" t="s">
        <v>19</v>
      </c>
      <c r="F216" t="s">
        <v>174</v>
      </c>
      <c r="G216">
        <v>1</v>
      </c>
      <c r="H216" s="5">
        <v>3.5</v>
      </c>
      <c r="I216" t="s">
        <v>21</v>
      </c>
      <c r="J216" t="s">
        <v>51</v>
      </c>
      <c r="K216" t="s">
        <v>52</v>
      </c>
      <c r="L216" t="s">
        <v>2125</v>
      </c>
      <c r="M216" s="5">
        <f t="shared" si="19"/>
        <v>3.5</v>
      </c>
      <c r="N216" t="str">
        <f t="shared" si="20"/>
        <v>July</v>
      </c>
      <c r="O216" t="str">
        <f t="shared" si="21"/>
        <v>Tuesday</v>
      </c>
      <c r="P216">
        <f t="shared" si="18"/>
        <v>15</v>
      </c>
      <c r="Q216" s="2">
        <f t="shared" si="22"/>
        <v>2</v>
      </c>
      <c r="R216" s="2">
        <f t="shared" si="23"/>
        <v>7</v>
      </c>
      <c r="S216">
        <f>SUMIF(Table1[product_category],"Bakery",Table1[Total_bill])</f>
        <v>2951.25</v>
      </c>
    </row>
    <row r="217" spans="1:19" x14ac:dyDescent="0.3">
      <c r="A217" s="2">
        <v>10216</v>
      </c>
      <c r="B217" s="4">
        <v>45847</v>
      </c>
      <c r="C217" t="s">
        <v>375</v>
      </c>
      <c r="D217" t="s">
        <v>25</v>
      </c>
      <c r="E217" t="s">
        <v>26</v>
      </c>
      <c r="F217" t="s">
        <v>176</v>
      </c>
      <c r="G217">
        <v>1</v>
      </c>
      <c r="H217" s="5">
        <v>5.5</v>
      </c>
      <c r="I217" t="s">
        <v>72</v>
      </c>
      <c r="J217" t="s">
        <v>72</v>
      </c>
      <c r="K217" t="s">
        <v>73</v>
      </c>
      <c r="L217" t="s">
        <v>2125</v>
      </c>
      <c r="M217" s="5">
        <f t="shared" si="19"/>
        <v>5.5</v>
      </c>
      <c r="N217" t="str">
        <f t="shared" si="20"/>
        <v>July</v>
      </c>
      <c r="O217" t="str">
        <f t="shared" si="21"/>
        <v>Wednesday</v>
      </c>
      <c r="P217">
        <f t="shared" si="18"/>
        <v>8</v>
      </c>
      <c r="Q217" s="2">
        <f t="shared" si="22"/>
        <v>3</v>
      </c>
      <c r="R217" s="2">
        <f t="shared" si="23"/>
        <v>7</v>
      </c>
      <c r="S217">
        <f>SUMIF(Table1[product_category],"Bakery",Table1[Total_bill])</f>
        <v>2951.25</v>
      </c>
    </row>
    <row r="218" spans="1:19" x14ac:dyDescent="0.3">
      <c r="A218" s="2">
        <v>10217</v>
      </c>
      <c r="B218" s="4">
        <v>45848</v>
      </c>
      <c r="C218" t="s">
        <v>376</v>
      </c>
      <c r="D218" t="s">
        <v>18</v>
      </c>
      <c r="E218" t="s">
        <v>19</v>
      </c>
      <c r="F218" t="s">
        <v>178</v>
      </c>
      <c r="G218">
        <v>3</v>
      </c>
      <c r="H218" s="5">
        <v>2.5</v>
      </c>
      <c r="I218" t="s">
        <v>32</v>
      </c>
      <c r="J218" t="s">
        <v>226</v>
      </c>
      <c r="K218" t="s">
        <v>227</v>
      </c>
      <c r="L218" t="s">
        <v>2122</v>
      </c>
      <c r="M218" s="5">
        <f t="shared" si="19"/>
        <v>7.5</v>
      </c>
      <c r="N218" t="str">
        <f t="shared" si="20"/>
        <v>July</v>
      </c>
      <c r="O218" t="str">
        <f t="shared" si="21"/>
        <v>Thursday</v>
      </c>
      <c r="P218">
        <f t="shared" si="18"/>
        <v>9</v>
      </c>
      <c r="Q218" s="2">
        <f t="shared" si="22"/>
        <v>4</v>
      </c>
      <c r="R218" s="2">
        <f t="shared" si="23"/>
        <v>7</v>
      </c>
      <c r="S218">
        <f>SUMIF(Table1[product_category],"Bakery",Table1[Total_bill])</f>
        <v>2951.25</v>
      </c>
    </row>
    <row r="219" spans="1:19" x14ac:dyDescent="0.3">
      <c r="A219" s="2">
        <v>10218</v>
      </c>
      <c r="B219" s="4">
        <v>45849</v>
      </c>
      <c r="C219" t="s">
        <v>377</v>
      </c>
      <c r="D219" t="s">
        <v>18</v>
      </c>
      <c r="E219" t="s">
        <v>19</v>
      </c>
      <c r="F219" t="s">
        <v>180</v>
      </c>
      <c r="G219">
        <v>2</v>
      </c>
      <c r="H219" s="5">
        <v>2.5</v>
      </c>
      <c r="I219" t="s">
        <v>36</v>
      </c>
      <c r="J219" t="s">
        <v>37</v>
      </c>
      <c r="K219" t="s">
        <v>276</v>
      </c>
      <c r="L219" t="s">
        <v>2122</v>
      </c>
      <c r="M219" s="5">
        <f t="shared" si="19"/>
        <v>5</v>
      </c>
      <c r="N219" t="str">
        <f t="shared" si="20"/>
        <v>July</v>
      </c>
      <c r="O219" t="str">
        <f t="shared" si="21"/>
        <v>Friday</v>
      </c>
      <c r="P219">
        <f t="shared" si="18"/>
        <v>15</v>
      </c>
      <c r="Q219" s="2">
        <f t="shared" si="22"/>
        <v>5</v>
      </c>
      <c r="R219" s="2">
        <f t="shared" si="23"/>
        <v>7</v>
      </c>
      <c r="S219">
        <f>SUMIF(Table1[product_category],"Bakery",Table1[Total_bill])</f>
        <v>2951.25</v>
      </c>
    </row>
    <row r="220" spans="1:19" x14ac:dyDescent="0.3">
      <c r="A220" s="2">
        <v>10219</v>
      </c>
      <c r="B220" s="4">
        <v>45850</v>
      </c>
      <c r="C220" t="s">
        <v>378</v>
      </c>
      <c r="D220" t="s">
        <v>25</v>
      </c>
      <c r="E220" t="s">
        <v>26</v>
      </c>
      <c r="F220" t="s">
        <v>184</v>
      </c>
      <c r="G220">
        <v>2</v>
      </c>
      <c r="H220" s="5">
        <v>2.5</v>
      </c>
      <c r="I220" t="s">
        <v>21</v>
      </c>
      <c r="J220" t="s">
        <v>47</v>
      </c>
      <c r="K220" t="s">
        <v>48</v>
      </c>
      <c r="L220" t="s">
        <v>2125</v>
      </c>
      <c r="M220" s="5">
        <f t="shared" si="19"/>
        <v>5</v>
      </c>
      <c r="N220" t="str">
        <f t="shared" si="20"/>
        <v>July</v>
      </c>
      <c r="O220" t="str">
        <f t="shared" si="21"/>
        <v>Saturday</v>
      </c>
      <c r="P220">
        <f t="shared" si="18"/>
        <v>14</v>
      </c>
      <c r="Q220" s="2">
        <f t="shared" si="22"/>
        <v>6</v>
      </c>
      <c r="R220" s="2">
        <f t="shared" si="23"/>
        <v>7</v>
      </c>
      <c r="S220">
        <f>SUMIF(Table1[product_category],"Bakery",Table1[Total_bill])</f>
        <v>2951.25</v>
      </c>
    </row>
    <row r="221" spans="1:19" x14ac:dyDescent="0.3">
      <c r="A221" s="2">
        <v>10220</v>
      </c>
      <c r="B221" s="4">
        <v>45851</v>
      </c>
      <c r="C221" t="s">
        <v>379</v>
      </c>
      <c r="D221" t="s">
        <v>25</v>
      </c>
      <c r="E221" t="s">
        <v>26</v>
      </c>
      <c r="F221" t="s">
        <v>186</v>
      </c>
      <c r="G221">
        <v>2</v>
      </c>
      <c r="H221" s="5">
        <v>4.75</v>
      </c>
      <c r="I221" t="s">
        <v>32</v>
      </c>
      <c r="J221" t="s">
        <v>122</v>
      </c>
      <c r="K221" t="s">
        <v>122</v>
      </c>
      <c r="L221" t="s">
        <v>2123</v>
      </c>
      <c r="M221" s="5">
        <f t="shared" si="19"/>
        <v>9.5</v>
      </c>
      <c r="N221" t="str">
        <f t="shared" si="20"/>
        <v>July</v>
      </c>
      <c r="O221" t="str">
        <f t="shared" si="21"/>
        <v>Sunday</v>
      </c>
      <c r="P221">
        <f t="shared" si="18"/>
        <v>17</v>
      </c>
      <c r="Q221" s="2">
        <f t="shared" si="22"/>
        <v>7</v>
      </c>
      <c r="R221" s="2">
        <f t="shared" si="23"/>
        <v>7</v>
      </c>
      <c r="S221">
        <f>SUMIF(Table1[product_category],"Bakery",Table1[Total_bill])</f>
        <v>2951.25</v>
      </c>
    </row>
    <row r="222" spans="1:19" x14ac:dyDescent="0.3">
      <c r="A222" s="2">
        <v>10221</v>
      </c>
      <c r="B222" s="4">
        <v>45852</v>
      </c>
      <c r="C222" t="s">
        <v>380</v>
      </c>
      <c r="D222" t="s">
        <v>25</v>
      </c>
      <c r="E222" t="s">
        <v>26</v>
      </c>
      <c r="F222" t="s">
        <v>188</v>
      </c>
      <c r="G222">
        <v>3</v>
      </c>
      <c r="H222" s="5">
        <v>4</v>
      </c>
      <c r="I222" t="s">
        <v>32</v>
      </c>
      <c r="J222" t="s">
        <v>122</v>
      </c>
      <c r="K222" t="s">
        <v>122</v>
      </c>
      <c r="L222" t="s">
        <v>2124</v>
      </c>
      <c r="M222" s="5">
        <f t="shared" si="19"/>
        <v>12</v>
      </c>
      <c r="N222" t="str">
        <f t="shared" si="20"/>
        <v>July</v>
      </c>
      <c r="O222" t="str">
        <f t="shared" si="21"/>
        <v>Monday</v>
      </c>
      <c r="P222">
        <f t="shared" si="18"/>
        <v>14</v>
      </c>
      <c r="Q222" s="2">
        <f t="shared" si="22"/>
        <v>1</v>
      </c>
      <c r="R222" s="2">
        <f t="shared" si="23"/>
        <v>7</v>
      </c>
      <c r="S222">
        <f>SUMIF(Table1[product_category],"Bakery",Table1[Total_bill])</f>
        <v>2951.25</v>
      </c>
    </row>
    <row r="223" spans="1:19" x14ac:dyDescent="0.3">
      <c r="A223" s="2">
        <v>10222</v>
      </c>
      <c r="B223" s="4">
        <v>45853</v>
      </c>
      <c r="C223" t="s">
        <v>381</v>
      </c>
      <c r="D223" t="s">
        <v>25</v>
      </c>
      <c r="E223" t="s">
        <v>26</v>
      </c>
      <c r="F223" t="s">
        <v>190</v>
      </c>
      <c r="G223">
        <v>1</v>
      </c>
      <c r="H223" s="5">
        <v>3.75</v>
      </c>
      <c r="I223" t="s">
        <v>36</v>
      </c>
      <c r="J223" t="s">
        <v>211</v>
      </c>
      <c r="K223" t="s">
        <v>239</v>
      </c>
      <c r="L223" t="s">
        <v>2124</v>
      </c>
      <c r="M223" s="5">
        <f t="shared" si="19"/>
        <v>3.75</v>
      </c>
      <c r="N223" t="str">
        <f t="shared" si="20"/>
        <v>July</v>
      </c>
      <c r="O223" t="str">
        <f t="shared" si="21"/>
        <v>Tuesday</v>
      </c>
      <c r="P223">
        <f t="shared" si="18"/>
        <v>12</v>
      </c>
      <c r="Q223" s="2">
        <f t="shared" si="22"/>
        <v>2</v>
      </c>
      <c r="R223" s="2">
        <f t="shared" si="23"/>
        <v>7</v>
      </c>
      <c r="S223">
        <f>SUMIF(Table1[product_category],"Bakery",Table1[Total_bill])</f>
        <v>2951.25</v>
      </c>
    </row>
    <row r="224" spans="1:19" x14ac:dyDescent="0.3">
      <c r="A224" s="2">
        <v>10223</v>
      </c>
      <c r="B224" s="4">
        <v>45854</v>
      </c>
      <c r="C224" t="s">
        <v>382</v>
      </c>
      <c r="D224" t="s">
        <v>18</v>
      </c>
      <c r="E224" t="s">
        <v>19</v>
      </c>
      <c r="F224" t="s">
        <v>192</v>
      </c>
      <c r="G224">
        <v>1</v>
      </c>
      <c r="H224" s="5">
        <v>4</v>
      </c>
      <c r="I224" t="s">
        <v>32</v>
      </c>
      <c r="J224" t="s">
        <v>55</v>
      </c>
      <c r="K224" t="s">
        <v>55</v>
      </c>
      <c r="L224" t="s">
        <v>2123</v>
      </c>
      <c r="M224" s="5">
        <f t="shared" si="19"/>
        <v>4</v>
      </c>
      <c r="N224" t="str">
        <f t="shared" si="20"/>
        <v>July</v>
      </c>
      <c r="O224" t="str">
        <f t="shared" si="21"/>
        <v>Wednesday</v>
      </c>
      <c r="P224">
        <f t="shared" si="18"/>
        <v>7</v>
      </c>
      <c r="Q224" s="2">
        <f t="shared" si="22"/>
        <v>3</v>
      </c>
      <c r="R224" s="2">
        <f t="shared" si="23"/>
        <v>7</v>
      </c>
      <c r="S224">
        <f>SUMIF(Table1[product_category],"Bakery",Table1[Total_bill])</f>
        <v>2951.25</v>
      </c>
    </row>
    <row r="225" spans="1:19" x14ac:dyDescent="0.3">
      <c r="A225" s="2">
        <v>10224</v>
      </c>
      <c r="B225" s="4">
        <v>45855</v>
      </c>
      <c r="C225" t="s">
        <v>383</v>
      </c>
      <c r="D225" t="s">
        <v>40</v>
      </c>
      <c r="E225" t="s">
        <v>41</v>
      </c>
      <c r="F225" t="s">
        <v>195</v>
      </c>
      <c r="G225">
        <v>1</v>
      </c>
      <c r="H225" s="5">
        <v>14</v>
      </c>
      <c r="I225" t="s">
        <v>101</v>
      </c>
      <c r="J225" t="s">
        <v>102</v>
      </c>
      <c r="K225" t="s">
        <v>193</v>
      </c>
      <c r="L225" t="s">
        <v>2125</v>
      </c>
      <c r="M225" s="5">
        <f t="shared" si="19"/>
        <v>14</v>
      </c>
      <c r="N225" t="str">
        <f t="shared" si="20"/>
        <v>July</v>
      </c>
      <c r="O225" t="str">
        <f t="shared" si="21"/>
        <v>Thursday</v>
      </c>
      <c r="P225">
        <f t="shared" si="18"/>
        <v>10</v>
      </c>
      <c r="Q225" s="2">
        <f t="shared" si="22"/>
        <v>4</v>
      </c>
      <c r="R225" s="2">
        <f t="shared" si="23"/>
        <v>7</v>
      </c>
      <c r="S225">
        <f>SUMIF(Table1[product_category],"Bakery",Table1[Total_bill])</f>
        <v>2951.25</v>
      </c>
    </row>
    <row r="226" spans="1:19" x14ac:dyDescent="0.3">
      <c r="A226" s="2">
        <v>10225</v>
      </c>
      <c r="B226" s="4">
        <v>45856</v>
      </c>
      <c r="C226" t="s">
        <v>384</v>
      </c>
      <c r="D226" t="s">
        <v>18</v>
      </c>
      <c r="E226" t="s">
        <v>19</v>
      </c>
      <c r="F226" t="s">
        <v>197</v>
      </c>
      <c r="G226">
        <v>3</v>
      </c>
      <c r="H226" s="5">
        <v>3.75</v>
      </c>
      <c r="I226" t="s">
        <v>32</v>
      </c>
      <c r="J226" t="s">
        <v>226</v>
      </c>
      <c r="K226" t="s">
        <v>273</v>
      </c>
      <c r="L226" t="s">
        <v>2123</v>
      </c>
      <c r="M226" s="5">
        <f t="shared" si="19"/>
        <v>11.25</v>
      </c>
      <c r="N226" t="str">
        <f t="shared" si="20"/>
        <v>July</v>
      </c>
      <c r="O226" t="str">
        <f t="shared" si="21"/>
        <v>Friday</v>
      </c>
      <c r="P226">
        <f t="shared" si="18"/>
        <v>9</v>
      </c>
      <c r="Q226" s="2">
        <f t="shared" si="22"/>
        <v>5</v>
      </c>
      <c r="R226" s="2">
        <f t="shared" si="23"/>
        <v>7</v>
      </c>
      <c r="S226">
        <f>SUMIF(Table1[product_category],"Bakery",Table1[Total_bill])</f>
        <v>2951.25</v>
      </c>
    </row>
    <row r="227" spans="1:19" x14ac:dyDescent="0.3">
      <c r="A227" s="2">
        <v>10226</v>
      </c>
      <c r="B227" s="4">
        <v>45857</v>
      </c>
      <c r="C227" t="s">
        <v>385</v>
      </c>
      <c r="D227" t="s">
        <v>25</v>
      </c>
      <c r="E227" t="s">
        <v>26</v>
      </c>
      <c r="F227" t="s">
        <v>199</v>
      </c>
      <c r="G227">
        <v>4</v>
      </c>
      <c r="H227" s="5">
        <v>5.5</v>
      </c>
      <c r="I227" t="s">
        <v>72</v>
      </c>
      <c r="J227" t="s">
        <v>72</v>
      </c>
      <c r="K227" t="s">
        <v>141</v>
      </c>
      <c r="L227" t="s">
        <v>2125</v>
      </c>
      <c r="M227" s="5">
        <f t="shared" si="19"/>
        <v>22</v>
      </c>
      <c r="N227" t="str">
        <f t="shared" si="20"/>
        <v>July</v>
      </c>
      <c r="O227" t="str">
        <f t="shared" si="21"/>
        <v>Saturday</v>
      </c>
      <c r="P227">
        <f t="shared" si="18"/>
        <v>8</v>
      </c>
      <c r="Q227" s="2">
        <f t="shared" si="22"/>
        <v>6</v>
      </c>
      <c r="R227" s="2">
        <f t="shared" si="23"/>
        <v>7</v>
      </c>
      <c r="S227">
        <f>SUMIF(Table1[product_category],"Bakery",Table1[Total_bill])</f>
        <v>2951.25</v>
      </c>
    </row>
    <row r="228" spans="1:19" x14ac:dyDescent="0.3">
      <c r="A228" s="2">
        <v>10227</v>
      </c>
      <c r="B228" s="4">
        <v>45858</v>
      </c>
      <c r="C228" t="s">
        <v>386</v>
      </c>
      <c r="D228" t="s">
        <v>40</v>
      </c>
      <c r="E228" t="s">
        <v>41</v>
      </c>
      <c r="F228" t="s">
        <v>201</v>
      </c>
      <c r="G228">
        <v>1</v>
      </c>
      <c r="H228" s="5">
        <v>14</v>
      </c>
      <c r="I228" t="s">
        <v>98</v>
      </c>
      <c r="J228" t="s">
        <v>98</v>
      </c>
      <c r="K228" t="s">
        <v>129</v>
      </c>
      <c r="L228" t="s">
        <v>2125</v>
      </c>
      <c r="M228" s="5">
        <f t="shared" si="19"/>
        <v>14</v>
      </c>
      <c r="N228" t="str">
        <f t="shared" si="20"/>
        <v>July</v>
      </c>
      <c r="O228" t="str">
        <f t="shared" si="21"/>
        <v>Sunday</v>
      </c>
      <c r="P228">
        <f t="shared" si="18"/>
        <v>20</v>
      </c>
      <c r="Q228" s="2">
        <f t="shared" si="22"/>
        <v>7</v>
      </c>
      <c r="R228" s="2">
        <f t="shared" si="23"/>
        <v>7</v>
      </c>
      <c r="S228">
        <f>SUMIF(Table1[product_category],"Bakery",Table1[Total_bill])</f>
        <v>2951.25</v>
      </c>
    </row>
    <row r="229" spans="1:19" x14ac:dyDescent="0.3">
      <c r="A229" s="2">
        <v>10228</v>
      </c>
      <c r="B229" s="4">
        <v>45859</v>
      </c>
      <c r="C229" t="s">
        <v>387</v>
      </c>
      <c r="D229" t="s">
        <v>25</v>
      </c>
      <c r="E229" t="s">
        <v>26</v>
      </c>
      <c r="F229" t="s">
        <v>204</v>
      </c>
      <c r="G229">
        <v>3</v>
      </c>
      <c r="H229" s="5">
        <v>3.75</v>
      </c>
      <c r="I229" t="s">
        <v>32</v>
      </c>
      <c r="J229" t="s">
        <v>69</v>
      </c>
      <c r="K229" t="s">
        <v>69</v>
      </c>
      <c r="L229" t="s">
        <v>2122</v>
      </c>
      <c r="M229" s="5">
        <f t="shared" si="19"/>
        <v>11.25</v>
      </c>
      <c r="N229" t="str">
        <f t="shared" si="20"/>
        <v>July</v>
      </c>
      <c r="O229" t="str">
        <f t="shared" si="21"/>
        <v>Monday</v>
      </c>
      <c r="P229">
        <f t="shared" si="18"/>
        <v>10</v>
      </c>
      <c r="Q229" s="2">
        <f t="shared" si="22"/>
        <v>1</v>
      </c>
      <c r="R229" s="2">
        <f t="shared" si="23"/>
        <v>7</v>
      </c>
      <c r="S229">
        <f>SUMIF(Table1[product_category],"Bakery",Table1[Total_bill])</f>
        <v>2951.25</v>
      </c>
    </row>
    <row r="230" spans="1:19" x14ac:dyDescent="0.3">
      <c r="A230" s="2">
        <v>10229</v>
      </c>
      <c r="B230" s="4">
        <v>45860</v>
      </c>
      <c r="C230" t="s">
        <v>388</v>
      </c>
      <c r="D230" t="s">
        <v>18</v>
      </c>
      <c r="E230" t="s">
        <v>19</v>
      </c>
      <c r="F230" t="s">
        <v>206</v>
      </c>
      <c r="G230">
        <v>4</v>
      </c>
      <c r="H230" s="5">
        <v>3.25</v>
      </c>
      <c r="I230" t="s">
        <v>21</v>
      </c>
      <c r="J230" t="s">
        <v>81</v>
      </c>
      <c r="K230" t="s">
        <v>82</v>
      </c>
      <c r="L230" t="s">
        <v>2125</v>
      </c>
      <c r="M230" s="5">
        <f t="shared" si="19"/>
        <v>13</v>
      </c>
      <c r="N230" t="str">
        <f t="shared" si="20"/>
        <v>July</v>
      </c>
      <c r="O230" t="str">
        <f t="shared" si="21"/>
        <v>Tuesday</v>
      </c>
      <c r="P230">
        <f t="shared" si="18"/>
        <v>18</v>
      </c>
      <c r="Q230" s="2">
        <f t="shared" si="22"/>
        <v>2</v>
      </c>
      <c r="R230" s="2">
        <f t="shared" si="23"/>
        <v>7</v>
      </c>
      <c r="S230">
        <f>SUMIF(Table1[product_category],"Bakery",Table1[Total_bill])</f>
        <v>2951.25</v>
      </c>
    </row>
    <row r="231" spans="1:19" x14ac:dyDescent="0.3">
      <c r="A231" s="2">
        <v>10230</v>
      </c>
      <c r="B231" s="4">
        <v>45861</v>
      </c>
      <c r="C231" t="s">
        <v>389</v>
      </c>
      <c r="D231" t="s">
        <v>40</v>
      </c>
      <c r="E231" t="s">
        <v>41</v>
      </c>
      <c r="F231" t="s">
        <v>208</v>
      </c>
      <c r="G231">
        <v>4</v>
      </c>
      <c r="H231" s="5">
        <v>14</v>
      </c>
      <c r="I231" t="s">
        <v>101</v>
      </c>
      <c r="J231" t="s">
        <v>102</v>
      </c>
      <c r="K231" t="s">
        <v>193</v>
      </c>
      <c r="L231" t="s">
        <v>2125</v>
      </c>
      <c r="M231" s="5">
        <f t="shared" si="19"/>
        <v>56</v>
      </c>
      <c r="N231" t="str">
        <f t="shared" si="20"/>
        <v>July</v>
      </c>
      <c r="O231" t="str">
        <f t="shared" si="21"/>
        <v>Wednesday</v>
      </c>
      <c r="P231">
        <f t="shared" si="18"/>
        <v>13</v>
      </c>
      <c r="Q231" s="2">
        <f t="shared" si="22"/>
        <v>3</v>
      </c>
      <c r="R231" s="2">
        <f t="shared" si="23"/>
        <v>7</v>
      </c>
      <c r="S231">
        <f>SUMIF(Table1[product_category],"Bakery",Table1[Total_bill])</f>
        <v>2951.25</v>
      </c>
    </row>
    <row r="232" spans="1:19" x14ac:dyDescent="0.3">
      <c r="A232" s="2">
        <v>10231</v>
      </c>
      <c r="B232" s="4">
        <v>45862</v>
      </c>
      <c r="C232" t="s">
        <v>390</v>
      </c>
      <c r="D232" t="s">
        <v>25</v>
      </c>
      <c r="E232" t="s">
        <v>26</v>
      </c>
      <c r="F232" t="s">
        <v>210</v>
      </c>
      <c r="G232">
        <v>2</v>
      </c>
      <c r="H232" s="5">
        <v>8</v>
      </c>
      <c r="I232" t="s">
        <v>28</v>
      </c>
      <c r="J232" t="s">
        <v>28</v>
      </c>
      <c r="K232" t="s">
        <v>76</v>
      </c>
      <c r="L232" t="s">
        <v>2125</v>
      </c>
      <c r="M232" s="5">
        <f t="shared" si="19"/>
        <v>16</v>
      </c>
      <c r="N232" t="str">
        <f t="shared" si="20"/>
        <v>July</v>
      </c>
      <c r="O232" t="str">
        <f t="shared" si="21"/>
        <v>Thursday</v>
      </c>
      <c r="P232">
        <f t="shared" si="18"/>
        <v>16</v>
      </c>
      <c r="Q232" s="2">
        <f t="shared" si="22"/>
        <v>4</v>
      </c>
      <c r="R232" s="2">
        <f t="shared" si="23"/>
        <v>7</v>
      </c>
      <c r="S232">
        <f>SUMIF(Table1[product_category],"Bakery",Table1[Total_bill])</f>
        <v>2951.25</v>
      </c>
    </row>
    <row r="233" spans="1:19" x14ac:dyDescent="0.3">
      <c r="A233" s="2">
        <v>10232</v>
      </c>
      <c r="B233" s="4">
        <v>45863</v>
      </c>
      <c r="C233" t="s">
        <v>391</v>
      </c>
      <c r="D233" t="s">
        <v>25</v>
      </c>
      <c r="E233" t="s">
        <v>26</v>
      </c>
      <c r="F233" t="s">
        <v>214</v>
      </c>
      <c r="G233">
        <v>3</v>
      </c>
      <c r="H233" s="5">
        <v>11</v>
      </c>
      <c r="I233" t="s">
        <v>98</v>
      </c>
      <c r="J233" t="s">
        <v>98</v>
      </c>
      <c r="K233" t="s">
        <v>215</v>
      </c>
      <c r="L233" t="s">
        <v>2125</v>
      </c>
      <c r="M233" s="5">
        <f t="shared" si="19"/>
        <v>33</v>
      </c>
      <c r="N233" t="str">
        <f t="shared" si="20"/>
        <v>July</v>
      </c>
      <c r="O233" t="str">
        <f t="shared" si="21"/>
        <v>Friday</v>
      </c>
      <c r="P233">
        <f t="shared" si="18"/>
        <v>12</v>
      </c>
      <c r="Q233" s="2">
        <f t="shared" si="22"/>
        <v>5</v>
      </c>
      <c r="R233" s="2">
        <f t="shared" si="23"/>
        <v>7</v>
      </c>
      <c r="S233">
        <f>SUMIF(Table1[product_category],"Bakery",Table1[Total_bill])</f>
        <v>2951.25</v>
      </c>
    </row>
    <row r="234" spans="1:19" x14ac:dyDescent="0.3">
      <c r="A234" s="2">
        <v>10233</v>
      </c>
      <c r="B234" s="4">
        <v>45864</v>
      </c>
      <c r="C234" t="s">
        <v>392</v>
      </c>
      <c r="D234" t="s">
        <v>18</v>
      </c>
      <c r="E234" t="s">
        <v>19</v>
      </c>
      <c r="F234" t="s">
        <v>217</v>
      </c>
      <c r="G234">
        <v>4</v>
      </c>
      <c r="H234" s="5">
        <v>3.25</v>
      </c>
      <c r="I234" t="s">
        <v>32</v>
      </c>
      <c r="J234" t="s">
        <v>144</v>
      </c>
      <c r="K234" t="s">
        <v>144</v>
      </c>
      <c r="L234" t="s">
        <v>2124</v>
      </c>
      <c r="M234" s="5">
        <f t="shared" si="19"/>
        <v>13</v>
      </c>
      <c r="N234" t="str">
        <f t="shared" si="20"/>
        <v>July</v>
      </c>
      <c r="O234" t="str">
        <f t="shared" si="21"/>
        <v>Saturday</v>
      </c>
      <c r="P234">
        <f t="shared" si="18"/>
        <v>13</v>
      </c>
      <c r="Q234" s="2">
        <f t="shared" si="22"/>
        <v>6</v>
      </c>
      <c r="R234" s="2">
        <f t="shared" si="23"/>
        <v>7</v>
      </c>
      <c r="S234">
        <f>SUMIF(Table1[product_category],"Bakery",Table1[Total_bill])</f>
        <v>2951.25</v>
      </c>
    </row>
    <row r="235" spans="1:19" x14ac:dyDescent="0.3">
      <c r="A235" s="2">
        <v>10234</v>
      </c>
      <c r="B235" s="4">
        <v>45865</v>
      </c>
      <c r="C235" t="s">
        <v>393</v>
      </c>
      <c r="D235" t="s">
        <v>40</v>
      </c>
      <c r="E235" t="s">
        <v>41</v>
      </c>
      <c r="F235" t="s">
        <v>219</v>
      </c>
      <c r="G235">
        <v>1</v>
      </c>
      <c r="H235" s="5">
        <v>4.75</v>
      </c>
      <c r="I235" t="s">
        <v>32</v>
      </c>
      <c r="J235" t="s">
        <v>202</v>
      </c>
      <c r="K235" t="s">
        <v>202</v>
      </c>
      <c r="L235" t="s">
        <v>2123</v>
      </c>
      <c r="M235" s="5">
        <f t="shared" si="19"/>
        <v>4.75</v>
      </c>
      <c r="N235" t="str">
        <f t="shared" si="20"/>
        <v>July</v>
      </c>
      <c r="O235" t="str">
        <f t="shared" si="21"/>
        <v>Sunday</v>
      </c>
      <c r="P235">
        <f t="shared" si="18"/>
        <v>11</v>
      </c>
      <c r="Q235" s="2">
        <f t="shared" si="22"/>
        <v>7</v>
      </c>
      <c r="R235" s="2">
        <f t="shared" si="23"/>
        <v>7</v>
      </c>
      <c r="S235">
        <f>SUMIF(Table1[product_category],"Bakery",Table1[Total_bill])</f>
        <v>2951.25</v>
      </c>
    </row>
    <row r="236" spans="1:19" x14ac:dyDescent="0.3">
      <c r="A236" s="2">
        <v>10235</v>
      </c>
      <c r="B236" s="4">
        <v>45866</v>
      </c>
      <c r="C236" t="s">
        <v>394</v>
      </c>
      <c r="D236" t="s">
        <v>25</v>
      </c>
      <c r="E236" t="s">
        <v>26</v>
      </c>
      <c r="F236" t="s">
        <v>221</v>
      </c>
      <c r="G236">
        <v>1</v>
      </c>
      <c r="H236" s="5">
        <v>13</v>
      </c>
      <c r="I236" t="s">
        <v>98</v>
      </c>
      <c r="J236" t="s">
        <v>98</v>
      </c>
      <c r="K236" t="s">
        <v>95</v>
      </c>
      <c r="L236" t="s">
        <v>2125</v>
      </c>
      <c r="M236" s="5">
        <f t="shared" si="19"/>
        <v>13</v>
      </c>
      <c r="N236" t="str">
        <f t="shared" si="20"/>
        <v>July</v>
      </c>
      <c r="O236" t="str">
        <f t="shared" si="21"/>
        <v>Monday</v>
      </c>
      <c r="P236">
        <f t="shared" si="18"/>
        <v>8</v>
      </c>
      <c r="Q236" s="2">
        <f t="shared" si="22"/>
        <v>1</v>
      </c>
      <c r="R236" s="2">
        <f t="shared" si="23"/>
        <v>7</v>
      </c>
      <c r="S236">
        <f>SUMIF(Table1[product_category],"Bakery",Table1[Total_bill])</f>
        <v>2951.25</v>
      </c>
    </row>
    <row r="237" spans="1:19" x14ac:dyDescent="0.3">
      <c r="A237" s="2">
        <v>10236</v>
      </c>
      <c r="B237" s="4">
        <v>45867</v>
      </c>
      <c r="C237" t="s">
        <v>395</v>
      </c>
      <c r="D237" t="s">
        <v>18</v>
      </c>
      <c r="E237" t="s">
        <v>19</v>
      </c>
      <c r="F237" t="s">
        <v>223</v>
      </c>
      <c r="G237">
        <v>3</v>
      </c>
      <c r="H237" s="5">
        <v>4.5</v>
      </c>
      <c r="I237" t="s">
        <v>32</v>
      </c>
      <c r="J237" t="s">
        <v>94</v>
      </c>
      <c r="K237" t="s">
        <v>95</v>
      </c>
      <c r="L237" t="s">
        <v>2123</v>
      </c>
      <c r="M237" s="5">
        <f t="shared" si="19"/>
        <v>13.5</v>
      </c>
      <c r="N237" t="str">
        <f t="shared" si="20"/>
        <v>July</v>
      </c>
      <c r="O237" t="str">
        <f t="shared" si="21"/>
        <v>Tuesday</v>
      </c>
      <c r="P237">
        <f t="shared" si="18"/>
        <v>15</v>
      </c>
      <c r="Q237" s="2">
        <f t="shared" si="22"/>
        <v>2</v>
      </c>
      <c r="R237" s="2">
        <f t="shared" si="23"/>
        <v>7</v>
      </c>
      <c r="S237">
        <f>SUMIF(Table1[product_category],"Bakery",Table1[Total_bill])</f>
        <v>2951.25</v>
      </c>
    </row>
    <row r="238" spans="1:19" x14ac:dyDescent="0.3">
      <c r="A238" s="2">
        <v>10237</v>
      </c>
      <c r="B238" s="4">
        <v>45868</v>
      </c>
      <c r="C238" t="s">
        <v>396</v>
      </c>
      <c r="D238" t="s">
        <v>40</v>
      </c>
      <c r="E238" t="s">
        <v>41</v>
      </c>
      <c r="F238" t="s">
        <v>225</v>
      </c>
      <c r="G238">
        <v>1</v>
      </c>
      <c r="H238" s="5">
        <v>13</v>
      </c>
      <c r="I238" t="s">
        <v>98</v>
      </c>
      <c r="J238" t="s">
        <v>98</v>
      </c>
      <c r="K238" t="s">
        <v>95</v>
      </c>
      <c r="L238" t="s">
        <v>2125</v>
      </c>
      <c r="M238" s="5">
        <f t="shared" si="19"/>
        <v>13</v>
      </c>
      <c r="N238" t="str">
        <f t="shared" si="20"/>
        <v>July</v>
      </c>
      <c r="O238" t="str">
        <f t="shared" si="21"/>
        <v>Wednesday</v>
      </c>
      <c r="P238">
        <f t="shared" si="18"/>
        <v>9</v>
      </c>
      <c r="Q238" s="2">
        <f t="shared" si="22"/>
        <v>3</v>
      </c>
      <c r="R238" s="2">
        <f t="shared" si="23"/>
        <v>7</v>
      </c>
      <c r="S238">
        <f>SUMIF(Table1[product_category],"Bakery",Table1[Total_bill])</f>
        <v>2951.25</v>
      </c>
    </row>
    <row r="239" spans="1:19" x14ac:dyDescent="0.3">
      <c r="A239" s="2">
        <v>10238</v>
      </c>
      <c r="B239" s="4">
        <v>45869</v>
      </c>
      <c r="C239" t="s">
        <v>397</v>
      </c>
      <c r="D239" t="s">
        <v>40</v>
      </c>
      <c r="E239" t="s">
        <v>41</v>
      </c>
      <c r="F239" t="s">
        <v>229</v>
      </c>
      <c r="G239">
        <v>2</v>
      </c>
      <c r="H239" s="5">
        <v>3.75</v>
      </c>
      <c r="I239" t="s">
        <v>32</v>
      </c>
      <c r="J239" t="s">
        <v>144</v>
      </c>
      <c r="K239" t="s">
        <v>144</v>
      </c>
      <c r="L239" t="s">
        <v>2123</v>
      </c>
      <c r="M239" s="5">
        <f t="shared" si="19"/>
        <v>7.5</v>
      </c>
      <c r="N239" t="str">
        <f t="shared" si="20"/>
        <v>July</v>
      </c>
      <c r="O239" t="str">
        <f t="shared" si="21"/>
        <v>Thursday</v>
      </c>
      <c r="P239">
        <f t="shared" si="18"/>
        <v>6</v>
      </c>
      <c r="Q239" s="2">
        <f t="shared" si="22"/>
        <v>4</v>
      </c>
      <c r="R239" s="2">
        <f t="shared" si="23"/>
        <v>7</v>
      </c>
      <c r="S239">
        <f>SUMIF(Table1[product_category],"Bakery",Table1[Total_bill])</f>
        <v>2951.25</v>
      </c>
    </row>
    <row r="240" spans="1:19" x14ac:dyDescent="0.3">
      <c r="A240" s="2">
        <v>10239</v>
      </c>
      <c r="B240" s="4">
        <v>45870</v>
      </c>
      <c r="C240" t="s">
        <v>398</v>
      </c>
      <c r="D240" t="s">
        <v>25</v>
      </c>
      <c r="E240" t="s">
        <v>26</v>
      </c>
      <c r="F240" t="s">
        <v>231</v>
      </c>
      <c r="G240">
        <v>3</v>
      </c>
      <c r="H240" s="5">
        <v>3.25</v>
      </c>
      <c r="I240" t="s">
        <v>32</v>
      </c>
      <c r="J240" t="s">
        <v>144</v>
      </c>
      <c r="K240" t="s">
        <v>144</v>
      </c>
      <c r="L240" t="s">
        <v>2124</v>
      </c>
      <c r="M240" s="5">
        <f t="shared" si="19"/>
        <v>9.75</v>
      </c>
      <c r="N240" t="str">
        <f t="shared" si="20"/>
        <v>August</v>
      </c>
      <c r="O240" t="str">
        <f t="shared" si="21"/>
        <v>Friday</v>
      </c>
      <c r="P240">
        <f t="shared" si="18"/>
        <v>14</v>
      </c>
      <c r="Q240" s="2">
        <f t="shared" si="22"/>
        <v>5</v>
      </c>
      <c r="R240" s="2">
        <f t="shared" si="23"/>
        <v>8</v>
      </c>
      <c r="S240">
        <f>SUMIF(Table1[product_category],"Bakery",Table1[Total_bill])</f>
        <v>2951.25</v>
      </c>
    </row>
    <row r="241" spans="1:19" x14ac:dyDescent="0.3">
      <c r="A241" s="2">
        <v>10240</v>
      </c>
      <c r="B241" s="4">
        <v>45871</v>
      </c>
      <c r="C241" t="s">
        <v>399</v>
      </c>
      <c r="D241" t="s">
        <v>18</v>
      </c>
      <c r="E241" t="s">
        <v>19</v>
      </c>
      <c r="F241" t="s">
        <v>233</v>
      </c>
      <c r="G241">
        <v>1</v>
      </c>
      <c r="H241" s="5">
        <v>3</v>
      </c>
      <c r="I241" t="s">
        <v>36</v>
      </c>
      <c r="J241" t="s">
        <v>37</v>
      </c>
      <c r="K241" t="s">
        <v>62</v>
      </c>
      <c r="L241" t="s">
        <v>2124</v>
      </c>
      <c r="M241" s="5">
        <f t="shared" si="19"/>
        <v>3</v>
      </c>
      <c r="N241" t="str">
        <f t="shared" si="20"/>
        <v>August</v>
      </c>
      <c r="O241" t="str">
        <f t="shared" si="21"/>
        <v>Saturday</v>
      </c>
      <c r="P241">
        <f t="shared" si="18"/>
        <v>8</v>
      </c>
      <c r="Q241" s="2">
        <f t="shared" si="22"/>
        <v>6</v>
      </c>
      <c r="R241" s="2">
        <f t="shared" si="23"/>
        <v>8</v>
      </c>
      <c r="S241">
        <f>SUMIF(Table1[product_category],"Bakery",Table1[Total_bill])</f>
        <v>2951.25</v>
      </c>
    </row>
    <row r="242" spans="1:19" x14ac:dyDescent="0.3">
      <c r="A242" s="2">
        <v>10241</v>
      </c>
      <c r="B242" s="4">
        <v>45872</v>
      </c>
      <c r="C242" t="s">
        <v>400</v>
      </c>
      <c r="D242" t="s">
        <v>18</v>
      </c>
      <c r="E242" t="s">
        <v>19</v>
      </c>
      <c r="F242" t="s">
        <v>20</v>
      </c>
      <c r="G242">
        <v>1</v>
      </c>
      <c r="H242" s="5">
        <v>2.75</v>
      </c>
      <c r="I242" t="s">
        <v>21</v>
      </c>
      <c r="J242" t="s">
        <v>22</v>
      </c>
      <c r="K242" t="s">
        <v>23</v>
      </c>
      <c r="L242" t="s">
        <v>2125</v>
      </c>
      <c r="M242" s="5">
        <f t="shared" si="19"/>
        <v>2.75</v>
      </c>
      <c r="N242" t="str">
        <f t="shared" si="20"/>
        <v>August</v>
      </c>
      <c r="O242" t="str">
        <f t="shared" si="21"/>
        <v>Sunday</v>
      </c>
      <c r="P242">
        <f t="shared" si="18"/>
        <v>19</v>
      </c>
      <c r="Q242" s="2">
        <f t="shared" si="22"/>
        <v>7</v>
      </c>
      <c r="R242" s="2">
        <f t="shared" si="23"/>
        <v>8</v>
      </c>
      <c r="S242">
        <f>SUMIF(Table1[product_category],"Bakery",Table1[Total_bill])</f>
        <v>2951.25</v>
      </c>
    </row>
    <row r="243" spans="1:19" x14ac:dyDescent="0.3">
      <c r="A243" s="2">
        <v>10242</v>
      </c>
      <c r="B243" s="4">
        <v>45873</v>
      </c>
      <c r="C243" t="s">
        <v>401</v>
      </c>
      <c r="D243" t="s">
        <v>40</v>
      </c>
      <c r="E243" t="s">
        <v>41</v>
      </c>
      <c r="F243" t="s">
        <v>27</v>
      </c>
      <c r="G243">
        <v>3</v>
      </c>
      <c r="H243" s="5">
        <v>2.5</v>
      </c>
      <c r="I243" t="s">
        <v>21</v>
      </c>
      <c r="J243" t="s">
        <v>47</v>
      </c>
      <c r="K243" t="s">
        <v>48</v>
      </c>
      <c r="L243" t="s">
        <v>2125</v>
      </c>
      <c r="M243" s="5">
        <f t="shared" si="19"/>
        <v>7.5</v>
      </c>
      <c r="N243" t="str">
        <f t="shared" si="20"/>
        <v>August</v>
      </c>
      <c r="O243" t="str">
        <f t="shared" si="21"/>
        <v>Monday</v>
      </c>
      <c r="P243">
        <f t="shared" si="18"/>
        <v>20</v>
      </c>
      <c r="Q243" s="2">
        <f t="shared" si="22"/>
        <v>1</v>
      </c>
      <c r="R243" s="2">
        <f t="shared" si="23"/>
        <v>8</v>
      </c>
      <c r="S243">
        <f>SUMIF(Table1[product_category],"Bakery",Table1[Total_bill])</f>
        <v>2951.25</v>
      </c>
    </row>
    <row r="244" spans="1:19" x14ac:dyDescent="0.3">
      <c r="A244" s="2">
        <v>10243</v>
      </c>
      <c r="B244" s="4">
        <v>45874</v>
      </c>
      <c r="C244" t="s">
        <v>402</v>
      </c>
      <c r="D244" t="s">
        <v>25</v>
      </c>
      <c r="E244" t="s">
        <v>26</v>
      </c>
      <c r="F244" t="s">
        <v>31</v>
      </c>
      <c r="G244">
        <v>2</v>
      </c>
      <c r="H244" s="5">
        <v>4</v>
      </c>
      <c r="I244" t="s">
        <v>89</v>
      </c>
      <c r="J244" t="s">
        <v>90</v>
      </c>
      <c r="K244" t="s">
        <v>91</v>
      </c>
      <c r="L244" t="s">
        <v>2122</v>
      </c>
      <c r="M244" s="5">
        <f t="shared" si="19"/>
        <v>8</v>
      </c>
      <c r="N244" t="str">
        <f t="shared" si="20"/>
        <v>August</v>
      </c>
      <c r="O244" t="str">
        <f t="shared" si="21"/>
        <v>Tuesday</v>
      </c>
      <c r="P244">
        <f t="shared" si="18"/>
        <v>18</v>
      </c>
      <c r="Q244" s="2">
        <f t="shared" si="22"/>
        <v>2</v>
      </c>
      <c r="R244" s="2">
        <f t="shared" si="23"/>
        <v>8</v>
      </c>
      <c r="S244">
        <f>SUMIF(Table1[product_category],"Bakery",Table1[Total_bill])</f>
        <v>2951.25</v>
      </c>
    </row>
    <row r="245" spans="1:19" x14ac:dyDescent="0.3">
      <c r="A245" s="2">
        <v>10244</v>
      </c>
      <c r="B245" s="4">
        <v>45875</v>
      </c>
      <c r="C245" t="s">
        <v>403</v>
      </c>
      <c r="D245" t="s">
        <v>18</v>
      </c>
      <c r="E245" t="s">
        <v>19</v>
      </c>
      <c r="F245" t="s">
        <v>35</v>
      </c>
      <c r="G245">
        <v>2</v>
      </c>
      <c r="H245" s="5">
        <v>24</v>
      </c>
      <c r="I245" t="s">
        <v>101</v>
      </c>
      <c r="J245" t="s">
        <v>102</v>
      </c>
      <c r="K245" t="s">
        <v>103</v>
      </c>
      <c r="L245" t="s">
        <v>2125</v>
      </c>
      <c r="M245" s="5">
        <f t="shared" si="19"/>
        <v>48</v>
      </c>
      <c r="N245" t="str">
        <f t="shared" si="20"/>
        <v>August</v>
      </c>
      <c r="O245" t="str">
        <f t="shared" si="21"/>
        <v>Wednesday</v>
      </c>
      <c r="P245">
        <f t="shared" si="18"/>
        <v>10</v>
      </c>
      <c r="Q245" s="2">
        <f t="shared" si="22"/>
        <v>3</v>
      </c>
      <c r="R245" s="2">
        <f t="shared" si="23"/>
        <v>8</v>
      </c>
      <c r="S245">
        <f>SUMIF(Table1[product_category],"Bakery",Table1[Total_bill])</f>
        <v>2951.25</v>
      </c>
    </row>
    <row r="246" spans="1:19" x14ac:dyDescent="0.3">
      <c r="A246" s="2">
        <v>10245</v>
      </c>
      <c r="B246" s="4">
        <v>45876</v>
      </c>
      <c r="C246" t="s">
        <v>404</v>
      </c>
      <c r="D246" t="s">
        <v>40</v>
      </c>
      <c r="E246" t="s">
        <v>41</v>
      </c>
      <c r="F246" t="s">
        <v>42</v>
      </c>
      <c r="G246">
        <v>3</v>
      </c>
      <c r="H246" s="5">
        <v>3.75</v>
      </c>
      <c r="I246" t="s">
        <v>36</v>
      </c>
      <c r="J246" t="s">
        <v>211</v>
      </c>
      <c r="K246" t="s">
        <v>212</v>
      </c>
      <c r="L246" t="s">
        <v>2124</v>
      </c>
      <c r="M246" s="5">
        <f t="shared" si="19"/>
        <v>11.25</v>
      </c>
      <c r="N246" t="str">
        <f t="shared" si="20"/>
        <v>August</v>
      </c>
      <c r="O246" t="str">
        <f t="shared" si="21"/>
        <v>Thursday</v>
      </c>
      <c r="P246">
        <f t="shared" si="18"/>
        <v>6</v>
      </c>
      <c r="Q246" s="2">
        <f t="shared" si="22"/>
        <v>4</v>
      </c>
      <c r="R246" s="2">
        <f t="shared" si="23"/>
        <v>8</v>
      </c>
      <c r="S246">
        <f>SUMIF(Table1[product_category],"Bakery",Table1[Total_bill])</f>
        <v>2951.25</v>
      </c>
    </row>
    <row r="247" spans="1:19" x14ac:dyDescent="0.3">
      <c r="A247" s="2">
        <v>10246</v>
      </c>
      <c r="B247" s="4">
        <v>45877</v>
      </c>
      <c r="C247" t="s">
        <v>405</v>
      </c>
      <c r="D247" t="s">
        <v>18</v>
      </c>
      <c r="E247" t="s">
        <v>19</v>
      </c>
      <c r="F247" t="s">
        <v>46</v>
      </c>
      <c r="G247">
        <v>2</v>
      </c>
      <c r="H247" s="5">
        <v>3.5</v>
      </c>
      <c r="I247" t="s">
        <v>32</v>
      </c>
      <c r="J247" t="s">
        <v>33</v>
      </c>
      <c r="K247" t="s">
        <v>33</v>
      </c>
      <c r="L247" t="s">
        <v>2122</v>
      </c>
      <c r="M247" s="5">
        <f t="shared" si="19"/>
        <v>7</v>
      </c>
      <c r="N247" t="str">
        <f t="shared" si="20"/>
        <v>August</v>
      </c>
      <c r="O247" t="str">
        <f t="shared" si="21"/>
        <v>Friday</v>
      </c>
      <c r="P247">
        <f t="shared" si="18"/>
        <v>18</v>
      </c>
      <c r="Q247" s="2">
        <f t="shared" si="22"/>
        <v>5</v>
      </c>
      <c r="R247" s="2">
        <f t="shared" si="23"/>
        <v>8</v>
      </c>
      <c r="S247">
        <f>SUMIF(Table1[product_category],"Bakery",Table1[Total_bill])</f>
        <v>2951.25</v>
      </c>
    </row>
    <row r="248" spans="1:19" x14ac:dyDescent="0.3">
      <c r="A248" s="2">
        <v>10247</v>
      </c>
      <c r="B248" s="4">
        <v>45878</v>
      </c>
      <c r="C248" t="s">
        <v>406</v>
      </c>
      <c r="D248" t="s">
        <v>25</v>
      </c>
      <c r="E248" t="s">
        <v>26</v>
      </c>
      <c r="F248" t="s">
        <v>50</v>
      </c>
      <c r="G248">
        <v>4</v>
      </c>
      <c r="H248" s="5">
        <v>4</v>
      </c>
      <c r="I248" t="s">
        <v>32</v>
      </c>
      <c r="J248" t="s">
        <v>33</v>
      </c>
      <c r="K248" t="s">
        <v>33</v>
      </c>
      <c r="L248" t="s">
        <v>2124</v>
      </c>
      <c r="M248" s="5">
        <f t="shared" si="19"/>
        <v>16</v>
      </c>
      <c r="N248" t="str">
        <f t="shared" si="20"/>
        <v>August</v>
      </c>
      <c r="O248" t="str">
        <f t="shared" si="21"/>
        <v>Saturday</v>
      </c>
      <c r="P248">
        <f t="shared" si="18"/>
        <v>10</v>
      </c>
      <c r="Q248" s="2">
        <f t="shared" si="22"/>
        <v>6</v>
      </c>
      <c r="R248" s="2">
        <f t="shared" si="23"/>
        <v>8</v>
      </c>
      <c r="S248">
        <f>SUMIF(Table1[product_category],"Bakery",Table1[Total_bill])</f>
        <v>2951.25</v>
      </c>
    </row>
    <row r="249" spans="1:19" x14ac:dyDescent="0.3">
      <c r="A249" s="2">
        <v>10248</v>
      </c>
      <c r="B249" s="4">
        <v>45879</v>
      </c>
      <c r="C249" t="s">
        <v>407</v>
      </c>
      <c r="D249" t="s">
        <v>18</v>
      </c>
      <c r="E249" t="s">
        <v>19</v>
      </c>
      <c r="F249" t="s">
        <v>54</v>
      </c>
      <c r="G249">
        <v>4</v>
      </c>
      <c r="H249" s="5">
        <v>14</v>
      </c>
      <c r="I249" t="s">
        <v>98</v>
      </c>
      <c r="J249" t="s">
        <v>98</v>
      </c>
      <c r="K249" t="s">
        <v>129</v>
      </c>
      <c r="L249" t="s">
        <v>2125</v>
      </c>
      <c r="M249" s="5">
        <f t="shared" si="19"/>
        <v>56</v>
      </c>
      <c r="N249" t="str">
        <f t="shared" si="20"/>
        <v>August</v>
      </c>
      <c r="O249" t="str">
        <f t="shared" si="21"/>
        <v>Sunday</v>
      </c>
      <c r="P249">
        <f t="shared" si="18"/>
        <v>20</v>
      </c>
      <c r="Q249" s="2">
        <f t="shared" si="22"/>
        <v>7</v>
      </c>
      <c r="R249" s="2">
        <f t="shared" si="23"/>
        <v>8</v>
      </c>
      <c r="S249">
        <f>SUMIF(Table1[product_category],"Bakery",Table1[Total_bill])</f>
        <v>2951.25</v>
      </c>
    </row>
    <row r="250" spans="1:19" x14ac:dyDescent="0.3">
      <c r="A250" s="2">
        <v>10249</v>
      </c>
      <c r="B250" s="4">
        <v>45880</v>
      </c>
      <c r="C250" t="s">
        <v>408</v>
      </c>
      <c r="D250" t="s">
        <v>18</v>
      </c>
      <c r="E250" t="s">
        <v>19</v>
      </c>
      <c r="F250" t="s">
        <v>57</v>
      </c>
      <c r="G250">
        <v>4</v>
      </c>
      <c r="H250" s="5">
        <v>3.5</v>
      </c>
      <c r="I250" t="s">
        <v>32</v>
      </c>
      <c r="J250" t="s">
        <v>55</v>
      </c>
      <c r="K250" t="s">
        <v>55</v>
      </c>
      <c r="L250" t="s">
        <v>2124</v>
      </c>
      <c r="M250" s="5">
        <f t="shared" si="19"/>
        <v>14</v>
      </c>
      <c r="N250" t="str">
        <f t="shared" si="20"/>
        <v>August</v>
      </c>
      <c r="O250" t="str">
        <f t="shared" si="21"/>
        <v>Monday</v>
      </c>
      <c r="P250">
        <f t="shared" si="18"/>
        <v>20</v>
      </c>
      <c r="Q250" s="2">
        <f t="shared" si="22"/>
        <v>1</v>
      </c>
      <c r="R250" s="2">
        <f t="shared" si="23"/>
        <v>8</v>
      </c>
      <c r="S250">
        <f>SUMIF(Table1[product_category],"Bakery",Table1[Total_bill])</f>
        <v>2951.25</v>
      </c>
    </row>
    <row r="251" spans="1:19" x14ac:dyDescent="0.3">
      <c r="A251" s="2">
        <v>10250</v>
      </c>
      <c r="B251" s="4">
        <v>45881</v>
      </c>
      <c r="C251" t="s">
        <v>409</v>
      </c>
      <c r="D251" t="s">
        <v>18</v>
      </c>
      <c r="E251" t="s">
        <v>19</v>
      </c>
      <c r="F251" t="s">
        <v>61</v>
      </c>
      <c r="G251">
        <v>3</v>
      </c>
      <c r="H251" s="5">
        <v>6</v>
      </c>
      <c r="I251" t="s">
        <v>72</v>
      </c>
      <c r="J251" t="s">
        <v>72</v>
      </c>
      <c r="K251" t="s">
        <v>138</v>
      </c>
      <c r="L251" t="s">
        <v>2125</v>
      </c>
      <c r="M251" s="5">
        <f t="shared" si="19"/>
        <v>18</v>
      </c>
      <c r="N251" t="str">
        <f t="shared" si="20"/>
        <v>August</v>
      </c>
      <c r="O251" t="str">
        <f t="shared" si="21"/>
        <v>Tuesday</v>
      </c>
      <c r="P251">
        <f t="shared" si="18"/>
        <v>17</v>
      </c>
      <c r="Q251" s="2">
        <f t="shared" si="22"/>
        <v>2</v>
      </c>
      <c r="R251" s="2">
        <f t="shared" si="23"/>
        <v>8</v>
      </c>
      <c r="S251">
        <f>SUMIF(Table1[product_category],"Bakery",Table1[Total_bill])</f>
        <v>2951.25</v>
      </c>
    </row>
    <row r="252" spans="1:19" x14ac:dyDescent="0.3">
      <c r="A252" s="2">
        <v>10251</v>
      </c>
      <c r="B252" s="4">
        <v>45882</v>
      </c>
      <c r="C252" t="s">
        <v>410</v>
      </c>
      <c r="D252" t="s">
        <v>18</v>
      </c>
      <c r="E252" t="s">
        <v>19</v>
      </c>
      <c r="F252" t="s">
        <v>64</v>
      </c>
      <c r="G252">
        <v>2</v>
      </c>
      <c r="H252" s="5">
        <v>3.5</v>
      </c>
      <c r="I252" t="s">
        <v>32</v>
      </c>
      <c r="J252" t="s">
        <v>94</v>
      </c>
      <c r="K252" t="s">
        <v>95</v>
      </c>
      <c r="L252" t="s">
        <v>2122</v>
      </c>
      <c r="M252" s="5">
        <f t="shared" si="19"/>
        <v>7</v>
      </c>
      <c r="N252" t="str">
        <f t="shared" si="20"/>
        <v>August</v>
      </c>
      <c r="O252" t="str">
        <f t="shared" si="21"/>
        <v>Wednesday</v>
      </c>
      <c r="P252">
        <f t="shared" si="18"/>
        <v>9</v>
      </c>
      <c r="Q252" s="2">
        <f t="shared" si="22"/>
        <v>3</v>
      </c>
      <c r="R252" s="2">
        <f t="shared" si="23"/>
        <v>8</v>
      </c>
      <c r="S252">
        <f>SUMIF(Table1[product_category],"Bakery",Table1[Total_bill])</f>
        <v>2951.25</v>
      </c>
    </row>
    <row r="253" spans="1:19" x14ac:dyDescent="0.3">
      <c r="A253" s="2">
        <v>10252</v>
      </c>
      <c r="B253" s="4">
        <v>45883</v>
      </c>
      <c r="C253" t="s">
        <v>411</v>
      </c>
      <c r="D253" t="s">
        <v>25</v>
      </c>
      <c r="E253" t="s">
        <v>26</v>
      </c>
      <c r="F253" t="s">
        <v>66</v>
      </c>
      <c r="G253">
        <v>3</v>
      </c>
      <c r="H253" s="5">
        <v>4.5</v>
      </c>
      <c r="I253" t="s">
        <v>36</v>
      </c>
      <c r="J253" t="s">
        <v>110</v>
      </c>
      <c r="K253" t="s">
        <v>110</v>
      </c>
      <c r="L253" t="s">
        <v>2124</v>
      </c>
      <c r="M253" s="5">
        <f t="shared" si="19"/>
        <v>13.5</v>
      </c>
      <c r="N253" t="str">
        <f t="shared" si="20"/>
        <v>August</v>
      </c>
      <c r="O253" t="str">
        <f t="shared" si="21"/>
        <v>Thursday</v>
      </c>
      <c r="P253">
        <f t="shared" si="18"/>
        <v>10</v>
      </c>
      <c r="Q253" s="2">
        <f t="shared" si="22"/>
        <v>4</v>
      </c>
      <c r="R253" s="2">
        <f t="shared" si="23"/>
        <v>8</v>
      </c>
      <c r="S253">
        <f>SUMIF(Table1[product_category],"Bakery",Table1[Total_bill])</f>
        <v>2951.25</v>
      </c>
    </row>
    <row r="254" spans="1:19" x14ac:dyDescent="0.3">
      <c r="A254" s="2">
        <v>10253</v>
      </c>
      <c r="B254" s="4">
        <v>45884</v>
      </c>
      <c r="C254" t="s">
        <v>412</v>
      </c>
      <c r="D254" t="s">
        <v>18</v>
      </c>
      <c r="E254" t="s">
        <v>19</v>
      </c>
      <c r="F254" t="s">
        <v>68</v>
      </c>
      <c r="G254">
        <v>2</v>
      </c>
      <c r="H254" s="5">
        <v>13</v>
      </c>
      <c r="I254" t="s">
        <v>98</v>
      </c>
      <c r="J254" t="s">
        <v>98</v>
      </c>
      <c r="K254" t="s">
        <v>95</v>
      </c>
      <c r="L254" t="s">
        <v>2125</v>
      </c>
      <c r="M254" s="5">
        <f t="shared" si="19"/>
        <v>26</v>
      </c>
      <c r="N254" t="str">
        <f t="shared" si="20"/>
        <v>August</v>
      </c>
      <c r="O254" t="str">
        <f t="shared" si="21"/>
        <v>Friday</v>
      </c>
      <c r="P254">
        <f t="shared" si="18"/>
        <v>17</v>
      </c>
      <c r="Q254" s="2">
        <f t="shared" si="22"/>
        <v>5</v>
      </c>
      <c r="R254" s="2">
        <f t="shared" si="23"/>
        <v>8</v>
      </c>
      <c r="S254">
        <f>SUMIF(Table1[product_category],"Bakery",Table1[Total_bill])</f>
        <v>2951.25</v>
      </c>
    </row>
    <row r="255" spans="1:19" x14ac:dyDescent="0.3">
      <c r="A255" s="2">
        <v>10254</v>
      </c>
      <c r="B255" s="4">
        <v>45885</v>
      </c>
      <c r="C255" t="s">
        <v>413</v>
      </c>
      <c r="D255" t="s">
        <v>18</v>
      </c>
      <c r="E255" t="s">
        <v>19</v>
      </c>
      <c r="F255" t="s">
        <v>71</v>
      </c>
      <c r="G255">
        <v>3</v>
      </c>
      <c r="H255" s="5">
        <v>3.5</v>
      </c>
      <c r="I255" t="s">
        <v>36</v>
      </c>
      <c r="J255" t="s">
        <v>37</v>
      </c>
      <c r="K255" t="s">
        <v>62</v>
      </c>
      <c r="L255" t="s">
        <v>2123</v>
      </c>
      <c r="M255" s="5">
        <f t="shared" si="19"/>
        <v>10.5</v>
      </c>
      <c r="N255" t="str">
        <f t="shared" si="20"/>
        <v>August</v>
      </c>
      <c r="O255" t="str">
        <f t="shared" si="21"/>
        <v>Saturday</v>
      </c>
      <c r="P255">
        <f t="shared" si="18"/>
        <v>9</v>
      </c>
      <c r="Q255" s="2">
        <f t="shared" si="22"/>
        <v>6</v>
      </c>
      <c r="R255" s="2">
        <f t="shared" si="23"/>
        <v>8</v>
      </c>
      <c r="S255">
        <f>SUMIF(Table1[product_category],"Bakery",Table1[Total_bill])</f>
        <v>2951.25</v>
      </c>
    </row>
    <row r="256" spans="1:19" x14ac:dyDescent="0.3">
      <c r="A256" s="2">
        <v>10255</v>
      </c>
      <c r="B256" s="4">
        <v>45886</v>
      </c>
      <c r="C256" t="s">
        <v>414</v>
      </c>
      <c r="D256" t="s">
        <v>18</v>
      </c>
      <c r="E256" t="s">
        <v>19</v>
      </c>
      <c r="F256" t="s">
        <v>75</v>
      </c>
      <c r="G256">
        <v>1</v>
      </c>
      <c r="H256" s="5">
        <v>3.25</v>
      </c>
      <c r="I256" t="s">
        <v>32</v>
      </c>
      <c r="J256" t="s">
        <v>226</v>
      </c>
      <c r="K256" t="s">
        <v>273</v>
      </c>
      <c r="L256" t="s">
        <v>2124</v>
      </c>
      <c r="M256" s="5">
        <f t="shared" si="19"/>
        <v>3.25</v>
      </c>
      <c r="N256" t="str">
        <f t="shared" si="20"/>
        <v>August</v>
      </c>
      <c r="O256" t="str">
        <f t="shared" si="21"/>
        <v>Sunday</v>
      </c>
      <c r="P256">
        <f t="shared" si="18"/>
        <v>8</v>
      </c>
      <c r="Q256" s="2">
        <f t="shared" si="22"/>
        <v>7</v>
      </c>
      <c r="R256" s="2">
        <f t="shared" si="23"/>
        <v>8</v>
      </c>
      <c r="S256">
        <f>SUMIF(Table1[product_category],"Bakery",Table1[Total_bill])</f>
        <v>2951.25</v>
      </c>
    </row>
    <row r="257" spans="1:19" x14ac:dyDescent="0.3">
      <c r="A257" s="2">
        <v>10256</v>
      </c>
      <c r="B257" s="4">
        <v>45887</v>
      </c>
      <c r="C257" t="s">
        <v>415</v>
      </c>
      <c r="D257" t="s">
        <v>40</v>
      </c>
      <c r="E257" t="s">
        <v>41</v>
      </c>
      <c r="F257" t="s">
        <v>78</v>
      </c>
      <c r="G257">
        <v>4</v>
      </c>
      <c r="H257" s="5">
        <v>13</v>
      </c>
      <c r="I257" t="s">
        <v>98</v>
      </c>
      <c r="J257" t="s">
        <v>98</v>
      </c>
      <c r="K257" t="s">
        <v>95</v>
      </c>
      <c r="L257" t="s">
        <v>2125</v>
      </c>
      <c r="M257" s="5">
        <f t="shared" si="19"/>
        <v>52</v>
      </c>
      <c r="N257" t="str">
        <f t="shared" si="20"/>
        <v>August</v>
      </c>
      <c r="O257" t="str">
        <f t="shared" si="21"/>
        <v>Monday</v>
      </c>
      <c r="P257">
        <f t="shared" si="18"/>
        <v>12</v>
      </c>
      <c r="Q257" s="2">
        <f t="shared" si="22"/>
        <v>1</v>
      </c>
      <c r="R257" s="2">
        <f t="shared" si="23"/>
        <v>8</v>
      </c>
      <c r="S257">
        <f>SUMIF(Table1[product_category],"Bakery",Table1[Total_bill])</f>
        <v>2951.25</v>
      </c>
    </row>
    <row r="258" spans="1:19" x14ac:dyDescent="0.3">
      <c r="A258" s="2">
        <v>10257</v>
      </c>
      <c r="B258" s="4">
        <v>45888</v>
      </c>
      <c r="C258" t="s">
        <v>416</v>
      </c>
      <c r="D258" t="s">
        <v>40</v>
      </c>
      <c r="E258" t="s">
        <v>41</v>
      </c>
      <c r="F258" t="s">
        <v>80</v>
      </c>
      <c r="G258">
        <v>1</v>
      </c>
      <c r="H258" s="5">
        <v>3.5</v>
      </c>
      <c r="I258" t="s">
        <v>32</v>
      </c>
      <c r="J258" t="s">
        <v>55</v>
      </c>
      <c r="K258" t="s">
        <v>55</v>
      </c>
      <c r="L258" t="s">
        <v>2124</v>
      </c>
      <c r="M258" s="5">
        <f t="shared" si="19"/>
        <v>3.5</v>
      </c>
      <c r="N258" t="str">
        <f t="shared" si="20"/>
        <v>August</v>
      </c>
      <c r="O258" t="str">
        <f t="shared" si="21"/>
        <v>Tuesday</v>
      </c>
      <c r="P258">
        <f t="shared" ref="P258:P321" si="24">HOUR(TIMEVALUE(C258))</f>
        <v>19</v>
      </c>
      <c r="Q258" s="2">
        <f t="shared" si="22"/>
        <v>2</v>
      </c>
      <c r="R258" s="2">
        <f t="shared" si="23"/>
        <v>8</v>
      </c>
      <c r="S258">
        <f>SUMIF(Table1[product_category],"Bakery",Table1[Total_bill])</f>
        <v>2951.25</v>
      </c>
    </row>
    <row r="259" spans="1:19" x14ac:dyDescent="0.3">
      <c r="A259" s="2">
        <v>10258</v>
      </c>
      <c r="B259" s="4">
        <v>45889</v>
      </c>
      <c r="C259" t="s">
        <v>417</v>
      </c>
      <c r="D259" t="s">
        <v>18</v>
      </c>
      <c r="E259" t="s">
        <v>19</v>
      </c>
      <c r="F259" t="s">
        <v>84</v>
      </c>
      <c r="G259">
        <v>3</v>
      </c>
      <c r="H259" s="5">
        <v>5.5</v>
      </c>
      <c r="I259" t="s">
        <v>72</v>
      </c>
      <c r="J259" t="s">
        <v>72</v>
      </c>
      <c r="K259" t="s">
        <v>73</v>
      </c>
      <c r="L259" t="s">
        <v>2125</v>
      </c>
      <c r="M259" s="5">
        <f t="shared" ref="M259:M322" si="25">G259*H259</f>
        <v>16.5</v>
      </c>
      <c r="N259" t="str">
        <f t="shared" ref="N259:N322" si="26">TEXT(B259,"mmmm")</f>
        <v>August</v>
      </c>
      <c r="O259" t="str">
        <f t="shared" ref="O259:O322" si="27">TEXT(B259,"dddd")</f>
        <v>Wednesday</v>
      </c>
      <c r="P259">
        <f t="shared" si="24"/>
        <v>14</v>
      </c>
      <c r="Q259" s="2">
        <f t="shared" ref="Q259:Q322" si="28">WEEKDAY(B259,2)</f>
        <v>3</v>
      </c>
      <c r="R259" s="2">
        <f t="shared" ref="R259:R322" si="29">MONTH(B259)</f>
        <v>8</v>
      </c>
      <c r="S259">
        <f>SUMIF(Table1[product_category],"Bakery",Table1[Total_bill])</f>
        <v>2951.25</v>
      </c>
    </row>
    <row r="260" spans="1:19" x14ac:dyDescent="0.3">
      <c r="A260" s="2">
        <v>10259</v>
      </c>
      <c r="B260" s="4">
        <v>45890</v>
      </c>
      <c r="C260" t="s">
        <v>418</v>
      </c>
      <c r="D260" t="s">
        <v>25</v>
      </c>
      <c r="E260" t="s">
        <v>26</v>
      </c>
      <c r="F260" t="s">
        <v>86</v>
      </c>
      <c r="G260">
        <v>4</v>
      </c>
      <c r="H260" s="5">
        <v>3.5</v>
      </c>
      <c r="I260" t="s">
        <v>36</v>
      </c>
      <c r="J260" t="s">
        <v>246</v>
      </c>
      <c r="K260" t="s">
        <v>247</v>
      </c>
      <c r="L260" t="s">
        <v>2123</v>
      </c>
      <c r="M260" s="5">
        <f t="shared" si="25"/>
        <v>14</v>
      </c>
      <c r="N260" t="str">
        <f t="shared" si="26"/>
        <v>August</v>
      </c>
      <c r="O260" t="str">
        <f t="shared" si="27"/>
        <v>Thursday</v>
      </c>
      <c r="P260">
        <f t="shared" si="24"/>
        <v>13</v>
      </c>
      <c r="Q260" s="2">
        <f t="shared" si="28"/>
        <v>4</v>
      </c>
      <c r="R260" s="2">
        <f t="shared" si="29"/>
        <v>8</v>
      </c>
      <c r="S260">
        <f>SUMIF(Table1[product_category],"Bakery",Table1[Total_bill])</f>
        <v>2951.25</v>
      </c>
    </row>
    <row r="261" spans="1:19" x14ac:dyDescent="0.3">
      <c r="A261" s="2">
        <v>10260</v>
      </c>
      <c r="B261" s="4">
        <v>45891</v>
      </c>
      <c r="C261" t="s">
        <v>419</v>
      </c>
      <c r="D261" t="s">
        <v>40</v>
      </c>
      <c r="E261" t="s">
        <v>41</v>
      </c>
      <c r="F261" t="s">
        <v>88</v>
      </c>
      <c r="G261">
        <v>2</v>
      </c>
      <c r="H261" s="5">
        <v>2.5</v>
      </c>
      <c r="I261" t="s">
        <v>21</v>
      </c>
      <c r="J261" t="s">
        <v>47</v>
      </c>
      <c r="K261" t="s">
        <v>48</v>
      </c>
      <c r="L261" t="s">
        <v>2125</v>
      </c>
      <c r="M261" s="5">
        <f t="shared" si="25"/>
        <v>5</v>
      </c>
      <c r="N261" t="str">
        <f t="shared" si="26"/>
        <v>August</v>
      </c>
      <c r="O261" t="str">
        <f t="shared" si="27"/>
        <v>Friday</v>
      </c>
      <c r="P261">
        <f t="shared" si="24"/>
        <v>7</v>
      </c>
      <c r="Q261" s="2">
        <f t="shared" si="28"/>
        <v>5</v>
      </c>
      <c r="R261" s="2">
        <f t="shared" si="29"/>
        <v>8</v>
      </c>
      <c r="S261">
        <f>SUMIF(Table1[product_category],"Bakery",Table1[Total_bill])</f>
        <v>2951.25</v>
      </c>
    </row>
    <row r="262" spans="1:19" x14ac:dyDescent="0.3">
      <c r="A262" s="2">
        <v>10261</v>
      </c>
      <c r="B262" s="4">
        <v>45892</v>
      </c>
      <c r="C262" t="s">
        <v>420</v>
      </c>
      <c r="D262" t="s">
        <v>25</v>
      </c>
      <c r="E262" t="s">
        <v>26</v>
      </c>
      <c r="F262" t="s">
        <v>93</v>
      </c>
      <c r="G262">
        <v>1</v>
      </c>
      <c r="H262" s="5">
        <v>14</v>
      </c>
      <c r="I262" t="s">
        <v>101</v>
      </c>
      <c r="J262" t="s">
        <v>102</v>
      </c>
      <c r="K262" t="s">
        <v>193</v>
      </c>
      <c r="L262" t="s">
        <v>2125</v>
      </c>
      <c r="M262" s="5">
        <f t="shared" si="25"/>
        <v>14</v>
      </c>
      <c r="N262" t="str">
        <f t="shared" si="26"/>
        <v>August</v>
      </c>
      <c r="O262" t="str">
        <f t="shared" si="27"/>
        <v>Saturday</v>
      </c>
      <c r="P262">
        <f t="shared" si="24"/>
        <v>13</v>
      </c>
      <c r="Q262" s="2">
        <f t="shared" si="28"/>
        <v>6</v>
      </c>
      <c r="R262" s="2">
        <f t="shared" si="29"/>
        <v>8</v>
      </c>
      <c r="S262">
        <f>SUMIF(Table1[product_category],"Bakery",Table1[Total_bill])</f>
        <v>2951.25</v>
      </c>
    </row>
    <row r="263" spans="1:19" x14ac:dyDescent="0.3">
      <c r="A263" s="2">
        <v>10262</v>
      </c>
      <c r="B263" s="4">
        <v>45893</v>
      </c>
      <c r="C263" t="s">
        <v>421</v>
      </c>
      <c r="D263" t="s">
        <v>40</v>
      </c>
      <c r="E263" t="s">
        <v>41</v>
      </c>
      <c r="F263" t="s">
        <v>97</v>
      </c>
      <c r="G263">
        <v>2</v>
      </c>
      <c r="H263" s="5">
        <v>3.5</v>
      </c>
      <c r="I263" t="s">
        <v>21</v>
      </c>
      <c r="J263" t="s">
        <v>51</v>
      </c>
      <c r="K263" t="s">
        <v>52</v>
      </c>
      <c r="L263" t="s">
        <v>2125</v>
      </c>
      <c r="M263" s="5">
        <f t="shared" si="25"/>
        <v>7</v>
      </c>
      <c r="N263" t="str">
        <f t="shared" si="26"/>
        <v>August</v>
      </c>
      <c r="O263" t="str">
        <f t="shared" si="27"/>
        <v>Sunday</v>
      </c>
      <c r="P263">
        <f t="shared" si="24"/>
        <v>20</v>
      </c>
      <c r="Q263" s="2">
        <f t="shared" si="28"/>
        <v>7</v>
      </c>
      <c r="R263" s="2">
        <f t="shared" si="29"/>
        <v>8</v>
      </c>
      <c r="S263">
        <f>SUMIF(Table1[product_category],"Bakery",Table1[Total_bill])</f>
        <v>2951.25</v>
      </c>
    </row>
    <row r="264" spans="1:19" x14ac:dyDescent="0.3">
      <c r="A264" s="2">
        <v>10263</v>
      </c>
      <c r="B264" s="4">
        <v>45894</v>
      </c>
      <c r="C264" t="s">
        <v>422</v>
      </c>
      <c r="D264" t="s">
        <v>40</v>
      </c>
      <c r="E264" t="s">
        <v>41</v>
      </c>
      <c r="F264" t="s">
        <v>100</v>
      </c>
      <c r="G264">
        <v>2</v>
      </c>
      <c r="H264" s="5">
        <v>2.5</v>
      </c>
      <c r="I264" t="s">
        <v>36</v>
      </c>
      <c r="J264" t="s">
        <v>37</v>
      </c>
      <c r="K264" t="s">
        <v>38</v>
      </c>
      <c r="L264" t="s">
        <v>2122</v>
      </c>
      <c r="M264" s="5">
        <f t="shared" si="25"/>
        <v>5</v>
      </c>
      <c r="N264" t="str">
        <f t="shared" si="26"/>
        <v>August</v>
      </c>
      <c r="O264" t="str">
        <f t="shared" si="27"/>
        <v>Monday</v>
      </c>
      <c r="P264">
        <f t="shared" si="24"/>
        <v>7</v>
      </c>
      <c r="Q264" s="2">
        <f t="shared" si="28"/>
        <v>1</v>
      </c>
      <c r="R264" s="2">
        <f t="shared" si="29"/>
        <v>8</v>
      </c>
      <c r="S264">
        <f>SUMIF(Table1[product_category],"Bakery",Table1[Total_bill])</f>
        <v>2951.25</v>
      </c>
    </row>
    <row r="265" spans="1:19" x14ac:dyDescent="0.3">
      <c r="A265" s="2">
        <v>10264</v>
      </c>
      <c r="B265" s="4">
        <v>45895</v>
      </c>
      <c r="C265" t="s">
        <v>423</v>
      </c>
      <c r="D265" t="s">
        <v>18</v>
      </c>
      <c r="E265" t="s">
        <v>19</v>
      </c>
      <c r="F265" t="s">
        <v>105</v>
      </c>
      <c r="G265">
        <v>4</v>
      </c>
      <c r="H265" s="5">
        <v>6</v>
      </c>
      <c r="I265" t="s">
        <v>72</v>
      </c>
      <c r="J265" t="s">
        <v>72</v>
      </c>
      <c r="K265" t="s">
        <v>138</v>
      </c>
      <c r="L265" t="s">
        <v>2125</v>
      </c>
      <c r="M265" s="5">
        <f t="shared" si="25"/>
        <v>24</v>
      </c>
      <c r="N265" t="str">
        <f t="shared" si="26"/>
        <v>August</v>
      </c>
      <c r="O265" t="str">
        <f t="shared" si="27"/>
        <v>Tuesday</v>
      </c>
      <c r="P265">
        <f t="shared" si="24"/>
        <v>12</v>
      </c>
      <c r="Q265" s="2">
        <f t="shared" si="28"/>
        <v>2</v>
      </c>
      <c r="R265" s="2">
        <f t="shared" si="29"/>
        <v>8</v>
      </c>
      <c r="S265">
        <f>SUMIF(Table1[product_category],"Bakery",Table1[Total_bill])</f>
        <v>2951.25</v>
      </c>
    </row>
    <row r="266" spans="1:19" x14ac:dyDescent="0.3">
      <c r="A266" s="2">
        <v>10265</v>
      </c>
      <c r="B266" s="4">
        <v>45896</v>
      </c>
      <c r="C266" t="s">
        <v>424</v>
      </c>
      <c r="D266" t="s">
        <v>40</v>
      </c>
      <c r="E266" t="s">
        <v>41</v>
      </c>
      <c r="F266" t="s">
        <v>107</v>
      </c>
      <c r="G266">
        <v>3</v>
      </c>
      <c r="H266" s="5">
        <v>3.25</v>
      </c>
      <c r="I266" t="s">
        <v>21</v>
      </c>
      <c r="J266" t="s">
        <v>81</v>
      </c>
      <c r="K266" t="s">
        <v>82</v>
      </c>
      <c r="L266" t="s">
        <v>2125</v>
      </c>
      <c r="M266" s="5">
        <f t="shared" si="25"/>
        <v>9.75</v>
      </c>
      <c r="N266" t="str">
        <f t="shared" si="26"/>
        <v>August</v>
      </c>
      <c r="O266" t="str">
        <f t="shared" si="27"/>
        <v>Wednesday</v>
      </c>
      <c r="P266">
        <f t="shared" si="24"/>
        <v>17</v>
      </c>
      <c r="Q266" s="2">
        <f t="shared" si="28"/>
        <v>3</v>
      </c>
      <c r="R266" s="2">
        <f t="shared" si="29"/>
        <v>8</v>
      </c>
      <c r="S266">
        <f>SUMIF(Table1[product_category],"Bakery",Table1[Total_bill])</f>
        <v>2951.25</v>
      </c>
    </row>
    <row r="267" spans="1:19" x14ac:dyDescent="0.3">
      <c r="A267" s="2">
        <v>10266</v>
      </c>
      <c r="B267" s="4">
        <v>45897</v>
      </c>
      <c r="C267" t="s">
        <v>425</v>
      </c>
      <c r="D267" t="s">
        <v>40</v>
      </c>
      <c r="E267" t="s">
        <v>41</v>
      </c>
      <c r="F267" t="s">
        <v>109</v>
      </c>
      <c r="G267">
        <v>3</v>
      </c>
      <c r="H267" s="5">
        <v>14</v>
      </c>
      <c r="I267" t="s">
        <v>98</v>
      </c>
      <c r="J267" t="s">
        <v>98</v>
      </c>
      <c r="K267" t="s">
        <v>129</v>
      </c>
      <c r="L267" t="s">
        <v>2125</v>
      </c>
      <c r="M267" s="5">
        <f t="shared" si="25"/>
        <v>42</v>
      </c>
      <c r="N267" t="str">
        <f t="shared" si="26"/>
        <v>August</v>
      </c>
      <c r="O267" t="str">
        <f t="shared" si="27"/>
        <v>Thursday</v>
      </c>
      <c r="P267">
        <f t="shared" si="24"/>
        <v>15</v>
      </c>
      <c r="Q267" s="2">
        <f t="shared" si="28"/>
        <v>4</v>
      </c>
      <c r="R267" s="2">
        <f t="shared" si="29"/>
        <v>8</v>
      </c>
      <c r="S267">
        <f>SUMIF(Table1[product_category],"Bakery",Table1[Total_bill])</f>
        <v>2951.25</v>
      </c>
    </row>
    <row r="268" spans="1:19" x14ac:dyDescent="0.3">
      <c r="A268" s="2">
        <v>10267</v>
      </c>
      <c r="B268" s="4">
        <v>45898</v>
      </c>
      <c r="C268" t="s">
        <v>426</v>
      </c>
      <c r="D268" t="s">
        <v>40</v>
      </c>
      <c r="E268" t="s">
        <v>41</v>
      </c>
      <c r="F268" t="s">
        <v>112</v>
      </c>
      <c r="G268">
        <v>1</v>
      </c>
      <c r="H268" s="5">
        <v>14</v>
      </c>
      <c r="I268" t="s">
        <v>101</v>
      </c>
      <c r="J268" t="s">
        <v>102</v>
      </c>
      <c r="K268" t="s">
        <v>193</v>
      </c>
      <c r="L268" t="s">
        <v>2125</v>
      </c>
      <c r="M268" s="5">
        <f t="shared" si="25"/>
        <v>14</v>
      </c>
      <c r="N268" t="str">
        <f t="shared" si="26"/>
        <v>August</v>
      </c>
      <c r="O268" t="str">
        <f t="shared" si="27"/>
        <v>Friday</v>
      </c>
      <c r="P268">
        <f t="shared" si="24"/>
        <v>14</v>
      </c>
      <c r="Q268" s="2">
        <f t="shared" si="28"/>
        <v>5</v>
      </c>
      <c r="R268" s="2">
        <f t="shared" si="29"/>
        <v>8</v>
      </c>
      <c r="S268">
        <f>SUMIF(Table1[product_category],"Bakery",Table1[Total_bill])</f>
        <v>2951.25</v>
      </c>
    </row>
    <row r="269" spans="1:19" x14ac:dyDescent="0.3">
      <c r="A269" s="2">
        <v>10268</v>
      </c>
      <c r="B269" s="4">
        <v>45899</v>
      </c>
      <c r="C269" t="s">
        <v>427</v>
      </c>
      <c r="D269" t="s">
        <v>25</v>
      </c>
      <c r="E269" t="s">
        <v>26</v>
      </c>
      <c r="F269" t="s">
        <v>115</v>
      </c>
      <c r="G269">
        <v>3</v>
      </c>
      <c r="H269" s="5">
        <v>4</v>
      </c>
      <c r="I269" t="s">
        <v>32</v>
      </c>
      <c r="J269" t="s">
        <v>94</v>
      </c>
      <c r="K269" t="s">
        <v>95</v>
      </c>
      <c r="L269" t="s">
        <v>2124</v>
      </c>
      <c r="M269" s="5">
        <f t="shared" si="25"/>
        <v>12</v>
      </c>
      <c r="N269" t="str">
        <f t="shared" si="26"/>
        <v>August</v>
      </c>
      <c r="O269" t="str">
        <f t="shared" si="27"/>
        <v>Saturday</v>
      </c>
      <c r="P269">
        <f t="shared" si="24"/>
        <v>14</v>
      </c>
      <c r="Q269" s="2">
        <f t="shared" si="28"/>
        <v>6</v>
      </c>
      <c r="R269" s="2">
        <f t="shared" si="29"/>
        <v>8</v>
      </c>
      <c r="S269">
        <f>SUMIF(Table1[product_category],"Bakery",Table1[Total_bill])</f>
        <v>2951.25</v>
      </c>
    </row>
    <row r="270" spans="1:19" x14ac:dyDescent="0.3">
      <c r="A270" s="2">
        <v>10269</v>
      </c>
      <c r="B270" s="4">
        <v>45900</v>
      </c>
      <c r="C270" t="s">
        <v>428</v>
      </c>
      <c r="D270" t="s">
        <v>25</v>
      </c>
      <c r="E270" t="s">
        <v>26</v>
      </c>
      <c r="F270" t="s">
        <v>117</v>
      </c>
      <c r="G270">
        <v>4</v>
      </c>
      <c r="H270" s="5">
        <v>14</v>
      </c>
      <c r="I270" t="s">
        <v>101</v>
      </c>
      <c r="J270" t="s">
        <v>102</v>
      </c>
      <c r="K270" t="s">
        <v>193</v>
      </c>
      <c r="L270" t="s">
        <v>2125</v>
      </c>
      <c r="M270" s="5">
        <f t="shared" si="25"/>
        <v>56</v>
      </c>
      <c r="N270" t="str">
        <f t="shared" si="26"/>
        <v>August</v>
      </c>
      <c r="O270" t="str">
        <f t="shared" si="27"/>
        <v>Sunday</v>
      </c>
      <c r="P270">
        <f t="shared" si="24"/>
        <v>10</v>
      </c>
      <c r="Q270" s="2">
        <f t="shared" si="28"/>
        <v>7</v>
      </c>
      <c r="R270" s="2">
        <f t="shared" si="29"/>
        <v>8</v>
      </c>
      <c r="S270">
        <f>SUMIF(Table1[product_category],"Bakery",Table1[Total_bill])</f>
        <v>2951.25</v>
      </c>
    </row>
    <row r="271" spans="1:19" x14ac:dyDescent="0.3">
      <c r="A271" s="2">
        <v>10270</v>
      </c>
      <c r="B271" s="4">
        <v>45901</v>
      </c>
      <c r="C271" t="s">
        <v>429</v>
      </c>
      <c r="D271" t="s">
        <v>18</v>
      </c>
      <c r="E271" t="s">
        <v>19</v>
      </c>
      <c r="F271" t="s">
        <v>119</v>
      </c>
      <c r="G271">
        <v>2</v>
      </c>
      <c r="H271" s="5">
        <v>3.25</v>
      </c>
      <c r="I271" t="s">
        <v>32</v>
      </c>
      <c r="J271" t="s">
        <v>226</v>
      </c>
      <c r="K271" t="s">
        <v>273</v>
      </c>
      <c r="L271" t="s">
        <v>2124</v>
      </c>
      <c r="M271" s="5">
        <f t="shared" si="25"/>
        <v>6.5</v>
      </c>
      <c r="N271" t="str">
        <f t="shared" si="26"/>
        <v>September</v>
      </c>
      <c r="O271" t="str">
        <f t="shared" si="27"/>
        <v>Monday</v>
      </c>
      <c r="P271">
        <f t="shared" si="24"/>
        <v>9</v>
      </c>
      <c r="Q271" s="2">
        <f t="shared" si="28"/>
        <v>1</v>
      </c>
      <c r="R271" s="2">
        <f t="shared" si="29"/>
        <v>9</v>
      </c>
      <c r="S271">
        <f>SUMIF(Table1[product_category],"Bakery",Table1[Total_bill])</f>
        <v>2951.25</v>
      </c>
    </row>
    <row r="272" spans="1:19" x14ac:dyDescent="0.3">
      <c r="A272" s="2">
        <v>10271</v>
      </c>
      <c r="B272" s="4">
        <v>45902</v>
      </c>
      <c r="C272" t="s">
        <v>430</v>
      </c>
      <c r="D272" t="s">
        <v>18</v>
      </c>
      <c r="E272" t="s">
        <v>19</v>
      </c>
      <c r="F272" t="s">
        <v>121</v>
      </c>
      <c r="G272">
        <v>4</v>
      </c>
      <c r="H272" s="5">
        <v>4.25</v>
      </c>
      <c r="I272" t="s">
        <v>32</v>
      </c>
      <c r="J272" t="s">
        <v>202</v>
      </c>
      <c r="K272" t="s">
        <v>202</v>
      </c>
      <c r="L272" t="s">
        <v>2124</v>
      </c>
      <c r="M272" s="5">
        <f t="shared" si="25"/>
        <v>17</v>
      </c>
      <c r="N272" t="str">
        <f t="shared" si="26"/>
        <v>September</v>
      </c>
      <c r="O272" t="str">
        <f t="shared" si="27"/>
        <v>Tuesday</v>
      </c>
      <c r="P272">
        <f t="shared" si="24"/>
        <v>16</v>
      </c>
      <c r="Q272" s="2">
        <f t="shared" si="28"/>
        <v>2</v>
      </c>
      <c r="R272" s="2">
        <f t="shared" si="29"/>
        <v>9</v>
      </c>
      <c r="S272">
        <f>SUMIF(Table1[product_category],"Bakery",Table1[Total_bill])</f>
        <v>2951.25</v>
      </c>
    </row>
    <row r="273" spans="1:19" x14ac:dyDescent="0.3">
      <c r="A273" s="2">
        <v>10272</v>
      </c>
      <c r="B273" s="4">
        <v>45903</v>
      </c>
      <c r="C273" t="s">
        <v>431</v>
      </c>
      <c r="D273" t="s">
        <v>40</v>
      </c>
      <c r="E273" t="s">
        <v>41</v>
      </c>
      <c r="F273" t="s">
        <v>124</v>
      </c>
      <c r="G273">
        <v>2</v>
      </c>
      <c r="H273" s="5">
        <v>4.5</v>
      </c>
      <c r="I273" t="s">
        <v>32</v>
      </c>
      <c r="J273" t="s">
        <v>33</v>
      </c>
      <c r="K273" t="s">
        <v>33</v>
      </c>
      <c r="L273" t="s">
        <v>2123</v>
      </c>
      <c r="M273" s="5">
        <f t="shared" si="25"/>
        <v>9</v>
      </c>
      <c r="N273" t="str">
        <f t="shared" si="26"/>
        <v>September</v>
      </c>
      <c r="O273" t="str">
        <f t="shared" si="27"/>
        <v>Wednesday</v>
      </c>
      <c r="P273">
        <f t="shared" si="24"/>
        <v>16</v>
      </c>
      <c r="Q273" s="2">
        <f t="shared" si="28"/>
        <v>3</v>
      </c>
      <c r="R273" s="2">
        <f t="shared" si="29"/>
        <v>9</v>
      </c>
      <c r="S273">
        <f>SUMIF(Table1[product_category],"Bakery",Table1[Total_bill])</f>
        <v>2951.25</v>
      </c>
    </row>
    <row r="274" spans="1:19" x14ac:dyDescent="0.3">
      <c r="A274" s="2">
        <v>10273</v>
      </c>
      <c r="B274" s="4">
        <v>45904</v>
      </c>
      <c r="C274" t="s">
        <v>432</v>
      </c>
      <c r="D274" t="s">
        <v>40</v>
      </c>
      <c r="E274" t="s">
        <v>41</v>
      </c>
      <c r="F274" t="s">
        <v>126</v>
      </c>
      <c r="G274">
        <v>2</v>
      </c>
      <c r="H274" s="5">
        <v>14</v>
      </c>
      <c r="I274" t="s">
        <v>98</v>
      </c>
      <c r="J274" t="s">
        <v>98</v>
      </c>
      <c r="K274" t="s">
        <v>129</v>
      </c>
      <c r="L274" t="s">
        <v>2125</v>
      </c>
      <c r="M274" s="5">
        <f t="shared" si="25"/>
        <v>28</v>
      </c>
      <c r="N274" t="str">
        <f t="shared" si="26"/>
        <v>September</v>
      </c>
      <c r="O274" t="str">
        <f t="shared" si="27"/>
        <v>Thursday</v>
      </c>
      <c r="P274">
        <f t="shared" si="24"/>
        <v>17</v>
      </c>
      <c r="Q274" s="2">
        <f t="shared" si="28"/>
        <v>4</v>
      </c>
      <c r="R274" s="2">
        <f t="shared" si="29"/>
        <v>9</v>
      </c>
      <c r="S274">
        <f>SUMIF(Table1[product_category],"Bakery",Table1[Total_bill])</f>
        <v>2951.25</v>
      </c>
    </row>
    <row r="275" spans="1:19" x14ac:dyDescent="0.3">
      <c r="A275" s="2">
        <v>10274</v>
      </c>
      <c r="B275" s="4">
        <v>45905</v>
      </c>
      <c r="C275" t="s">
        <v>433</v>
      </c>
      <c r="D275" t="s">
        <v>40</v>
      </c>
      <c r="E275" t="s">
        <v>41</v>
      </c>
      <c r="F275" t="s">
        <v>128</v>
      </c>
      <c r="G275">
        <v>3</v>
      </c>
      <c r="H275" s="5">
        <v>4</v>
      </c>
      <c r="I275" t="s">
        <v>89</v>
      </c>
      <c r="J275" t="s">
        <v>261</v>
      </c>
      <c r="K275" t="s">
        <v>261</v>
      </c>
      <c r="L275" t="s">
        <v>2124</v>
      </c>
      <c r="M275" s="5">
        <f t="shared" si="25"/>
        <v>12</v>
      </c>
      <c r="N275" t="str">
        <f t="shared" si="26"/>
        <v>September</v>
      </c>
      <c r="O275" t="str">
        <f t="shared" si="27"/>
        <v>Friday</v>
      </c>
      <c r="P275">
        <f t="shared" si="24"/>
        <v>18</v>
      </c>
      <c r="Q275" s="2">
        <f t="shared" si="28"/>
        <v>5</v>
      </c>
      <c r="R275" s="2">
        <f t="shared" si="29"/>
        <v>9</v>
      </c>
      <c r="S275">
        <f>SUMIF(Table1[product_category],"Bakery",Table1[Total_bill])</f>
        <v>2951.25</v>
      </c>
    </row>
    <row r="276" spans="1:19" x14ac:dyDescent="0.3">
      <c r="A276" s="2">
        <v>10275</v>
      </c>
      <c r="B276" s="4">
        <v>45906</v>
      </c>
      <c r="C276" t="s">
        <v>434</v>
      </c>
      <c r="D276" t="s">
        <v>18</v>
      </c>
      <c r="E276" t="s">
        <v>19</v>
      </c>
      <c r="F276" t="s">
        <v>131</v>
      </c>
      <c r="G276">
        <v>1</v>
      </c>
      <c r="H276" s="5">
        <v>2.5</v>
      </c>
      <c r="I276" t="s">
        <v>21</v>
      </c>
      <c r="J276" t="s">
        <v>47</v>
      </c>
      <c r="K276" t="s">
        <v>48</v>
      </c>
      <c r="L276" t="s">
        <v>2125</v>
      </c>
      <c r="M276" s="5">
        <f t="shared" si="25"/>
        <v>2.5</v>
      </c>
      <c r="N276" t="str">
        <f t="shared" si="26"/>
        <v>September</v>
      </c>
      <c r="O276" t="str">
        <f t="shared" si="27"/>
        <v>Saturday</v>
      </c>
      <c r="P276">
        <f t="shared" si="24"/>
        <v>12</v>
      </c>
      <c r="Q276" s="2">
        <f t="shared" si="28"/>
        <v>6</v>
      </c>
      <c r="R276" s="2">
        <f t="shared" si="29"/>
        <v>9</v>
      </c>
      <c r="S276">
        <f>SUMIF(Table1[product_category],"Bakery",Table1[Total_bill])</f>
        <v>2951.25</v>
      </c>
    </row>
    <row r="277" spans="1:19" x14ac:dyDescent="0.3">
      <c r="A277" s="2">
        <v>10276</v>
      </c>
      <c r="B277" s="4">
        <v>45907</v>
      </c>
      <c r="C277" t="s">
        <v>435</v>
      </c>
      <c r="D277" t="s">
        <v>18</v>
      </c>
      <c r="E277" t="s">
        <v>19</v>
      </c>
      <c r="F277" t="s">
        <v>133</v>
      </c>
      <c r="G277">
        <v>3</v>
      </c>
      <c r="H277" s="5">
        <v>4</v>
      </c>
      <c r="I277" t="s">
        <v>89</v>
      </c>
      <c r="J277" t="s">
        <v>261</v>
      </c>
      <c r="K277" t="s">
        <v>261</v>
      </c>
      <c r="L277" t="s">
        <v>2124</v>
      </c>
      <c r="M277" s="5">
        <f t="shared" si="25"/>
        <v>12</v>
      </c>
      <c r="N277" t="str">
        <f t="shared" si="26"/>
        <v>September</v>
      </c>
      <c r="O277" t="str">
        <f t="shared" si="27"/>
        <v>Sunday</v>
      </c>
      <c r="P277">
        <f t="shared" si="24"/>
        <v>12</v>
      </c>
      <c r="Q277" s="2">
        <f t="shared" si="28"/>
        <v>7</v>
      </c>
      <c r="R277" s="2">
        <f t="shared" si="29"/>
        <v>9</v>
      </c>
      <c r="S277">
        <f>SUMIF(Table1[product_category],"Bakery",Table1[Total_bill])</f>
        <v>2951.25</v>
      </c>
    </row>
    <row r="278" spans="1:19" x14ac:dyDescent="0.3">
      <c r="A278" s="2">
        <v>10277</v>
      </c>
      <c r="B278" s="4">
        <v>45908</v>
      </c>
      <c r="C278" t="s">
        <v>436</v>
      </c>
      <c r="D278" t="s">
        <v>25</v>
      </c>
      <c r="E278" t="s">
        <v>26</v>
      </c>
      <c r="F278" t="s">
        <v>135</v>
      </c>
      <c r="G278">
        <v>1</v>
      </c>
      <c r="H278" s="5">
        <v>2.5</v>
      </c>
      <c r="I278" t="s">
        <v>21</v>
      </c>
      <c r="J278" t="s">
        <v>47</v>
      </c>
      <c r="K278" t="s">
        <v>48</v>
      </c>
      <c r="L278" t="s">
        <v>2125</v>
      </c>
      <c r="M278" s="5">
        <f t="shared" si="25"/>
        <v>2.5</v>
      </c>
      <c r="N278" t="str">
        <f t="shared" si="26"/>
        <v>September</v>
      </c>
      <c r="O278" t="str">
        <f t="shared" si="27"/>
        <v>Monday</v>
      </c>
      <c r="P278">
        <f t="shared" si="24"/>
        <v>16</v>
      </c>
      <c r="Q278" s="2">
        <f t="shared" si="28"/>
        <v>1</v>
      </c>
      <c r="R278" s="2">
        <f t="shared" si="29"/>
        <v>9</v>
      </c>
      <c r="S278">
        <f>SUMIF(Table1[product_category],"Bakery",Table1[Total_bill])</f>
        <v>2951.25</v>
      </c>
    </row>
    <row r="279" spans="1:19" x14ac:dyDescent="0.3">
      <c r="A279" s="2">
        <v>10278</v>
      </c>
      <c r="B279" s="4">
        <v>45909</v>
      </c>
      <c r="C279" t="s">
        <v>437</v>
      </c>
      <c r="D279" t="s">
        <v>40</v>
      </c>
      <c r="E279" t="s">
        <v>41</v>
      </c>
      <c r="F279" t="s">
        <v>137</v>
      </c>
      <c r="G279">
        <v>4</v>
      </c>
      <c r="H279" s="5">
        <v>3.25</v>
      </c>
      <c r="I279" t="s">
        <v>21</v>
      </c>
      <c r="J279" t="s">
        <v>81</v>
      </c>
      <c r="K279" t="s">
        <v>113</v>
      </c>
      <c r="L279" t="s">
        <v>2125</v>
      </c>
      <c r="M279" s="5">
        <f t="shared" si="25"/>
        <v>13</v>
      </c>
      <c r="N279" t="str">
        <f t="shared" si="26"/>
        <v>September</v>
      </c>
      <c r="O279" t="str">
        <f t="shared" si="27"/>
        <v>Tuesday</v>
      </c>
      <c r="P279">
        <f t="shared" si="24"/>
        <v>14</v>
      </c>
      <c r="Q279" s="2">
        <f t="shared" si="28"/>
        <v>2</v>
      </c>
      <c r="R279" s="2">
        <f t="shared" si="29"/>
        <v>9</v>
      </c>
      <c r="S279">
        <f>SUMIF(Table1[product_category],"Bakery",Table1[Total_bill])</f>
        <v>2951.25</v>
      </c>
    </row>
    <row r="280" spans="1:19" x14ac:dyDescent="0.3">
      <c r="A280" s="2">
        <v>10279</v>
      </c>
      <c r="B280" s="4">
        <v>45910</v>
      </c>
      <c r="C280" t="s">
        <v>438</v>
      </c>
      <c r="D280" t="s">
        <v>25</v>
      </c>
      <c r="E280" t="s">
        <v>26</v>
      </c>
      <c r="F280" t="s">
        <v>140</v>
      </c>
      <c r="G280">
        <v>4</v>
      </c>
      <c r="H280" s="5">
        <v>3.25</v>
      </c>
      <c r="I280" t="s">
        <v>21</v>
      </c>
      <c r="J280" t="s">
        <v>81</v>
      </c>
      <c r="K280" t="s">
        <v>113</v>
      </c>
      <c r="L280" t="s">
        <v>2125</v>
      </c>
      <c r="M280" s="5">
        <f t="shared" si="25"/>
        <v>13</v>
      </c>
      <c r="N280" t="str">
        <f t="shared" si="26"/>
        <v>September</v>
      </c>
      <c r="O280" t="str">
        <f t="shared" si="27"/>
        <v>Wednesday</v>
      </c>
      <c r="P280">
        <f t="shared" si="24"/>
        <v>14</v>
      </c>
      <c r="Q280" s="2">
        <f t="shared" si="28"/>
        <v>3</v>
      </c>
      <c r="R280" s="2">
        <f t="shared" si="29"/>
        <v>9</v>
      </c>
      <c r="S280">
        <f>SUMIF(Table1[product_category],"Bakery",Table1[Total_bill])</f>
        <v>2951.25</v>
      </c>
    </row>
    <row r="281" spans="1:19" x14ac:dyDescent="0.3">
      <c r="A281" s="2">
        <v>10280</v>
      </c>
      <c r="B281" s="4">
        <v>45911</v>
      </c>
      <c r="C281" t="s">
        <v>439</v>
      </c>
      <c r="D281" t="s">
        <v>25</v>
      </c>
      <c r="E281" t="s">
        <v>26</v>
      </c>
      <c r="F281" t="s">
        <v>143</v>
      </c>
      <c r="G281">
        <v>1</v>
      </c>
      <c r="H281" s="5">
        <v>24</v>
      </c>
      <c r="I281" t="s">
        <v>101</v>
      </c>
      <c r="J281" t="s">
        <v>102</v>
      </c>
      <c r="K281" t="s">
        <v>103</v>
      </c>
      <c r="L281" t="s">
        <v>2125</v>
      </c>
      <c r="M281" s="5">
        <f t="shared" si="25"/>
        <v>24</v>
      </c>
      <c r="N281" t="str">
        <f t="shared" si="26"/>
        <v>September</v>
      </c>
      <c r="O281" t="str">
        <f t="shared" si="27"/>
        <v>Thursday</v>
      </c>
      <c r="P281">
        <f t="shared" si="24"/>
        <v>16</v>
      </c>
      <c r="Q281" s="2">
        <f t="shared" si="28"/>
        <v>4</v>
      </c>
      <c r="R281" s="2">
        <f t="shared" si="29"/>
        <v>9</v>
      </c>
      <c r="S281">
        <f>SUMIF(Table1[product_category],"Bakery",Table1[Total_bill])</f>
        <v>2951.25</v>
      </c>
    </row>
    <row r="282" spans="1:19" x14ac:dyDescent="0.3">
      <c r="A282" s="2">
        <v>10281</v>
      </c>
      <c r="B282" s="4">
        <v>45912</v>
      </c>
      <c r="C282" t="s">
        <v>440</v>
      </c>
      <c r="D282" t="s">
        <v>18</v>
      </c>
      <c r="E282" t="s">
        <v>19</v>
      </c>
      <c r="F282" t="s">
        <v>146</v>
      </c>
      <c r="G282">
        <v>1</v>
      </c>
      <c r="H282" s="5">
        <v>2.25</v>
      </c>
      <c r="I282" t="s">
        <v>21</v>
      </c>
      <c r="J282" t="s">
        <v>58</v>
      </c>
      <c r="K282" t="s">
        <v>59</v>
      </c>
      <c r="L282" t="s">
        <v>2125</v>
      </c>
      <c r="M282" s="5">
        <f t="shared" si="25"/>
        <v>2.25</v>
      </c>
      <c r="N282" t="str">
        <f t="shared" si="26"/>
        <v>September</v>
      </c>
      <c r="O282" t="str">
        <f t="shared" si="27"/>
        <v>Friday</v>
      </c>
      <c r="P282">
        <f t="shared" si="24"/>
        <v>18</v>
      </c>
      <c r="Q282" s="2">
        <f t="shared" si="28"/>
        <v>5</v>
      </c>
      <c r="R282" s="2">
        <f t="shared" si="29"/>
        <v>9</v>
      </c>
      <c r="S282">
        <f>SUMIF(Table1[product_category],"Bakery",Table1[Total_bill])</f>
        <v>2951.25</v>
      </c>
    </row>
    <row r="283" spans="1:19" x14ac:dyDescent="0.3">
      <c r="A283" s="2">
        <v>10282</v>
      </c>
      <c r="B283" s="4">
        <v>45913</v>
      </c>
      <c r="C283" t="s">
        <v>441</v>
      </c>
      <c r="D283" t="s">
        <v>25</v>
      </c>
      <c r="E283" t="s">
        <v>26</v>
      </c>
      <c r="F283" t="s">
        <v>148</v>
      </c>
      <c r="G283">
        <v>4</v>
      </c>
      <c r="H283" s="5">
        <v>2.5</v>
      </c>
      <c r="I283" t="s">
        <v>21</v>
      </c>
      <c r="J283" t="s">
        <v>47</v>
      </c>
      <c r="K283" t="s">
        <v>48</v>
      </c>
      <c r="L283" t="s">
        <v>2125</v>
      </c>
      <c r="M283" s="5">
        <f t="shared" si="25"/>
        <v>10</v>
      </c>
      <c r="N283" t="str">
        <f t="shared" si="26"/>
        <v>September</v>
      </c>
      <c r="O283" t="str">
        <f t="shared" si="27"/>
        <v>Saturday</v>
      </c>
      <c r="P283">
        <f t="shared" si="24"/>
        <v>9</v>
      </c>
      <c r="Q283" s="2">
        <f t="shared" si="28"/>
        <v>6</v>
      </c>
      <c r="R283" s="2">
        <f t="shared" si="29"/>
        <v>9</v>
      </c>
      <c r="S283">
        <f>SUMIF(Table1[product_category],"Bakery",Table1[Total_bill])</f>
        <v>2951.25</v>
      </c>
    </row>
    <row r="284" spans="1:19" x14ac:dyDescent="0.3">
      <c r="A284" s="2">
        <v>10283</v>
      </c>
      <c r="B284" s="4">
        <v>45914</v>
      </c>
      <c r="C284" t="s">
        <v>442</v>
      </c>
      <c r="D284" t="s">
        <v>25</v>
      </c>
      <c r="E284" t="s">
        <v>26</v>
      </c>
      <c r="F284" t="s">
        <v>150</v>
      </c>
      <c r="G284">
        <v>1</v>
      </c>
      <c r="H284" s="5">
        <v>4.25</v>
      </c>
      <c r="I284" t="s">
        <v>32</v>
      </c>
      <c r="J284" t="s">
        <v>69</v>
      </c>
      <c r="K284" t="s">
        <v>69</v>
      </c>
      <c r="L284" t="s">
        <v>2124</v>
      </c>
      <c r="M284" s="5">
        <f t="shared" si="25"/>
        <v>4.25</v>
      </c>
      <c r="N284" t="str">
        <f t="shared" si="26"/>
        <v>September</v>
      </c>
      <c r="O284" t="str">
        <f t="shared" si="27"/>
        <v>Sunday</v>
      </c>
      <c r="P284">
        <f t="shared" si="24"/>
        <v>10</v>
      </c>
      <c r="Q284" s="2">
        <f t="shared" si="28"/>
        <v>7</v>
      </c>
      <c r="R284" s="2">
        <f t="shared" si="29"/>
        <v>9</v>
      </c>
      <c r="S284">
        <f>SUMIF(Table1[product_category],"Bakery",Table1[Total_bill])</f>
        <v>2951.25</v>
      </c>
    </row>
    <row r="285" spans="1:19" x14ac:dyDescent="0.3">
      <c r="A285" s="2">
        <v>10284</v>
      </c>
      <c r="B285" s="4">
        <v>45915</v>
      </c>
      <c r="C285" t="s">
        <v>443</v>
      </c>
      <c r="D285" t="s">
        <v>18</v>
      </c>
      <c r="E285" t="s">
        <v>19</v>
      </c>
      <c r="F285" t="s">
        <v>152</v>
      </c>
      <c r="G285">
        <v>1</v>
      </c>
      <c r="H285" s="5">
        <v>24</v>
      </c>
      <c r="I285" t="s">
        <v>101</v>
      </c>
      <c r="J285" t="s">
        <v>102</v>
      </c>
      <c r="K285" t="s">
        <v>103</v>
      </c>
      <c r="L285" t="s">
        <v>2125</v>
      </c>
      <c r="M285" s="5">
        <f t="shared" si="25"/>
        <v>24</v>
      </c>
      <c r="N285" t="str">
        <f t="shared" si="26"/>
        <v>September</v>
      </c>
      <c r="O285" t="str">
        <f t="shared" si="27"/>
        <v>Monday</v>
      </c>
      <c r="P285">
        <f t="shared" si="24"/>
        <v>7</v>
      </c>
      <c r="Q285" s="2">
        <f t="shared" si="28"/>
        <v>1</v>
      </c>
      <c r="R285" s="2">
        <f t="shared" si="29"/>
        <v>9</v>
      </c>
      <c r="S285">
        <f>SUMIF(Table1[product_category],"Bakery",Table1[Total_bill])</f>
        <v>2951.25</v>
      </c>
    </row>
    <row r="286" spans="1:19" x14ac:dyDescent="0.3">
      <c r="A286" s="2">
        <v>10285</v>
      </c>
      <c r="B286" s="4">
        <v>45916</v>
      </c>
      <c r="C286" t="s">
        <v>444</v>
      </c>
      <c r="D286" t="s">
        <v>18</v>
      </c>
      <c r="E286" t="s">
        <v>19</v>
      </c>
      <c r="F286" t="s">
        <v>154</v>
      </c>
      <c r="G286">
        <v>2</v>
      </c>
      <c r="H286" s="5">
        <v>4.75</v>
      </c>
      <c r="I286" t="s">
        <v>32</v>
      </c>
      <c r="J286" t="s">
        <v>122</v>
      </c>
      <c r="K286" t="s">
        <v>122</v>
      </c>
      <c r="L286" t="s">
        <v>2123</v>
      </c>
      <c r="M286" s="5">
        <f t="shared" si="25"/>
        <v>9.5</v>
      </c>
      <c r="N286" t="str">
        <f t="shared" si="26"/>
        <v>September</v>
      </c>
      <c r="O286" t="str">
        <f t="shared" si="27"/>
        <v>Tuesday</v>
      </c>
      <c r="P286">
        <f t="shared" si="24"/>
        <v>13</v>
      </c>
      <c r="Q286" s="2">
        <f t="shared" si="28"/>
        <v>2</v>
      </c>
      <c r="R286" s="2">
        <f t="shared" si="29"/>
        <v>9</v>
      </c>
      <c r="S286">
        <f>SUMIF(Table1[product_category],"Bakery",Table1[Total_bill])</f>
        <v>2951.25</v>
      </c>
    </row>
    <row r="287" spans="1:19" x14ac:dyDescent="0.3">
      <c r="A287" s="2">
        <v>10286</v>
      </c>
      <c r="B287" s="4">
        <v>45917</v>
      </c>
      <c r="C287" t="s">
        <v>445</v>
      </c>
      <c r="D287" t="s">
        <v>18</v>
      </c>
      <c r="E287" t="s">
        <v>19</v>
      </c>
      <c r="F287" t="s">
        <v>156</v>
      </c>
      <c r="G287">
        <v>4</v>
      </c>
      <c r="H287" s="5">
        <v>4.25</v>
      </c>
      <c r="I287" t="s">
        <v>36</v>
      </c>
      <c r="J287" t="s">
        <v>211</v>
      </c>
      <c r="K287" t="s">
        <v>212</v>
      </c>
      <c r="L287" t="s">
        <v>2123</v>
      </c>
      <c r="M287" s="5">
        <f t="shared" si="25"/>
        <v>17</v>
      </c>
      <c r="N287" t="str">
        <f t="shared" si="26"/>
        <v>September</v>
      </c>
      <c r="O287" t="str">
        <f t="shared" si="27"/>
        <v>Wednesday</v>
      </c>
      <c r="P287">
        <f t="shared" si="24"/>
        <v>6</v>
      </c>
      <c r="Q287" s="2">
        <f t="shared" si="28"/>
        <v>3</v>
      </c>
      <c r="R287" s="2">
        <f t="shared" si="29"/>
        <v>9</v>
      </c>
      <c r="S287">
        <f>SUMIF(Table1[product_category],"Bakery",Table1[Total_bill])</f>
        <v>2951.25</v>
      </c>
    </row>
    <row r="288" spans="1:19" x14ac:dyDescent="0.3">
      <c r="A288" s="2">
        <v>10287</v>
      </c>
      <c r="B288" s="4">
        <v>45918</v>
      </c>
      <c r="C288" t="s">
        <v>446</v>
      </c>
      <c r="D288" t="s">
        <v>18</v>
      </c>
      <c r="E288" t="s">
        <v>19</v>
      </c>
      <c r="F288" t="s">
        <v>158</v>
      </c>
      <c r="G288">
        <v>3</v>
      </c>
      <c r="H288" s="5">
        <v>3.5</v>
      </c>
      <c r="I288" t="s">
        <v>36</v>
      </c>
      <c r="J288" t="s">
        <v>246</v>
      </c>
      <c r="K288" t="s">
        <v>247</v>
      </c>
      <c r="L288" t="s">
        <v>2123</v>
      </c>
      <c r="M288" s="5">
        <f t="shared" si="25"/>
        <v>10.5</v>
      </c>
      <c r="N288" t="str">
        <f t="shared" si="26"/>
        <v>September</v>
      </c>
      <c r="O288" t="str">
        <f t="shared" si="27"/>
        <v>Thursday</v>
      </c>
      <c r="P288">
        <f t="shared" si="24"/>
        <v>11</v>
      </c>
      <c r="Q288" s="2">
        <f t="shared" si="28"/>
        <v>4</v>
      </c>
      <c r="R288" s="2">
        <f t="shared" si="29"/>
        <v>9</v>
      </c>
      <c r="S288">
        <f>SUMIF(Table1[product_category],"Bakery",Table1[Total_bill])</f>
        <v>2951.25</v>
      </c>
    </row>
    <row r="289" spans="1:19" x14ac:dyDescent="0.3">
      <c r="A289" s="2">
        <v>10288</v>
      </c>
      <c r="B289" s="4">
        <v>45919</v>
      </c>
      <c r="C289" t="s">
        <v>447</v>
      </c>
      <c r="D289" t="s">
        <v>25</v>
      </c>
      <c r="E289" t="s">
        <v>26</v>
      </c>
      <c r="F289" t="s">
        <v>160</v>
      </c>
      <c r="G289">
        <v>4</v>
      </c>
      <c r="H289" s="5">
        <v>3.25</v>
      </c>
      <c r="I289" t="s">
        <v>21</v>
      </c>
      <c r="J289" t="s">
        <v>81</v>
      </c>
      <c r="K289" t="s">
        <v>113</v>
      </c>
      <c r="L289" t="s">
        <v>2125</v>
      </c>
      <c r="M289" s="5">
        <f t="shared" si="25"/>
        <v>13</v>
      </c>
      <c r="N289" t="str">
        <f t="shared" si="26"/>
        <v>September</v>
      </c>
      <c r="O289" t="str">
        <f t="shared" si="27"/>
        <v>Friday</v>
      </c>
      <c r="P289">
        <f t="shared" si="24"/>
        <v>12</v>
      </c>
      <c r="Q289" s="2">
        <f t="shared" si="28"/>
        <v>5</v>
      </c>
      <c r="R289" s="2">
        <f t="shared" si="29"/>
        <v>9</v>
      </c>
      <c r="S289">
        <f>SUMIF(Table1[product_category],"Bakery",Table1[Total_bill])</f>
        <v>2951.25</v>
      </c>
    </row>
    <row r="290" spans="1:19" x14ac:dyDescent="0.3">
      <c r="A290" s="2">
        <v>10289</v>
      </c>
      <c r="B290" s="4">
        <v>45920</v>
      </c>
      <c r="C290" t="s">
        <v>448</v>
      </c>
      <c r="D290" t="s">
        <v>18</v>
      </c>
      <c r="E290" t="s">
        <v>19</v>
      </c>
      <c r="F290" t="s">
        <v>162</v>
      </c>
      <c r="G290">
        <v>4</v>
      </c>
      <c r="H290" s="5">
        <v>14</v>
      </c>
      <c r="I290" t="s">
        <v>98</v>
      </c>
      <c r="J290" t="s">
        <v>98</v>
      </c>
      <c r="K290" t="s">
        <v>129</v>
      </c>
      <c r="L290" t="s">
        <v>2125</v>
      </c>
      <c r="M290" s="5">
        <f t="shared" si="25"/>
        <v>56</v>
      </c>
      <c r="N290" t="str">
        <f t="shared" si="26"/>
        <v>September</v>
      </c>
      <c r="O290" t="str">
        <f t="shared" si="27"/>
        <v>Saturday</v>
      </c>
      <c r="P290">
        <f t="shared" si="24"/>
        <v>9</v>
      </c>
      <c r="Q290" s="2">
        <f t="shared" si="28"/>
        <v>6</v>
      </c>
      <c r="R290" s="2">
        <f t="shared" si="29"/>
        <v>9</v>
      </c>
      <c r="S290">
        <f>SUMIF(Table1[product_category],"Bakery",Table1[Total_bill])</f>
        <v>2951.25</v>
      </c>
    </row>
    <row r="291" spans="1:19" x14ac:dyDescent="0.3">
      <c r="A291" s="2">
        <v>10290</v>
      </c>
      <c r="B291" s="4">
        <v>45921</v>
      </c>
      <c r="C291" t="s">
        <v>449</v>
      </c>
      <c r="D291" t="s">
        <v>18</v>
      </c>
      <c r="E291" t="s">
        <v>19</v>
      </c>
      <c r="F291" t="s">
        <v>164</v>
      </c>
      <c r="G291">
        <v>4</v>
      </c>
      <c r="H291" s="5">
        <v>24</v>
      </c>
      <c r="I291" t="s">
        <v>101</v>
      </c>
      <c r="J291" t="s">
        <v>102</v>
      </c>
      <c r="K291" t="s">
        <v>103</v>
      </c>
      <c r="L291" t="s">
        <v>2125</v>
      </c>
      <c r="M291" s="5">
        <f t="shared" si="25"/>
        <v>96</v>
      </c>
      <c r="N291" t="str">
        <f t="shared" si="26"/>
        <v>September</v>
      </c>
      <c r="O291" t="str">
        <f t="shared" si="27"/>
        <v>Sunday</v>
      </c>
      <c r="P291">
        <f t="shared" si="24"/>
        <v>13</v>
      </c>
      <c r="Q291" s="2">
        <f t="shared" si="28"/>
        <v>7</v>
      </c>
      <c r="R291" s="2">
        <f t="shared" si="29"/>
        <v>9</v>
      </c>
      <c r="S291">
        <f>SUMIF(Table1[product_category],"Bakery",Table1[Total_bill])</f>
        <v>2951.25</v>
      </c>
    </row>
    <row r="292" spans="1:19" x14ac:dyDescent="0.3">
      <c r="A292" s="2">
        <v>10291</v>
      </c>
      <c r="B292" s="4">
        <v>45922</v>
      </c>
      <c r="C292" t="s">
        <v>450</v>
      </c>
      <c r="D292" t="s">
        <v>18</v>
      </c>
      <c r="E292" t="s">
        <v>19</v>
      </c>
      <c r="F292" t="s">
        <v>166</v>
      </c>
      <c r="G292">
        <v>1</v>
      </c>
      <c r="H292" s="5">
        <v>4.75</v>
      </c>
      <c r="I292" t="s">
        <v>32</v>
      </c>
      <c r="J292" t="s">
        <v>122</v>
      </c>
      <c r="K292" t="s">
        <v>122</v>
      </c>
      <c r="L292" t="s">
        <v>2123</v>
      </c>
      <c r="M292" s="5">
        <f t="shared" si="25"/>
        <v>4.75</v>
      </c>
      <c r="N292" t="str">
        <f t="shared" si="26"/>
        <v>September</v>
      </c>
      <c r="O292" t="str">
        <f t="shared" si="27"/>
        <v>Monday</v>
      </c>
      <c r="P292">
        <f t="shared" si="24"/>
        <v>6</v>
      </c>
      <c r="Q292" s="2">
        <f t="shared" si="28"/>
        <v>1</v>
      </c>
      <c r="R292" s="2">
        <f t="shared" si="29"/>
        <v>9</v>
      </c>
      <c r="S292">
        <f>SUMIF(Table1[product_category],"Bakery",Table1[Total_bill])</f>
        <v>2951.25</v>
      </c>
    </row>
    <row r="293" spans="1:19" x14ac:dyDescent="0.3">
      <c r="A293" s="2">
        <v>10292</v>
      </c>
      <c r="B293" s="4">
        <v>45923</v>
      </c>
      <c r="C293" t="s">
        <v>451</v>
      </c>
      <c r="D293" t="s">
        <v>40</v>
      </c>
      <c r="E293" t="s">
        <v>41</v>
      </c>
      <c r="F293" t="s">
        <v>168</v>
      </c>
      <c r="G293">
        <v>1</v>
      </c>
      <c r="H293" s="5">
        <v>8</v>
      </c>
      <c r="I293" t="s">
        <v>28</v>
      </c>
      <c r="J293" t="s">
        <v>28</v>
      </c>
      <c r="K293" t="s">
        <v>76</v>
      </c>
      <c r="L293" t="s">
        <v>2125</v>
      </c>
      <c r="M293" s="5">
        <f t="shared" si="25"/>
        <v>8</v>
      </c>
      <c r="N293" t="str">
        <f t="shared" si="26"/>
        <v>September</v>
      </c>
      <c r="O293" t="str">
        <f t="shared" si="27"/>
        <v>Tuesday</v>
      </c>
      <c r="P293">
        <f t="shared" si="24"/>
        <v>6</v>
      </c>
      <c r="Q293" s="2">
        <f t="shared" si="28"/>
        <v>2</v>
      </c>
      <c r="R293" s="2">
        <f t="shared" si="29"/>
        <v>9</v>
      </c>
      <c r="S293">
        <f>SUMIF(Table1[product_category],"Bakery",Table1[Total_bill])</f>
        <v>2951.25</v>
      </c>
    </row>
    <row r="294" spans="1:19" x14ac:dyDescent="0.3">
      <c r="A294" s="2">
        <v>10293</v>
      </c>
      <c r="B294" s="4">
        <v>45924</v>
      </c>
      <c r="C294" t="s">
        <v>452</v>
      </c>
      <c r="D294" t="s">
        <v>40</v>
      </c>
      <c r="E294" t="s">
        <v>41</v>
      </c>
      <c r="F294" t="s">
        <v>170</v>
      </c>
      <c r="G294">
        <v>3</v>
      </c>
      <c r="H294" s="5">
        <v>3.5</v>
      </c>
      <c r="I294" t="s">
        <v>32</v>
      </c>
      <c r="J294" t="s">
        <v>33</v>
      </c>
      <c r="K294" t="s">
        <v>33</v>
      </c>
      <c r="L294" t="s">
        <v>2122</v>
      </c>
      <c r="M294" s="5">
        <f t="shared" si="25"/>
        <v>10.5</v>
      </c>
      <c r="N294" t="str">
        <f t="shared" si="26"/>
        <v>September</v>
      </c>
      <c r="O294" t="str">
        <f t="shared" si="27"/>
        <v>Wednesday</v>
      </c>
      <c r="P294">
        <f t="shared" si="24"/>
        <v>16</v>
      </c>
      <c r="Q294" s="2">
        <f t="shared" si="28"/>
        <v>3</v>
      </c>
      <c r="R294" s="2">
        <f t="shared" si="29"/>
        <v>9</v>
      </c>
      <c r="S294">
        <f>SUMIF(Table1[product_category],"Bakery",Table1[Total_bill])</f>
        <v>2951.25</v>
      </c>
    </row>
    <row r="295" spans="1:19" x14ac:dyDescent="0.3">
      <c r="A295" s="2">
        <v>10294</v>
      </c>
      <c r="B295" s="4">
        <v>45925</v>
      </c>
      <c r="C295" t="s">
        <v>453</v>
      </c>
      <c r="D295" t="s">
        <v>25</v>
      </c>
      <c r="E295" t="s">
        <v>26</v>
      </c>
      <c r="F295" t="s">
        <v>172</v>
      </c>
      <c r="G295">
        <v>1</v>
      </c>
      <c r="H295" s="5">
        <v>13</v>
      </c>
      <c r="I295" t="s">
        <v>98</v>
      </c>
      <c r="J295" t="s">
        <v>98</v>
      </c>
      <c r="K295" t="s">
        <v>95</v>
      </c>
      <c r="L295" t="s">
        <v>2125</v>
      </c>
      <c r="M295" s="5">
        <f t="shared" si="25"/>
        <v>13</v>
      </c>
      <c r="N295" t="str">
        <f t="shared" si="26"/>
        <v>September</v>
      </c>
      <c r="O295" t="str">
        <f t="shared" si="27"/>
        <v>Thursday</v>
      </c>
      <c r="P295">
        <f t="shared" si="24"/>
        <v>10</v>
      </c>
      <c r="Q295" s="2">
        <f t="shared" si="28"/>
        <v>4</v>
      </c>
      <c r="R295" s="2">
        <f t="shared" si="29"/>
        <v>9</v>
      </c>
      <c r="S295">
        <f>SUMIF(Table1[product_category],"Bakery",Table1[Total_bill])</f>
        <v>2951.25</v>
      </c>
    </row>
    <row r="296" spans="1:19" x14ac:dyDescent="0.3">
      <c r="A296" s="2">
        <v>10295</v>
      </c>
      <c r="B296" s="4">
        <v>45926</v>
      </c>
      <c r="C296" t="s">
        <v>454</v>
      </c>
      <c r="D296" t="s">
        <v>40</v>
      </c>
      <c r="E296" t="s">
        <v>41</v>
      </c>
      <c r="F296" t="s">
        <v>174</v>
      </c>
      <c r="G296">
        <v>1</v>
      </c>
      <c r="H296" s="5">
        <v>3</v>
      </c>
      <c r="I296" t="s">
        <v>32</v>
      </c>
      <c r="J296" t="s">
        <v>226</v>
      </c>
      <c r="K296" t="s">
        <v>227</v>
      </c>
      <c r="L296" t="s">
        <v>2124</v>
      </c>
      <c r="M296" s="5">
        <f t="shared" si="25"/>
        <v>3</v>
      </c>
      <c r="N296" t="str">
        <f t="shared" si="26"/>
        <v>September</v>
      </c>
      <c r="O296" t="str">
        <f t="shared" si="27"/>
        <v>Friday</v>
      </c>
      <c r="P296">
        <f t="shared" si="24"/>
        <v>7</v>
      </c>
      <c r="Q296" s="2">
        <f t="shared" si="28"/>
        <v>5</v>
      </c>
      <c r="R296" s="2">
        <f t="shared" si="29"/>
        <v>9</v>
      </c>
      <c r="S296">
        <f>SUMIF(Table1[product_category],"Bakery",Table1[Total_bill])</f>
        <v>2951.25</v>
      </c>
    </row>
    <row r="297" spans="1:19" x14ac:dyDescent="0.3">
      <c r="A297" s="2">
        <v>10296</v>
      </c>
      <c r="B297" s="4">
        <v>45927</v>
      </c>
      <c r="C297" t="s">
        <v>455</v>
      </c>
      <c r="D297" t="s">
        <v>25</v>
      </c>
      <c r="E297" t="s">
        <v>26</v>
      </c>
      <c r="F297" t="s">
        <v>176</v>
      </c>
      <c r="G297">
        <v>3</v>
      </c>
      <c r="H297" s="5">
        <v>3.5</v>
      </c>
      <c r="I297" t="s">
        <v>89</v>
      </c>
      <c r="J297" t="s">
        <v>261</v>
      </c>
      <c r="K297" t="s">
        <v>261</v>
      </c>
      <c r="L297" t="s">
        <v>2122</v>
      </c>
      <c r="M297" s="5">
        <f t="shared" si="25"/>
        <v>10.5</v>
      </c>
      <c r="N297" t="str">
        <f t="shared" si="26"/>
        <v>September</v>
      </c>
      <c r="O297" t="str">
        <f t="shared" si="27"/>
        <v>Saturday</v>
      </c>
      <c r="P297">
        <f t="shared" si="24"/>
        <v>12</v>
      </c>
      <c r="Q297" s="2">
        <f t="shared" si="28"/>
        <v>6</v>
      </c>
      <c r="R297" s="2">
        <f t="shared" si="29"/>
        <v>9</v>
      </c>
      <c r="S297">
        <f>SUMIF(Table1[product_category],"Bakery",Table1[Total_bill])</f>
        <v>2951.25</v>
      </c>
    </row>
    <row r="298" spans="1:19" x14ac:dyDescent="0.3">
      <c r="A298" s="2">
        <v>10297</v>
      </c>
      <c r="B298" s="4">
        <v>45928</v>
      </c>
      <c r="C298" t="s">
        <v>456</v>
      </c>
      <c r="D298" t="s">
        <v>25</v>
      </c>
      <c r="E298" t="s">
        <v>26</v>
      </c>
      <c r="F298" t="s">
        <v>178</v>
      </c>
      <c r="G298">
        <v>2</v>
      </c>
      <c r="H298" s="5">
        <v>2.5</v>
      </c>
      <c r="I298" t="s">
        <v>21</v>
      </c>
      <c r="J298" t="s">
        <v>47</v>
      </c>
      <c r="K298" t="s">
        <v>48</v>
      </c>
      <c r="L298" t="s">
        <v>2125</v>
      </c>
      <c r="M298" s="5">
        <f t="shared" si="25"/>
        <v>5</v>
      </c>
      <c r="N298" t="str">
        <f t="shared" si="26"/>
        <v>September</v>
      </c>
      <c r="O298" t="str">
        <f t="shared" si="27"/>
        <v>Sunday</v>
      </c>
      <c r="P298">
        <f t="shared" si="24"/>
        <v>15</v>
      </c>
      <c r="Q298" s="2">
        <f t="shared" si="28"/>
        <v>7</v>
      </c>
      <c r="R298" s="2">
        <f t="shared" si="29"/>
        <v>9</v>
      </c>
      <c r="S298">
        <f>SUMIF(Table1[product_category],"Bakery",Table1[Total_bill])</f>
        <v>2951.25</v>
      </c>
    </row>
    <row r="299" spans="1:19" x14ac:dyDescent="0.3">
      <c r="A299" s="2">
        <v>10298</v>
      </c>
      <c r="B299" s="4">
        <v>45929</v>
      </c>
      <c r="C299" t="s">
        <v>457</v>
      </c>
      <c r="D299" t="s">
        <v>40</v>
      </c>
      <c r="E299" t="s">
        <v>41</v>
      </c>
      <c r="F299" t="s">
        <v>180</v>
      </c>
      <c r="G299">
        <v>4</v>
      </c>
      <c r="H299" s="5">
        <v>4.75</v>
      </c>
      <c r="I299" t="s">
        <v>32</v>
      </c>
      <c r="J299" t="s">
        <v>122</v>
      </c>
      <c r="K299" t="s">
        <v>122</v>
      </c>
      <c r="L299" t="s">
        <v>2123</v>
      </c>
      <c r="M299" s="5">
        <f t="shared" si="25"/>
        <v>19</v>
      </c>
      <c r="N299" t="str">
        <f t="shared" si="26"/>
        <v>September</v>
      </c>
      <c r="O299" t="str">
        <f t="shared" si="27"/>
        <v>Monday</v>
      </c>
      <c r="P299">
        <f t="shared" si="24"/>
        <v>8</v>
      </c>
      <c r="Q299" s="2">
        <f t="shared" si="28"/>
        <v>1</v>
      </c>
      <c r="R299" s="2">
        <f t="shared" si="29"/>
        <v>9</v>
      </c>
      <c r="S299">
        <f>SUMIF(Table1[product_category],"Bakery",Table1[Total_bill])</f>
        <v>2951.25</v>
      </c>
    </row>
    <row r="300" spans="1:19" x14ac:dyDescent="0.3">
      <c r="A300" s="2">
        <v>10299</v>
      </c>
      <c r="B300" s="4">
        <v>45930</v>
      </c>
      <c r="C300" t="s">
        <v>458</v>
      </c>
      <c r="D300" t="s">
        <v>25</v>
      </c>
      <c r="E300" t="s">
        <v>26</v>
      </c>
      <c r="F300" t="s">
        <v>184</v>
      </c>
      <c r="G300">
        <v>2</v>
      </c>
      <c r="H300" s="5">
        <v>3</v>
      </c>
      <c r="I300" t="s">
        <v>32</v>
      </c>
      <c r="J300" t="s">
        <v>226</v>
      </c>
      <c r="K300" t="s">
        <v>227</v>
      </c>
      <c r="L300" t="s">
        <v>2124</v>
      </c>
      <c r="M300" s="5">
        <f t="shared" si="25"/>
        <v>6</v>
      </c>
      <c r="N300" t="str">
        <f t="shared" si="26"/>
        <v>September</v>
      </c>
      <c r="O300" t="str">
        <f t="shared" si="27"/>
        <v>Tuesday</v>
      </c>
      <c r="P300">
        <f t="shared" si="24"/>
        <v>13</v>
      </c>
      <c r="Q300" s="2">
        <f t="shared" si="28"/>
        <v>2</v>
      </c>
      <c r="R300" s="2">
        <f t="shared" si="29"/>
        <v>9</v>
      </c>
      <c r="S300">
        <f>SUMIF(Table1[product_category],"Bakery",Table1[Total_bill])</f>
        <v>2951.25</v>
      </c>
    </row>
    <row r="301" spans="1:19" x14ac:dyDescent="0.3">
      <c r="A301" s="2">
        <v>10300</v>
      </c>
      <c r="B301" s="4">
        <v>45931</v>
      </c>
      <c r="C301" t="s">
        <v>459</v>
      </c>
      <c r="D301" t="s">
        <v>18</v>
      </c>
      <c r="E301" t="s">
        <v>19</v>
      </c>
      <c r="F301" t="s">
        <v>186</v>
      </c>
      <c r="G301">
        <v>4</v>
      </c>
      <c r="H301" s="5">
        <v>24</v>
      </c>
      <c r="I301" t="s">
        <v>101</v>
      </c>
      <c r="J301" t="s">
        <v>102</v>
      </c>
      <c r="K301" t="s">
        <v>103</v>
      </c>
      <c r="L301" t="s">
        <v>2125</v>
      </c>
      <c r="M301" s="5">
        <f t="shared" si="25"/>
        <v>96</v>
      </c>
      <c r="N301" t="str">
        <f t="shared" si="26"/>
        <v>October</v>
      </c>
      <c r="O301" t="str">
        <f t="shared" si="27"/>
        <v>Wednesday</v>
      </c>
      <c r="P301">
        <f t="shared" si="24"/>
        <v>7</v>
      </c>
      <c r="Q301" s="2">
        <f t="shared" si="28"/>
        <v>3</v>
      </c>
      <c r="R301" s="2">
        <f t="shared" si="29"/>
        <v>10</v>
      </c>
      <c r="S301">
        <f>SUMIF(Table1[product_category],"Bakery",Table1[Total_bill])</f>
        <v>2951.25</v>
      </c>
    </row>
    <row r="302" spans="1:19" x14ac:dyDescent="0.3">
      <c r="A302" s="2">
        <v>10301</v>
      </c>
      <c r="B302" s="4">
        <v>45932</v>
      </c>
      <c r="C302" t="s">
        <v>460</v>
      </c>
      <c r="D302" t="s">
        <v>25</v>
      </c>
      <c r="E302" t="s">
        <v>26</v>
      </c>
      <c r="F302" t="s">
        <v>188</v>
      </c>
      <c r="G302">
        <v>1</v>
      </c>
      <c r="H302" s="5">
        <v>3.25</v>
      </c>
      <c r="I302" t="s">
        <v>21</v>
      </c>
      <c r="J302" t="s">
        <v>81</v>
      </c>
      <c r="K302" t="s">
        <v>113</v>
      </c>
      <c r="L302" t="s">
        <v>2125</v>
      </c>
      <c r="M302" s="5">
        <f t="shared" si="25"/>
        <v>3.25</v>
      </c>
      <c r="N302" t="str">
        <f t="shared" si="26"/>
        <v>October</v>
      </c>
      <c r="O302" t="str">
        <f t="shared" si="27"/>
        <v>Thursday</v>
      </c>
      <c r="P302">
        <f t="shared" si="24"/>
        <v>6</v>
      </c>
      <c r="Q302" s="2">
        <f t="shared" si="28"/>
        <v>4</v>
      </c>
      <c r="R302" s="2">
        <f t="shared" si="29"/>
        <v>10</v>
      </c>
      <c r="S302">
        <f>SUMIF(Table1[product_category],"Bakery",Table1[Total_bill])</f>
        <v>2951.25</v>
      </c>
    </row>
    <row r="303" spans="1:19" x14ac:dyDescent="0.3">
      <c r="A303" s="2">
        <v>10302</v>
      </c>
      <c r="B303" s="4">
        <v>45933</v>
      </c>
      <c r="C303" t="s">
        <v>461</v>
      </c>
      <c r="D303" t="s">
        <v>18</v>
      </c>
      <c r="E303" t="s">
        <v>19</v>
      </c>
      <c r="F303" t="s">
        <v>190</v>
      </c>
      <c r="G303">
        <v>1</v>
      </c>
      <c r="H303" s="5">
        <v>5.5</v>
      </c>
      <c r="I303" t="s">
        <v>72</v>
      </c>
      <c r="J303" t="s">
        <v>72</v>
      </c>
      <c r="K303" t="s">
        <v>73</v>
      </c>
      <c r="L303" t="s">
        <v>2125</v>
      </c>
      <c r="M303" s="5">
        <f t="shared" si="25"/>
        <v>5.5</v>
      </c>
      <c r="N303" t="str">
        <f t="shared" si="26"/>
        <v>October</v>
      </c>
      <c r="O303" t="str">
        <f t="shared" si="27"/>
        <v>Friday</v>
      </c>
      <c r="P303">
        <f t="shared" si="24"/>
        <v>12</v>
      </c>
      <c r="Q303" s="2">
        <f t="shared" si="28"/>
        <v>5</v>
      </c>
      <c r="R303" s="2">
        <f t="shared" si="29"/>
        <v>10</v>
      </c>
      <c r="S303">
        <f>SUMIF(Table1[product_category],"Bakery",Table1[Total_bill])</f>
        <v>2951.25</v>
      </c>
    </row>
    <row r="304" spans="1:19" x14ac:dyDescent="0.3">
      <c r="A304" s="2">
        <v>10303</v>
      </c>
      <c r="B304" s="4">
        <v>45934</v>
      </c>
      <c r="C304" t="s">
        <v>462</v>
      </c>
      <c r="D304" t="s">
        <v>40</v>
      </c>
      <c r="E304" t="s">
        <v>41</v>
      </c>
      <c r="F304" t="s">
        <v>192</v>
      </c>
      <c r="G304">
        <v>1</v>
      </c>
      <c r="H304" s="5">
        <v>9.5</v>
      </c>
      <c r="I304" t="s">
        <v>28</v>
      </c>
      <c r="J304" t="s">
        <v>28</v>
      </c>
      <c r="K304" t="s">
        <v>29</v>
      </c>
      <c r="L304" t="s">
        <v>2125</v>
      </c>
      <c r="M304" s="5">
        <f t="shared" si="25"/>
        <v>9.5</v>
      </c>
      <c r="N304" t="str">
        <f t="shared" si="26"/>
        <v>October</v>
      </c>
      <c r="O304" t="str">
        <f t="shared" si="27"/>
        <v>Saturday</v>
      </c>
      <c r="P304">
        <f t="shared" si="24"/>
        <v>12</v>
      </c>
      <c r="Q304" s="2">
        <f t="shared" si="28"/>
        <v>6</v>
      </c>
      <c r="R304" s="2">
        <f t="shared" si="29"/>
        <v>10</v>
      </c>
      <c r="S304">
        <f>SUMIF(Table1[product_category],"Bakery",Table1[Total_bill])</f>
        <v>2951.25</v>
      </c>
    </row>
    <row r="305" spans="1:19" x14ac:dyDescent="0.3">
      <c r="A305" s="2">
        <v>10304</v>
      </c>
      <c r="B305" s="4">
        <v>45935</v>
      </c>
      <c r="C305" t="s">
        <v>463</v>
      </c>
      <c r="D305" t="s">
        <v>25</v>
      </c>
      <c r="E305" t="s">
        <v>26</v>
      </c>
      <c r="F305" t="s">
        <v>195</v>
      </c>
      <c r="G305">
        <v>4</v>
      </c>
      <c r="H305" s="5">
        <v>4.75</v>
      </c>
      <c r="I305" t="s">
        <v>32</v>
      </c>
      <c r="J305" t="s">
        <v>202</v>
      </c>
      <c r="K305" t="s">
        <v>202</v>
      </c>
      <c r="L305" t="s">
        <v>2123</v>
      </c>
      <c r="M305" s="5">
        <f t="shared" si="25"/>
        <v>19</v>
      </c>
      <c r="N305" t="str">
        <f t="shared" si="26"/>
        <v>October</v>
      </c>
      <c r="O305" t="str">
        <f t="shared" si="27"/>
        <v>Sunday</v>
      </c>
      <c r="P305">
        <f t="shared" si="24"/>
        <v>13</v>
      </c>
      <c r="Q305" s="2">
        <f t="shared" si="28"/>
        <v>7</v>
      </c>
      <c r="R305" s="2">
        <f t="shared" si="29"/>
        <v>10</v>
      </c>
      <c r="S305">
        <f>SUMIF(Table1[product_category],"Bakery",Table1[Total_bill])</f>
        <v>2951.25</v>
      </c>
    </row>
    <row r="306" spans="1:19" x14ac:dyDescent="0.3">
      <c r="A306" s="2">
        <v>10305</v>
      </c>
      <c r="B306" s="4">
        <v>45936</v>
      </c>
      <c r="C306" t="s">
        <v>464</v>
      </c>
      <c r="D306" t="s">
        <v>25</v>
      </c>
      <c r="E306" t="s">
        <v>26</v>
      </c>
      <c r="F306" t="s">
        <v>197</v>
      </c>
      <c r="G306">
        <v>2</v>
      </c>
      <c r="H306" s="5">
        <v>11</v>
      </c>
      <c r="I306" t="s">
        <v>98</v>
      </c>
      <c r="J306" t="s">
        <v>98</v>
      </c>
      <c r="K306" t="s">
        <v>215</v>
      </c>
      <c r="L306" t="s">
        <v>2125</v>
      </c>
      <c r="M306" s="5">
        <f t="shared" si="25"/>
        <v>22</v>
      </c>
      <c r="N306" t="str">
        <f t="shared" si="26"/>
        <v>October</v>
      </c>
      <c r="O306" t="str">
        <f t="shared" si="27"/>
        <v>Monday</v>
      </c>
      <c r="P306">
        <f t="shared" si="24"/>
        <v>15</v>
      </c>
      <c r="Q306" s="2">
        <f t="shared" si="28"/>
        <v>1</v>
      </c>
      <c r="R306" s="2">
        <f t="shared" si="29"/>
        <v>10</v>
      </c>
      <c r="S306">
        <f>SUMIF(Table1[product_category],"Bakery",Table1[Total_bill])</f>
        <v>2951.25</v>
      </c>
    </row>
    <row r="307" spans="1:19" x14ac:dyDescent="0.3">
      <c r="A307" s="2">
        <v>10306</v>
      </c>
      <c r="B307" s="4">
        <v>45937</v>
      </c>
      <c r="C307" t="s">
        <v>465</v>
      </c>
      <c r="D307" t="s">
        <v>18</v>
      </c>
      <c r="E307" t="s">
        <v>19</v>
      </c>
      <c r="F307" t="s">
        <v>199</v>
      </c>
      <c r="G307">
        <v>1</v>
      </c>
      <c r="H307" s="5">
        <v>2.25</v>
      </c>
      <c r="I307" t="s">
        <v>21</v>
      </c>
      <c r="J307" t="s">
        <v>58</v>
      </c>
      <c r="K307" t="s">
        <v>59</v>
      </c>
      <c r="L307" t="s">
        <v>2125</v>
      </c>
      <c r="M307" s="5">
        <f t="shared" si="25"/>
        <v>2.25</v>
      </c>
      <c r="N307" t="str">
        <f t="shared" si="26"/>
        <v>October</v>
      </c>
      <c r="O307" t="str">
        <f t="shared" si="27"/>
        <v>Tuesday</v>
      </c>
      <c r="P307">
        <f t="shared" si="24"/>
        <v>20</v>
      </c>
      <c r="Q307" s="2">
        <f t="shared" si="28"/>
        <v>2</v>
      </c>
      <c r="R307" s="2">
        <f t="shared" si="29"/>
        <v>10</v>
      </c>
      <c r="S307">
        <f>SUMIF(Table1[product_category],"Bakery",Table1[Total_bill])</f>
        <v>2951.25</v>
      </c>
    </row>
    <row r="308" spans="1:19" x14ac:dyDescent="0.3">
      <c r="A308" s="2">
        <v>10307</v>
      </c>
      <c r="B308" s="4">
        <v>45938</v>
      </c>
      <c r="C308" t="s">
        <v>466</v>
      </c>
      <c r="D308" t="s">
        <v>18</v>
      </c>
      <c r="E308" t="s">
        <v>19</v>
      </c>
      <c r="F308" t="s">
        <v>201</v>
      </c>
      <c r="G308">
        <v>1</v>
      </c>
      <c r="H308" s="5">
        <v>8</v>
      </c>
      <c r="I308" t="s">
        <v>28</v>
      </c>
      <c r="J308" t="s">
        <v>28</v>
      </c>
      <c r="K308" t="s">
        <v>76</v>
      </c>
      <c r="L308" t="s">
        <v>2125</v>
      </c>
      <c r="M308" s="5">
        <f t="shared" si="25"/>
        <v>8</v>
      </c>
      <c r="N308" t="str">
        <f t="shared" si="26"/>
        <v>October</v>
      </c>
      <c r="O308" t="str">
        <f t="shared" si="27"/>
        <v>Wednesday</v>
      </c>
      <c r="P308">
        <f t="shared" si="24"/>
        <v>12</v>
      </c>
      <c r="Q308" s="2">
        <f t="shared" si="28"/>
        <v>3</v>
      </c>
      <c r="R308" s="2">
        <f t="shared" si="29"/>
        <v>10</v>
      </c>
      <c r="S308">
        <f>SUMIF(Table1[product_category],"Bakery",Table1[Total_bill])</f>
        <v>2951.25</v>
      </c>
    </row>
    <row r="309" spans="1:19" x14ac:dyDescent="0.3">
      <c r="A309" s="2">
        <v>10308</v>
      </c>
      <c r="B309" s="4">
        <v>45939</v>
      </c>
      <c r="C309" t="s">
        <v>467</v>
      </c>
      <c r="D309" t="s">
        <v>25</v>
      </c>
      <c r="E309" t="s">
        <v>26</v>
      </c>
      <c r="F309" t="s">
        <v>204</v>
      </c>
      <c r="G309">
        <v>3</v>
      </c>
      <c r="H309" s="5">
        <v>4</v>
      </c>
      <c r="I309" t="s">
        <v>89</v>
      </c>
      <c r="J309" t="s">
        <v>261</v>
      </c>
      <c r="K309" t="s">
        <v>261</v>
      </c>
      <c r="L309" t="s">
        <v>2124</v>
      </c>
      <c r="M309" s="5">
        <f t="shared" si="25"/>
        <v>12</v>
      </c>
      <c r="N309" t="str">
        <f t="shared" si="26"/>
        <v>October</v>
      </c>
      <c r="O309" t="str">
        <f t="shared" si="27"/>
        <v>Thursday</v>
      </c>
      <c r="P309">
        <f t="shared" si="24"/>
        <v>9</v>
      </c>
      <c r="Q309" s="2">
        <f t="shared" si="28"/>
        <v>4</v>
      </c>
      <c r="R309" s="2">
        <f t="shared" si="29"/>
        <v>10</v>
      </c>
      <c r="S309">
        <f>SUMIF(Table1[product_category],"Bakery",Table1[Total_bill])</f>
        <v>2951.25</v>
      </c>
    </row>
    <row r="310" spans="1:19" x14ac:dyDescent="0.3">
      <c r="A310" s="2">
        <v>10309</v>
      </c>
      <c r="B310" s="4">
        <v>45940</v>
      </c>
      <c r="C310" t="s">
        <v>468</v>
      </c>
      <c r="D310" t="s">
        <v>25</v>
      </c>
      <c r="E310" t="s">
        <v>26</v>
      </c>
      <c r="F310" t="s">
        <v>206</v>
      </c>
      <c r="G310">
        <v>2</v>
      </c>
      <c r="H310" s="5">
        <v>3.5</v>
      </c>
      <c r="I310" t="s">
        <v>21</v>
      </c>
      <c r="J310" t="s">
        <v>51</v>
      </c>
      <c r="K310" t="s">
        <v>52</v>
      </c>
      <c r="L310" t="s">
        <v>2125</v>
      </c>
      <c r="M310" s="5">
        <f t="shared" si="25"/>
        <v>7</v>
      </c>
      <c r="N310" t="str">
        <f t="shared" si="26"/>
        <v>October</v>
      </c>
      <c r="O310" t="str">
        <f t="shared" si="27"/>
        <v>Friday</v>
      </c>
      <c r="P310">
        <f t="shared" si="24"/>
        <v>16</v>
      </c>
      <c r="Q310" s="2">
        <f t="shared" si="28"/>
        <v>5</v>
      </c>
      <c r="R310" s="2">
        <f t="shared" si="29"/>
        <v>10</v>
      </c>
      <c r="S310">
        <f>SUMIF(Table1[product_category],"Bakery",Table1[Total_bill])</f>
        <v>2951.25</v>
      </c>
    </row>
    <row r="311" spans="1:19" x14ac:dyDescent="0.3">
      <c r="A311" s="2">
        <v>10310</v>
      </c>
      <c r="B311" s="4">
        <v>45941</v>
      </c>
      <c r="C311" t="s">
        <v>469</v>
      </c>
      <c r="D311" t="s">
        <v>18</v>
      </c>
      <c r="E311" t="s">
        <v>19</v>
      </c>
      <c r="F311" t="s">
        <v>208</v>
      </c>
      <c r="G311">
        <v>2</v>
      </c>
      <c r="H311" s="5">
        <v>2.5</v>
      </c>
      <c r="I311" t="s">
        <v>21</v>
      </c>
      <c r="J311" t="s">
        <v>47</v>
      </c>
      <c r="K311" t="s">
        <v>48</v>
      </c>
      <c r="L311" t="s">
        <v>2125</v>
      </c>
      <c r="M311" s="5">
        <f t="shared" si="25"/>
        <v>5</v>
      </c>
      <c r="N311" t="str">
        <f t="shared" si="26"/>
        <v>October</v>
      </c>
      <c r="O311" t="str">
        <f t="shared" si="27"/>
        <v>Saturday</v>
      </c>
      <c r="P311">
        <f t="shared" si="24"/>
        <v>9</v>
      </c>
      <c r="Q311" s="2">
        <f t="shared" si="28"/>
        <v>6</v>
      </c>
      <c r="R311" s="2">
        <f t="shared" si="29"/>
        <v>10</v>
      </c>
      <c r="S311">
        <f>SUMIF(Table1[product_category],"Bakery",Table1[Total_bill])</f>
        <v>2951.25</v>
      </c>
    </row>
    <row r="312" spans="1:19" x14ac:dyDescent="0.3">
      <c r="A312" s="2">
        <v>10311</v>
      </c>
      <c r="B312" s="4">
        <v>45942</v>
      </c>
      <c r="C312" t="s">
        <v>470</v>
      </c>
      <c r="D312" t="s">
        <v>40</v>
      </c>
      <c r="E312" t="s">
        <v>41</v>
      </c>
      <c r="F312" t="s">
        <v>210</v>
      </c>
      <c r="G312">
        <v>4</v>
      </c>
      <c r="H312" s="5">
        <v>4.25</v>
      </c>
      <c r="I312" t="s">
        <v>36</v>
      </c>
      <c r="J312" t="s">
        <v>211</v>
      </c>
      <c r="K312" t="s">
        <v>239</v>
      </c>
      <c r="L312" t="s">
        <v>2123</v>
      </c>
      <c r="M312" s="5">
        <f t="shared" si="25"/>
        <v>17</v>
      </c>
      <c r="N312" t="str">
        <f t="shared" si="26"/>
        <v>October</v>
      </c>
      <c r="O312" t="str">
        <f t="shared" si="27"/>
        <v>Sunday</v>
      </c>
      <c r="P312">
        <f t="shared" si="24"/>
        <v>11</v>
      </c>
      <c r="Q312" s="2">
        <f t="shared" si="28"/>
        <v>7</v>
      </c>
      <c r="R312" s="2">
        <f t="shared" si="29"/>
        <v>10</v>
      </c>
      <c r="S312">
        <f>SUMIF(Table1[product_category],"Bakery",Table1[Total_bill])</f>
        <v>2951.25</v>
      </c>
    </row>
    <row r="313" spans="1:19" x14ac:dyDescent="0.3">
      <c r="A313" s="2">
        <v>10312</v>
      </c>
      <c r="B313" s="4">
        <v>45943</v>
      </c>
      <c r="C313" t="s">
        <v>471</v>
      </c>
      <c r="D313" t="s">
        <v>25</v>
      </c>
      <c r="E313" t="s">
        <v>26</v>
      </c>
      <c r="F313" t="s">
        <v>214</v>
      </c>
      <c r="G313">
        <v>4</v>
      </c>
      <c r="H313" s="5">
        <v>4</v>
      </c>
      <c r="I313" t="s">
        <v>32</v>
      </c>
      <c r="J313" t="s">
        <v>122</v>
      </c>
      <c r="K313" t="s">
        <v>122</v>
      </c>
      <c r="L313" t="s">
        <v>2124</v>
      </c>
      <c r="M313" s="5">
        <f t="shared" si="25"/>
        <v>16</v>
      </c>
      <c r="N313" t="str">
        <f t="shared" si="26"/>
        <v>October</v>
      </c>
      <c r="O313" t="str">
        <f t="shared" si="27"/>
        <v>Monday</v>
      </c>
      <c r="P313">
        <f t="shared" si="24"/>
        <v>7</v>
      </c>
      <c r="Q313" s="2">
        <f t="shared" si="28"/>
        <v>1</v>
      </c>
      <c r="R313" s="2">
        <f t="shared" si="29"/>
        <v>10</v>
      </c>
      <c r="S313">
        <f>SUMIF(Table1[product_category],"Bakery",Table1[Total_bill])</f>
        <v>2951.25</v>
      </c>
    </row>
    <row r="314" spans="1:19" x14ac:dyDescent="0.3">
      <c r="A314" s="2">
        <v>10313</v>
      </c>
      <c r="B314" s="4">
        <v>45944</v>
      </c>
      <c r="C314" t="s">
        <v>472</v>
      </c>
      <c r="D314" t="s">
        <v>25</v>
      </c>
      <c r="E314" t="s">
        <v>26</v>
      </c>
      <c r="F314" t="s">
        <v>217</v>
      </c>
      <c r="G314">
        <v>3</v>
      </c>
      <c r="H314" s="5">
        <v>2.5</v>
      </c>
      <c r="I314" t="s">
        <v>36</v>
      </c>
      <c r="J314" t="s">
        <v>37</v>
      </c>
      <c r="K314" t="s">
        <v>38</v>
      </c>
      <c r="L314" t="s">
        <v>2122</v>
      </c>
      <c r="M314" s="5">
        <f t="shared" si="25"/>
        <v>7.5</v>
      </c>
      <c r="N314" t="str">
        <f t="shared" si="26"/>
        <v>October</v>
      </c>
      <c r="O314" t="str">
        <f t="shared" si="27"/>
        <v>Tuesday</v>
      </c>
      <c r="P314">
        <f t="shared" si="24"/>
        <v>6</v>
      </c>
      <c r="Q314" s="2">
        <f t="shared" si="28"/>
        <v>2</v>
      </c>
      <c r="R314" s="2">
        <f t="shared" si="29"/>
        <v>10</v>
      </c>
      <c r="S314">
        <f>SUMIF(Table1[product_category],"Bakery",Table1[Total_bill])</f>
        <v>2951.25</v>
      </c>
    </row>
    <row r="315" spans="1:19" x14ac:dyDescent="0.3">
      <c r="A315" s="2">
        <v>10314</v>
      </c>
      <c r="B315" s="4">
        <v>45945</v>
      </c>
      <c r="C315" t="s">
        <v>473</v>
      </c>
      <c r="D315" t="s">
        <v>18</v>
      </c>
      <c r="E315" t="s">
        <v>19</v>
      </c>
      <c r="F315" t="s">
        <v>219</v>
      </c>
      <c r="G315">
        <v>3</v>
      </c>
      <c r="H315" s="5">
        <v>5.5</v>
      </c>
      <c r="I315" t="s">
        <v>72</v>
      </c>
      <c r="J315" t="s">
        <v>72</v>
      </c>
      <c r="K315" t="s">
        <v>141</v>
      </c>
      <c r="L315" t="s">
        <v>2125</v>
      </c>
      <c r="M315" s="5">
        <f t="shared" si="25"/>
        <v>16.5</v>
      </c>
      <c r="N315" t="str">
        <f t="shared" si="26"/>
        <v>October</v>
      </c>
      <c r="O315" t="str">
        <f t="shared" si="27"/>
        <v>Wednesday</v>
      </c>
      <c r="P315">
        <f t="shared" si="24"/>
        <v>20</v>
      </c>
      <c r="Q315" s="2">
        <f t="shared" si="28"/>
        <v>3</v>
      </c>
      <c r="R315" s="2">
        <f t="shared" si="29"/>
        <v>10</v>
      </c>
      <c r="S315">
        <f>SUMIF(Table1[product_category],"Bakery",Table1[Total_bill])</f>
        <v>2951.25</v>
      </c>
    </row>
    <row r="316" spans="1:19" x14ac:dyDescent="0.3">
      <c r="A316" s="2">
        <v>10315</v>
      </c>
      <c r="B316" s="4">
        <v>45946</v>
      </c>
      <c r="C316" t="s">
        <v>474</v>
      </c>
      <c r="D316" t="s">
        <v>25</v>
      </c>
      <c r="E316" t="s">
        <v>26</v>
      </c>
      <c r="F316" t="s">
        <v>221</v>
      </c>
      <c r="G316">
        <v>3</v>
      </c>
      <c r="H316" s="5">
        <v>3</v>
      </c>
      <c r="I316" t="s">
        <v>21</v>
      </c>
      <c r="J316" t="s">
        <v>181</v>
      </c>
      <c r="K316" t="s">
        <v>182</v>
      </c>
      <c r="L316" t="s">
        <v>2125</v>
      </c>
      <c r="M316" s="5">
        <f t="shared" si="25"/>
        <v>9</v>
      </c>
      <c r="N316" t="str">
        <f t="shared" si="26"/>
        <v>October</v>
      </c>
      <c r="O316" t="str">
        <f t="shared" si="27"/>
        <v>Thursday</v>
      </c>
      <c r="P316">
        <f t="shared" si="24"/>
        <v>16</v>
      </c>
      <c r="Q316" s="2">
        <f t="shared" si="28"/>
        <v>4</v>
      </c>
      <c r="R316" s="2">
        <f t="shared" si="29"/>
        <v>10</v>
      </c>
      <c r="S316">
        <f>SUMIF(Table1[product_category],"Bakery",Table1[Total_bill])</f>
        <v>2951.25</v>
      </c>
    </row>
    <row r="317" spans="1:19" x14ac:dyDescent="0.3">
      <c r="A317" s="2">
        <v>10316</v>
      </c>
      <c r="B317" s="4">
        <v>45947</v>
      </c>
      <c r="C317" t="s">
        <v>475</v>
      </c>
      <c r="D317" t="s">
        <v>40</v>
      </c>
      <c r="E317" t="s">
        <v>41</v>
      </c>
      <c r="F317" t="s">
        <v>223</v>
      </c>
      <c r="G317">
        <v>1</v>
      </c>
      <c r="H317" s="5">
        <v>2.75</v>
      </c>
      <c r="I317" t="s">
        <v>21</v>
      </c>
      <c r="J317" t="s">
        <v>22</v>
      </c>
      <c r="K317" t="s">
        <v>23</v>
      </c>
      <c r="L317" t="s">
        <v>2125</v>
      </c>
      <c r="M317" s="5">
        <f t="shared" si="25"/>
        <v>2.75</v>
      </c>
      <c r="N317" t="str">
        <f t="shared" si="26"/>
        <v>October</v>
      </c>
      <c r="O317" t="str">
        <f t="shared" si="27"/>
        <v>Friday</v>
      </c>
      <c r="P317">
        <f t="shared" si="24"/>
        <v>14</v>
      </c>
      <c r="Q317" s="2">
        <f t="shared" si="28"/>
        <v>5</v>
      </c>
      <c r="R317" s="2">
        <f t="shared" si="29"/>
        <v>10</v>
      </c>
      <c r="S317">
        <f>SUMIF(Table1[product_category],"Bakery",Table1[Total_bill])</f>
        <v>2951.25</v>
      </c>
    </row>
    <row r="318" spans="1:19" x14ac:dyDescent="0.3">
      <c r="A318" s="2">
        <v>10317</v>
      </c>
      <c r="B318" s="4">
        <v>45948</v>
      </c>
      <c r="C318" t="s">
        <v>476</v>
      </c>
      <c r="D318" t="s">
        <v>40</v>
      </c>
      <c r="E318" t="s">
        <v>41</v>
      </c>
      <c r="F318" t="s">
        <v>225</v>
      </c>
      <c r="G318">
        <v>4</v>
      </c>
      <c r="H318" s="5">
        <v>14</v>
      </c>
      <c r="I318" t="s">
        <v>98</v>
      </c>
      <c r="J318" t="s">
        <v>98</v>
      </c>
      <c r="K318" t="s">
        <v>129</v>
      </c>
      <c r="L318" t="s">
        <v>2125</v>
      </c>
      <c r="M318" s="5">
        <f t="shared" si="25"/>
        <v>56</v>
      </c>
      <c r="N318" t="str">
        <f t="shared" si="26"/>
        <v>October</v>
      </c>
      <c r="O318" t="str">
        <f t="shared" si="27"/>
        <v>Saturday</v>
      </c>
      <c r="P318">
        <f t="shared" si="24"/>
        <v>10</v>
      </c>
      <c r="Q318" s="2">
        <f t="shared" si="28"/>
        <v>6</v>
      </c>
      <c r="R318" s="2">
        <f t="shared" si="29"/>
        <v>10</v>
      </c>
      <c r="S318">
        <f>SUMIF(Table1[product_category],"Bakery",Table1[Total_bill])</f>
        <v>2951.25</v>
      </c>
    </row>
    <row r="319" spans="1:19" x14ac:dyDescent="0.3">
      <c r="A319" s="2">
        <v>10318</v>
      </c>
      <c r="B319" s="4">
        <v>45949</v>
      </c>
      <c r="C319" t="s">
        <v>477</v>
      </c>
      <c r="D319" t="s">
        <v>18</v>
      </c>
      <c r="E319" t="s">
        <v>19</v>
      </c>
      <c r="F319" t="s">
        <v>229</v>
      </c>
      <c r="G319">
        <v>3</v>
      </c>
      <c r="H319" s="5">
        <v>6</v>
      </c>
      <c r="I319" t="s">
        <v>72</v>
      </c>
      <c r="J319" t="s">
        <v>72</v>
      </c>
      <c r="K319" t="s">
        <v>138</v>
      </c>
      <c r="L319" t="s">
        <v>2125</v>
      </c>
      <c r="M319" s="5">
        <f t="shared" si="25"/>
        <v>18</v>
      </c>
      <c r="N319" t="str">
        <f t="shared" si="26"/>
        <v>October</v>
      </c>
      <c r="O319" t="str">
        <f t="shared" si="27"/>
        <v>Sunday</v>
      </c>
      <c r="P319">
        <f t="shared" si="24"/>
        <v>8</v>
      </c>
      <c r="Q319" s="2">
        <f t="shared" si="28"/>
        <v>7</v>
      </c>
      <c r="R319" s="2">
        <f t="shared" si="29"/>
        <v>10</v>
      </c>
      <c r="S319">
        <f>SUMIF(Table1[product_category],"Bakery",Table1[Total_bill])</f>
        <v>2951.25</v>
      </c>
    </row>
    <row r="320" spans="1:19" x14ac:dyDescent="0.3">
      <c r="A320" s="2">
        <v>10319</v>
      </c>
      <c r="B320" s="4">
        <v>45950</v>
      </c>
      <c r="C320" t="s">
        <v>478</v>
      </c>
      <c r="D320" t="s">
        <v>25</v>
      </c>
      <c r="E320" t="s">
        <v>26</v>
      </c>
      <c r="F320" t="s">
        <v>231</v>
      </c>
      <c r="G320">
        <v>1</v>
      </c>
      <c r="H320" s="5">
        <v>13</v>
      </c>
      <c r="I320" t="s">
        <v>98</v>
      </c>
      <c r="J320" t="s">
        <v>98</v>
      </c>
      <c r="K320" t="s">
        <v>95</v>
      </c>
      <c r="L320" t="s">
        <v>2125</v>
      </c>
      <c r="M320" s="5">
        <f t="shared" si="25"/>
        <v>13</v>
      </c>
      <c r="N320" t="str">
        <f t="shared" si="26"/>
        <v>October</v>
      </c>
      <c r="O320" t="str">
        <f t="shared" si="27"/>
        <v>Monday</v>
      </c>
      <c r="P320">
        <f t="shared" si="24"/>
        <v>7</v>
      </c>
      <c r="Q320" s="2">
        <f t="shared" si="28"/>
        <v>1</v>
      </c>
      <c r="R320" s="2">
        <f t="shared" si="29"/>
        <v>10</v>
      </c>
      <c r="S320">
        <f>SUMIF(Table1[product_category],"Bakery",Table1[Total_bill])</f>
        <v>2951.25</v>
      </c>
    </row>
    <row r="321" spans="1:19" x14ac:dyDescent="0.3">
      <c r="A321" s="2">
        <v>10320</v>
      </c>
      <c r="B321" s="4">
        <v>45951</v>
      </c>
      <c r="C321" t="s">
        <v>479</v>
      </c>
      <c r="D321" t="s">
        <v>25</v>
      </c>
      <c r="E321" t="s">
        <v>26</v>
      </c>
      <c r="F321" t="s">
        <v>233</v>
      </c>
      <c r="G321">
        <v>3</v>
      </c>
      <c r="H321" s="5">
        <v>9.5</v>
      </c>
      <c r="I321" t="s">
        <v>28</v>
      </c>
      <c r="J321" t="s">
        <v>28</v>
      </c>
      <c r="K321" t="s">
        <v>29</v>
      </c>
      <c r="L321" t="s">
        <v>2125</v>
      </c>
      <c r="M321" s="5">
        <f t="shared" si="25"/>
        <v>28.5</v>
      </c>
      <c r="N321" t="str">
        <f t="shared" si="26"/>
        <v>October</v>
      </c>
      <c r="O321" t="str">
        <f t="shared" si="27"/>
        <v>Tuesday</v>
      </c>
      <c r="P321">
        <f t="shared" si="24"/>
        <v>8</v>
      </c>
      <c r="Q321" s="2">
        <f t="shared" si="28"/>
        <v>2</v>
      </c>
      <c r="R321" s="2">
        <f t="shared" si="29"/>
        <v>10</v>
      </c>
      <c r="S321">
        <f>SUMIF(Table1[product_category],"Bakery",Table1[Total_bill])</f>
        <v>2951.25</v>
      </c>
    </row>
    <row r="322" spans="1:19" x14ac:dyDescent="0.3">
      <c r="A322" s="2">
        <v>10321</v>
      </c>
      <c r="B322" s="4">
        <v>45952</v>
      </c>
      <c r="C322" t="s">
        <v>480</v>
      </c>
      <c r="D322" t="s">
        <v>40</v>
      </c>
      <c r="E322" t="s">
        <v>41</v>
      </c>
      <c r="F322" t="s">
        <v>20</v>
      </c>
      <c r="G322">
        <v>3</v>
      </c>
      <c r="H322" s="5">
        <v>3</v>
      </c>
      <c r="I322" t="s">
        <v>21</v>
      </c>
      <c r="J322" t="s">
        <v>181</v>
      </c>
      <c r="K322" t="s">
        <v>182</v>
      </c>
      <c r="L322" t="s">
        <v>2125</v>
      </c>
      <c r="M322" s="5">
        <f t="shared" si="25"/>
        <v>9</v>
      </c>
      <c r="N322" t="str">
        <f t="shared" si="26"/>
        <v>October</v>
      </c>
      <c r="O322" t="str">
        <f t="shared" si="27"/>
        <v>Wednesday</v>
      </c>
      <c r="P322">
        <f t="shared" ref="P322:P385" si="30">HOUR(TIMEVALUE(C322))</f>
        <v>12</v>
      </c>
      <c r="Q322" s="2">
        <f t="shared" si="28"/>
        <v>3</v>
      </c>
      <c r="R322" s="2">
        <f t="shared" si="29"/>
        <v>10</v>
      </c>
      <c r="S322">
        <f>SUMIF(Table1[product_category],"Bakery",Table1[Total_bill])</f>
        <v>2951.25</v>
      </c>
    </row>
    <row r="323" spans="1:19" x14ac:dyDescent="0.3">
      <c r="A323" s="2">
        <v>10322</v>
      </c>
      <c r="B323" s="4">
        <v>45953</v>
      </c>
      <c r="C323" t="s">
        <v>481</v>
      </c>
      <c r="D323" t="s">
        <v>40</v>
      </c>
      <c r="E323" t="s">
        <v>41</v>
      </c>
      <c r="F323" t="s">
        <v>27</v>
      </c>
      <c r="G323">
        <v>4</v>
      </c>
      <c r="H323" s="5">
        <v>4.25</v>
      </c>
      <c r="I323" t="s">
        <v>36</v>
      </c>
      <c r="J323" t="s">
        <v>211</v>
      </c>
      <c r="K323" t="s">
        <v>212</v>
      </c>
      <c r="L323" t="s">
        <v>2123</v>
      </c>
      <c r="M323" s="5">
        <f t="shared" ref="M323:M386" si="31">G323*H323</f>
        <v>17</v>
      </c>
      <c r="N323" t="str">
        <f t="shared" ref="N323:N386" si="32">TEXT(B323,"mmmm")</f>
        <v>October</v>
      </c>
      <c r="O323" t="str">
        <f t="shared" ref="O323:O386" si="33">TEXT(B323,"dddd")</f>
        <v>Thursday</v>
      </c>
      <c r="P323">
        <f t="shared" si="30"/>
        <v>15</v>
      </c>
      <c r="Q323" s="2">
        <f t="shared" ref="Q323:Q386" si="34">WEEKDAY(B323,2)</f>
        <v>4</v>
      </c>
      <c r="R323" s="2">
        <f t="shared" ref="R323:R386" si="35">MONTH(B323)</f>
        <v>10</v>
      </c>
      <c r="S323">
        <f>SUMIF(Table1[product_category],"Bakery",Table1[Total_bill])</f>
        <v>2951.25</v>
      </c>
    </row>
    <row r="324" spans="1:19" x14ac:dyDescent="0.3">
      <c r="A324" s="2">
        <v>10323</v>
      </c>
      <c r="B324" s="4">
        <v>45954</v>
      </c>
      <c r="C324" t="s">
        <v>482</v>
      </c>
      <c r="D324" t="s">
        <v>18</v>
      </c>
      <c r="E324" t="s">
        <v>19</v>
      </c>
      <c r="F324" t="s">
        <v>31</v>
      </c>
      <c r="G324">
        <v>4</v>
      </c>
      <c r="H324" s="5">
        <v>3.5</v>
      </c>
      <c r="I324" t="s">
        <v>21</v>
      </c>
      <c r="J324" t="s">
        <v>51</v>
      </c>
      <c r="K324" t="s">
        <v>52</v>
      </c>
      <c r="L324" t="s">
        <v>2125</v>
      </c>
      <c r="M324" s="5">
        <f t="shared" si="31"/>
        <v>14</v>
      </c>
      <c r="N324" t="str">
        <f t="shared" si="32"/>
        <v>October</v>
      </c>
      <c r="O324" t="str">
        <f t="shared" si="33"/>
        <v>Friday</v>
      </c>
      <c r="P324">
        <f t="shared" si="30"/>
        <v>14</v>
      </c>
      <c r="Q324" s="2">
        <f t="shared" si="34"/>
        <v>5</v>
      </c>
      <c r="R324" s="2">
        <f t="shared" si="35"/>
        <v>10</v>
      </c>
      <c r="S324">
        <f>SUMIF(Table1[product_category],"Bakery",Table1[Total_bill])</f>
        <v>2951.25</v>
      </c>
    </row>
    <row r="325" spans="1:19" x14ac:dyDescent="0.3">
      <c r="A325" s="2">
        <v>10324</v>
      </c>
      <c r="B325" s="4">
        <v>45955</v>
      </c>
      <c r="C325" t="s">
        <v>483</v>
      </c>
      <c r="D325" t="s">
        <v>25</v>
      </c>
      <c r="E325" t="s">
        <v>26</v>
      </c>
      <c r="F325" t="s">
        <v>35</v>
      </c>
      <c r="G325">
        <v>4</v>
      </c>
      <c r="H325" s="5">
        <v>4.75</v>
      </c>
      <c r="I325" t="s">
        <v>32</v>
      </c>
      <c r="J325" t="s">
        <v>69</v>
      </c>
      <c r="K325" t="s">
        <v>69</v>
      </c>
      <c r="L325" t="s">
        <v>2123</v>
      </c>
      <c r="M325" s="5">
        <f t="shared" si="31"/>
        <v>19</v>
      </c>
      <c r="N325" t="str">
        <f t="shared" si="32"/>
        <v>October</v>
      </c>
      <c r="O325" t="str">
        <f t="shared" si="33"/>
        <v>Saturday</v>
      </c>
      <c r="P325">
        <f t="shared" si="30"/>
        <v>9</v>
      </c>
      <c r="Q325" s="2">
        <f t="shared" si="34"/>
        <v>6</v>
      </c>
      <c r="R325" s="2">
        <f t="shared" si="35"/>
        <v>10</v>
      </c>
      <c r="S325">
        <f>SUMIF(Table1[product_category],"Bakery",Table1[Total_bill])</f>
        <v>2951.25</v>
      </c>
    </row>
    <row r="326" spans="1:19" x14ac:dyDescent="0.3">
      <c r="A326" s="2">
        <v>10325</v>
      </c>
      <c r="B326" s="4">
        <v>45956</v>
      </c>
      <c r="C326" t="s">
        <v>484</v>
      </c>
      <c r="D326" t="s">
        <v>18</v>
      </c>
      <c r="E326" t="s">
        <v>19</v>
      </c>
      <c r="F326" t="s">
        <v>42</v>
      </c>
      <c r="G326">
        <v>2</v>
      </c>
      <c r="H326" s="5">
        <v>3.25</v>
      </c>
      <c r="I326" t="s">
        <v>36</v>
      </c>
      <c r="J326" t="s">
        <v>211</v>
      </c>
      <c r="K326" t="s">
        <v>212</v>
      </c>
      <c r="L326" t="s">
        <v>2122</v>
      </c>
      <c r="M326" s="5">
        <f t="shared" si="31"/>
        <v>6.5</v>
      </c>
      <c r="N326" t="str">
        <f t="shared" si="32"/>
        <v>October</v>
      </c>
      <c r="O326" t="str">
        <f t="shared" si="33"/>
        <v>Sunday</v>
      </c>
      <c r="P326">
        <f t="shared" si="30"/>
        <v>20</v>
      </c>
      <c r="Q326" s="2">
        <f t="shared" si="34"/>
        <v>7</v>
      </c>
      <c r="R326" s="2">
        <f t="shared" si="35"/>
        <v>10</v>
      </c>
      <c r="S326">
        <f>SUMIF(Table1[product_category],"Bakery",Table1[Total_bill])</f>
        <v>2951.25</v>
      </c>
    </row>
    <row r="327" spans="1:19" x14ac:dyDescent="0.3">
      <c r="A327" s="2">
        <v>10326</v>
      </c>
      <c r="B327" s="4">
        <v>45957</v>
      </c>
      <c r="C327" t="s">
        <v>485</v>
      </c>
      <c r="D327" t="s">
        <v>40</v>
      </c>
      <c r="E327" t="s">
        <v>41</v>
      </c>
      <c r="F327" t="s">
        <v>46</v>
      </c>
      <c r="G327">
        <v>1</v>
      </c>
      <c r="H327" s="5">
        <v>2.75</v>
      </c>
      <c r="I327" t="s">
        <v>32</v>
      </c>
      <c r="J327" t="s">
        <v>226</v>
      </c>
      <c r="K327" t="s">
        <v>273</v>
      </c>
      <c r="L327" t="s">
        <v>2122</v>
      </c>
      <c r="M327" s="5">
        <f t="shared" si="31"/>
        <v>2.75</v>
      </c>
      <c r="N327" t="str">
        <f t="shared" si="32"/>
        <v>October</v>
      </c>
      <c r="O327" t="str">
        <f t="shared" si="33"/>
        <v>Monday</v>
      </c>
      <c r="P327">
        <f t="shared" si="30"/>
        <v>15</v>
      </c>
      <c r="Q327" s="2">
        <f t="shared" si="34"/>
        <v>1</v>
      </c>
      <c r="R327" s="2">
        <f t="shared" si="35"/>
        <v>10</v>
      </c>
      <c r="S327">
        <f>SUMIF(Table1[product_category],"Bakery",Table1[Total_bill])</f>
        <v>2951.25</v>
      </c>
    </row>
    <row r="328" spans="1:19" x14ac:dyDescent="0.3">
      <c r="A328" s="2">
        <v>10327</v>
      </c>
      <c r="B328" s="4">
        <v>45958</v>
      </c>
      <c r="C328" t="s">
        <v>486</v>
      </c>
      <c r="D328" t="s">
        <v>40</v>
      </c>
      <c r="E328" t="s">
        <v>41</v>
      </c>
      <c r="F328" t="s">
        <v>50</v>
      </c>
      <c r="G328">
        <v>4</v>
      </c>
      <c r="H328" s="5">
        <v>2.25</v>
      </c>
      <c r="I328" t="s">
        <v>21</v>
      </c>
      <c r="J328" t="s">
        <v>58</v>
      </c>
      <c r="K328" t="s">
        <v>59</v>
      </c>
      <c r="L328" t="s">
        <v>2125</v>
      </c>
      <c r="M328" s="5">
        <f t="shared" si="31"/>
        <v>9</v>
      </c>
      <c r="N328" t="str">
        <f t="shared" si="32"/>
        <v>October</v>
      </c>
      <c r="O328" t="str">
        <f t="shared" si="33"/>
        <v>Tuesday</v>
      </c>
      <c r="P328">
        <f t="shared" si="30"/>
        <v>12</v>
      </c>
      <c r="Q328" s="2">
        <f t="shared" si="34"/>
        <v>2</v>
      </c>
      <c r="R328" s="2">
        <f t="shared" si="35"/>
        <v>10</v>
      </c>
      <c r="S328">
        <f>SUMIF(Table1[product_category],"Bakery",Table1[Total_bill])</f>
        <v>2951.25</v>
      </c>
    </row>
    <row r="329" spans="1:19" x14ac:dyDescent="0.3">
      <c r="A329" s="2">
        <v>10328</v>
      </c>
      <c r="B329" s="4">
        <v>45959</v>
      </c>
      <c r="C329" t="s">
        <v>487</v>
      </c>
      <c r="D329" t="s">
        <v>25</v>
      </c>
      <c r="E329" t="s">
        <v>26</v>
      </c>
      <c r="F329" t="s">
        <v>54</v>
      </c>
      <c r="G329">
        <v>3</v>
      </c>
      <c r="H329" s="5">
        <v>14</v>
      </c>
      <c r="I329" t="s">
        <v>98</v>
      </c>
      <c r="J329" t="s">
        <v>98</v>
      </c>
      <c r="K329" t="s">
        <v>129</v>
      </c>
      <c r="L329" t="s">
        <v>2125</v>
      </c>
      <c r="M329" s="5">
        <f t="shared" si="31"/>
        <v>42</v>
      </c>
      <c r="N329" t="str">
        <f t="shared" si="32"/>
        <v>October</v>
      </c>
      <c r="O329" t="str">
        <f t="shared" si="33"/>
        <v>Wednesday</v>
      </c>
      <c r="P329">
        <f t="shared" si="30"/>
        <v>13</v>
      </c>
      <c r="Q329" s="2">
        <f t="shared" si="34"/>
        <v>3</v>
      </c>
      <c r="R329" s="2">
        <f t="shared" si="35"/>
        <v>10</v>
      </c>
      <c r="S329">
        <f>SUMIF(Table1[product_category],"Bakery",Table1[Total_bill])</f>
        <v>2951.25</v>
      </c>
    </row>
    <row r="330" spans="1:19" x14ac:dyDescent="0.3">
      <c r="A330" s="2">
        <v>10329</v>
      </c>
      <c r="B330" s="4">
        <v>45960</v>
      </c>
      <c r="C330" t="s">
        <v>488</v>
      </c>
      <c r="D330" t="s">
        <v>25</v>
      </c>
      <c r="E330" t="s">
        <v>26</v>
      </c>
      <c r="F330" t="s">
        <v>57</v>
      </c>
      <c r="G330">
        <v>4</v>
      </c>
      <c r="H330" s="5">
        <v>4.75</v>
      </c>
      <c r="I330" t="s">
        <v>32</v>
      </c>
      <c r="J330" t="s">
        <v>122</v>
      </c>
      <c r="K330" t="s">
        <v>122</v>
      </c>
      <c r="L330" t="s">
        <v>2123</v>
      </c>
      <c r="M330" s="5">
        <f t="shared" si="31"/>
        <v>19</v>
      </c>
      <c r="N330" t="str">
        <f t="shared" si="32"/>
        <v>October</v>
      </c>
      <c r="O330" t="str">
        <f t="shared" si="33"/>
        <v>Thursday</v>
      </c>
      <c r="P330">
        <f t="shared" si="30"/>
        <v>10</v>
      </c>
      <c r="Q330" s="2">
        <f t="shared" si="34"/>
        <v>4</v>
      </c>
      <c r="R330" s="2">
        <f t="shared" si="35"/>
        <v>10</v>
      </c>
      <c r="S330">
        <f>SUMIF(Table1[product_category],"Bakery",Table1[Total_bill])</f>
        <v>2951.25</v>
      </c>
    </row>
    <row r="331" spans="1:19" x14ac:dyDescent="0.3">
      <c r="A331" s="2">
        <v>10330</v>
      </c>
      <c r="B331" s="4">
        <v>45961</v>
      </c>
      <c r="C331" t="s">
        <v>284</v>
      </c>
      <c r="D331" t="s">
        <v>25</v>
      </c>
      <c r="E331" t="s">
        <v>26</v>
      </c>
      <c r="F331" t="s">
        <v>61</v>
      </c>
      <c r="G331">
        <v>2</v>
      </c>
      <c r="H331" s="5">
        <v>3</v>
      </c>
      <c r="I331" t="s">
        <v>32</v>
      </c>
      <c r="J331" t="s">
        <v>55</v>
      </c>
      <c r="K331" t="s">
        <v>55</v>
      </c>
      <c r="L331" t="s">
        <v>2122</v>
      </c>
      <c r="M331" s="5">
        <f t="shared" si="31"/>
        <v>6</v>
      </c>
      <c r="N331" t="str">
        <f t="shared" si="32"/>
        <v>October</v>
      </c>
      <c r="O331" t="str">
        <f t="shared" si="33"/>
        <v>Friday</v>
      </c>
      <c r="P331">
        <f t="shared" si="30"/>
        <v>8</v>
      </c>
      <c r="Q331" s="2">
        <f t="shared" si="34"/>
        <v>5</v>
      </c>
      <c r="R331" s="2">
        <f t="shared" si="35"/>
        <v>10</v>
      </c>
      <c r="S331">
        <f>SUMIF(Table1[product_category],"Bakery",Table1[Total_bill])</f>
        <v>2951.25</v>
      </c>
    </row>
    <row r="332" spans="1:19" x14ac:dyDescent="0.3">
      <c r="A332" s="2">
        <v>10331</v>
      </c>
      <c r="B332" s="4">
        <v>45962</v>
      </c>
      <c r="C332" t="s">
        <v>489</v>
      </c>
      <c r="D332" t="s">
        <v>18</v>
      </c>
      <c r="E332" t="s">
        <v>19</v>
      </c>
      <c r="F332" t="s">
        <v>64</v>
      </c>
      <c r="G332">
        <v>3</v>
      </c>
      <c r="H332" s="5">
        <v>3.5</v>
      </c>
      <c r="I332" t="s">
        <v>32</v>
      </c>
      <c r="J332" t="s">
        <v>55</v>
      </c>
      <c r="K332" t="s">
        <v>55</v>
      </c>
      <c r="L332" t="s">
        <v>2124</v>
      </c>
      <c r="M332" s="5">
        <f t="shared" si="31"/>
        <v>10.5</v>
      </c>
      <c r="N332" t="str">
        <f t="shared" si="32"/>
        <v>November</v>
      </c>
      <c r="O332" t="str">
        <f t="shared" si="33"/>
        <v>Saturday</v>
      </c>
      <c r="P332">
        <f t="shared" si="30"/>
        <v>10</v>
      </c>
      <c r="Q332" s="2">
        <f t="shared" si="34"/>
        <v>6</v>
      </c>
      <c r="R332" s="2">
        <f t="shared" si="35"/>
        <v>11</v>
      </c>
      <c r="S332">
        <f>SUMIF(Table1[product_category],"Bakery",Table1[Total_bill])</f>
        <v>2951.25</v>
      </c>
    </row>
    <row r="333" spans="1:19" x14ac:dyDescent="0.3">
      <c r="A333" s="2">
        <v>10332</v>
      </c>
      <c r="B333" s="4">
        <v>45963</v>
      </c>
      <c r="C333" t="s">
        <v>490</v>
      </c>
      <c r="D333" t="s">
        <v>18</v>
      </c>
      <c r="E333" t="s">
        <v>19</v>
      </c>
      <c r="F333" t="s">
        <v>66</v>
      </c>
      <c r="G333">
        <v>4</v>
      </c>
      <c r="H333" s="5">
        <v>3</v>
      </c>
      <c r="I333" t="s">
        <v>21</v>
      </c>
      <c r="J333" t="s">
        <v>181</v>
      </c>
      <c r="K333" t="s">
        <v>182</v>
      </c>
      <c r="L333" t="s">
        <v>2125</v>
      </c>
      <c r="M333" s="5">
        <f t="shared" si="31"/>
        <v>12</v>
      </c>
      <c r="N333" t="str">
        <f t="shared" si="32"/>
        <v>November</v>
      </c>
      <c r="O333" t="str">
        <f t="shared" si="33"/>
        <v>Sunday</v>
      </c>
      <c r="P333">
        <f t="shared" si="30"/>
        <v>15</v>
      </c>
      <c r="Q333" s="2">
        <f t="shared" si="34"/>
        <v>7</v>
      </c>
      <c r="R333" s="2">
        <f t="shared" si="35"/>
        <v>11</v>
      </c>
      <c r="S333">
        <f>SUMIF(Table1[product_category],"Bakery",Table1[Total_bill])</f>
        <v>2951.25</v>
      </c>
    </row>
    <row r="334" spans="1:19" x14ac:dyDescent="0.3">
      <c r="A334" s="2">
        <v>10333</v>
      </c>
      <c r="B334" s="4">
        <v>45964</v>
      </c>
      <c r="C334" t="s">
        <v>491</v>
      </c>
      <c r="D334" t="s">
        <v>25</v>
      </c>
      <c r="E334" t="s">
        <v>26</v>
      </c>
      <c r="F334" t="s">
        <v>68</v>
      </c>
      <c r="G334">
        <v>2</v>
      </c>
      <c r="H334" s="5">
        <v>14</v>
      </c>
      <c r="I334" t="s">
        <v>98</v>
      </c>
      <c r="J334" t="s">
        <v>98</v>
      </c>
      <c r="K334" t="s">
        <v>129</v>
      </c>
      <c r="L334" t="s">
        <v>2125</v>
      </c>
      <c r="M334" s="5">
        <f t="shared" si="31"/>
        <v>28</v>
      </c>
      <c r="N334" t="str">
        <f t="shared" si="32"/>
        <v>November</v>
      </c>
      <c r="O334" t="str">
        <f t="shared" si="33"/>
        <v>Monday</v>
      </c>
      <c r="P334">
        <f t="shared" si="30"/>
        <v>6</v>
      </c>
      <c r="Q334" s="2">
        <f t="shared" si="34"/>
        <v>1</v>
      </c>
      <c r="R334" s="2">
        <f t="shared" si="35"/>
        <v>11</v>
      </c>
      <c r="S334">
        <f>SUMIF(Table1[product_category],"Bakery",Table1[Total_bill])</f>
        <v>2951.25</v>
      </c>
    </row>
    <row r="335" spans="1:19" x14ac:dyDescent="0.3">
      <c r="A335" s="2">
        <v>10334</v>
      </c>
      <c r="B335" s="4">
        <v>45965</v>
      </c>
      <c r="C335" t="s">
        <v>492</v>
      </c>
      <c r="D335" t="s">
        <v>18</v>
      </c>
      <c r="E335" t="s">
        <v>19</v>
      </c>
      <c r="F335" t="s">
        <v>71</v>
      </c>
      <c r="G335">
        <v>3</v>
      </c>
      <c r="H335" s="5">
        <v>3.25</v>
      </c>
      <c r="I335" t="s">
        <v>21</v>
      </c>
      <c r="J335" t="s">
        <v>81</v>
      </c>
      <c r="K335" t="s">
        <v>82</v>
      </c>
      <c r="L335" t="s">
        <v>2125</v>
      </c>
      <c r="M335" s="5">
        <f t="shared" si="31"/>
        <v>9.75</v>
      </c>
      <c r="N335" t="str">
        <f t="shared" si="32"/>
        <v>November</v>
      </c>
      <c r="O335" t="str">
        <f t="shared" si="33"/>
        <v>Tuesday</v>
      </c>
      <c r="P335">
        <f t="shared" si="30"/>
        <v>7</v>
      </c>
      <c r="Q335" s="2">
        <f t="shared" si="34"/>
        <v>2</v>
      </c>
      <c r="R335" s="2">
        <f t="shared" si="35"/>
        <v>11</v>
      </c>
      <c r="S335">
        <f>SUMIF(Table1[product_category],"Bakery",Table1[Total_bill])</f>
        <v>2951.25</v>
      </c>
    </row>
    <row r="336" spans="1:19" x14ac:dyDescent="0.3">
      <c r="A336" s="2">
        <v>10335</v>
      </c>
      <c r="B336" s="4">
        <v>45966</v>
      </c>
      <c r="C336" t="s">
        <v>493</v>
      </c>
      <c r="D336" t="s">
        <v>18</v>
      </c>
      <c r="E336" t="s">
        <v>19</v>
      </c>
      <c r="F336" t="s">
        <v>75</v>
      </c>
      <c r="G336">
        <v>3</v>
      </c>
      <c r="H336" s="5">
        <v>3</v>
      </c>
      <c r="I336" t="s">
        <v>21</v>
      </c>
      <c r="J336" t="s">
        <v>181</v>
      </c>
      <c r="K336" t="s">
        <v>182</v>
      </c>
      <c r="L336" t="s">
        <v>2125</v>
      </c>
      <c r="M336" s="5">
        <f t="shared" si="31"/>
        <v>9</v>
      </c>
      <c r="N336" t="str">
        <f t="shared" si="32"/>
        <v>November</v>
      </c>
      <c r="O336" t="str">
        <f t="shared" si="33"/>
        <v>Wednesday</v>
      </c>
      <c r="P336">
        <f t="shared" si="30"/>
        <v>6</v>
      </c>
      <c r="Q336" s="2">
        <f t="shared" si="34"/>
        <v>3</v>
      </c>
      <c r="R336" s="2">
        <f t="shared" si="35"/>
        <v>11</v>
      </c>
      <c r="S336">
        <f>SUMIF(Table1[product_category],"Bakery",Table1[Total_bill])</f>
        <v>2951.25</v>
      </c>
    </row>
    <row r="337" spans="1:19" x14ac:dyDescent="0.3">
      <c r="A337" s="2">
        <v>10336</v>
      </c>
      <c r="B337" s="4">
        <v>45967</v>
      </c>
      <c r="C337" t="s">
        <v>494</v>
      </c>
      <c r="D337" t="s">
        <v>18</v>
      </c>
      <c r="E337" t="s">
        <v>19</v>
      </c>
      <c r="F337" t="s">
        <v>78</v>
      </c>
      <c r="G337">
        <v>2</v>
      </c>
      <c r="H337" s="5">
        <v>3.75</v>
      </c>
      <c r="I337" t="s">
        <v>36</v>
      </c>
      <c r="J337" t="s">
        <v>211</v>
      </c>
      <c r="K337" t="s">
        <v>239</v>
      </c>
      <c r="L337" t="s">
        <v>2124</v>
      </c>
      <c r="M337" s="5">
        <f t="shared" si="31"/>
        <v>7.5</v>
      </c>
      <c r="N337" t="str">
        <f t="shared" si="32"/>
        <v>November</v>
      </c>
      <c r="O337" t="str">
        <f t="shared" si="33"/>
        <v>Thursday</v>
      </c>
      <c r="P337">
        <f t="shared" si="30"/>
        <v>6</v>
      </c>
      <c r="Q337" s="2">
        <f t="shared" si="34"/>
        <v>4</v>
      </c>
      <c r="R337" s="2">
        <f t="shared" si="35"/>
        <v>11</v>
      </c>
      <c r="S337">
        <f>SUMIF(Table1[product_category],"Bakery",Table1[Total_bill])</f>
        <v>2951.25</v>
      </c>
    </row>
    <row r="338" spans="1:19" x14ac:dyDescent="0.3">
      <c r="A338" s="2">
        <v>10337</v>
      </c>
      <c r="B338" s="4">
        <v>45968</v>
      </c>
      <c r="C338" t="s">
        <v>495</v>
      </c>
      <c r="D338" t="s">
        <v>25</v>
      </c>
      <c r="E338" t="s">
        <v>26</v>
      </c>
      <c r="F338" t="s">
        <v>80</v>
      </c>
      <c r="G338">
        <v>1</v>
      </c>
      <c r="H338" s="5">
        <v>3.5</v>
      </c>
      <c r="I338" t="s">
        <v>36</v>
      </c>
      <c r="J338" t="s">
        <v>246</v>
      </c>
      <c r="K338" t="s">
        <v>247</v>
      </c>
      <c r="L338" t="s">
        <v>2123</v>
      </c>
      <c r="M338" s="5">
        <f t="shared" si="31"/>
        <v>3.5</v>
      </c>
      <c r="N338" t="str">
        <f t="shared" si="32"/>
        <v>November</v>
      </c>
      <c r="O338" t="str">
        <f t="shared" si="33"/>
        <v>Friday</v>
      </c>
      <c r="P338">
        <f t="shared" si="30"/>
        <v>17</v>
      </c>
      <c r="Q338" s="2">
        <f t="shared" si="34"/>
        <v>5</v>
      </c>
      <c r="R338" s="2">
        <f t="shared" si="35"/>
        <v>11</v>
      </c>
      <c r="S338">
        <f>SUMIF(Table1[product_category],"Bakery",Table1[Total_bill])</f>
        <v>2951.25</v>
      </c>
    </row>
    <row r="339" spans="1:19" x14ac:dyDescent="0.3">
      <c r="A339" s="2">
        <v>10338</v>
      </c>
      <c r="B339" s="4">
        <v>45969</v>
      </c>
      <c r="C339" t="s">
        <v>496</v>
      </c>
      <c r="D339" t="s">
        <v>40</v>
      </c>
      <c r="E339" t="s">
        <v>41</v>
      </c>
      <c r="F339" t="s">
        <v>84</v>
      </c>
      <c r="G339">
        <v>2</v>
      </c>
      <c r="H339" s="5">
        <v>5.5</v>
      </c>
      <c r="I339" t="s">
        <v>72</v>
      </c>
      <c r="J339" t="s">
        <v>72</v>
      </c>
      <c r="K339" t="s">
        <v>73</v>
      </c>
      <c r="L339" t="s">
        <v>2125</v>
      </c>
      <c r="M339" s="5">
        <f t="shared" si="31"/>
        <v>11</v>
      </c>
      <c r="N339" t="str">
        <f t="shared" si="32"/>
        <v>November</v>
      </c>
      <c r="O339" t="str">
        <f t="shared" si="33"/>
        <v>Saturday</v>
      </c>
      <c r="P339">
        <f t="shared" si="30"/>
        <v>14</v>
      </c>
      <c r="Q339" s="2">
        <f t="shared" si="34"/>
        <v>6</v>
      </c>
      <c r="R339" s="2">
        <f t="shared" si="35"/>
        <v>11</v>
      </c>
      <c r="S339">
        <f>SUMIF(Table1[product_category],"Bakery",Table1[Total_bill])</f>
        <v>2951.25</v>
      </c>
    </row>
    <row r="340" spans="1:19" x14ac:dyDescent="0.3">
      <c r="A340" s="2">
        <v>10339</v>
      </c>
      <c r="B340" s="4">
        <v>45970</v>
      </c>
      <c r="C340" t="s">
        <v>497</v>
      </c>
      <c r="D340" t="s">
        <v>25</v>
      </c>
      <c r="E340" t="s">
        <v>26</v>
      </c>
      <c r="F340" t="s">
        <v>86</v>
      </c>
      <c r="G340">
        <v>4</v>
      </c>
      <c r="H340" s="5">
        <v>3.25</v>
      </c>
      <c r="I340" t="s">
        <v>21</v>
      </c>
      <c r="J340" t="s">
        <v>81</v>
      </c>
      <c r="K340" t="s">
        <v>113</v>
      </c>
      <c r="L340" t="s">
        <v>2125</v>
      </c>
      <c r="M340" s="5">
        <f t="shared" si="31"/>
        <v>13</v>
      </c>
      <c r="N340" t="str">
        <f t="shared" si="32"/>
        <v>November</v>
      </c>
      <c r="O340" t="str">
        <f t="shared" si="33"/>
        <v>Sunday</v>
      </c>
      <c r="P340">
        <f t="shared" si="30"/>
        <v>11</v>
      </c>
      <c r="Q340" s="2">
        <f t="shared" si="34"/>
        <v>7</v>
      </c>
      <c r="R340" s="2">
        <f t="shared" si="35"/>
        <v>11</v>
      </c>
      <c r="S340">
        <f>SUMIF(Table1[product_category],"Bakery",Table1[Total_bill])</f>
        <v>2951.25</v>
      </c>
    </row>
    <row r="341" spans="1:19" x14ac:dyDescent="0.3">
      <c r="A341" s="2">
        <v>10340</v>
      </c>
      <c r="B341" s="4">
        <v>45971</v>
      </c>
      <c r="C341" t="s">
        <v>498</v>
      </c>
      <c r="D341" t="s">
        <v>40</v>
      </c>
      <c r="E341" t="s">
        <v>41</v>
      </c>
      <c r="F341" t="s">
        <v>88</v>
      </c>
      <c r="G341">
        <v>3</v>
      </c>
      <c r="H341" s="5">
        <v>3.75</v>
      </c>
      <c r="I341" t="s">
        <v>32</v>
      </c>
      <c r="J341" t="s">
        <v>69</v>
      </c>
      <c r="K341" t="s">
        <v>69</v>
      </c>
      <c r="L341" t="s">
        <v>2122</v>
      </c>
      <c r="M341" s="5">
        <f t="shared" si="31"/>
        <v>11.25</v>
      </c>
      <c r="N341" t="str">
        <f t="shared" si="32"/>
        <v>November</v>
      </c>
      <c r="O341" t="str">
        <f t="shared" si="33"/>
        <v>Monday</v>
      </c>
      <c r="P341">
        <f t="shared" si="30"/>
        <v>7</v>
      </c>
      <c r="Q341" s="2">
        <f t="shared" si="34"/>
        <v>1</v>
      </c>
      <c r="R341" s="2">
        <f t="shared" si="35"/>
        <v>11</v>
      </c>
      <c r="S341">
        <f>SUMIF(Table1[product_category],"Bakery",Table1[Total_bill])</f>
        <v>2951.25</v>
      </c>
    </row>
    <row r="342" spans="1:19" x14ac:dyDescent="0.3">
      <c r="A342" s="2">
        <v>10341</v>
      </c>
      <c r="B342" s="4">
        <v>45972</v>
      </c>
      <c r="C342" t="s">
        <v>499</v>
      </c>
      <c r="D342" t="s">
        <v>40</v>
      </c>
      <c r="E342" t="s">
        <v>41</v>
      </c>
      <c r="F342" t="s">
        <v>93</v>
      </c>
      <c r="G342">
        <v>3</v>
      </c>
      <c r="H342" s="5">
        <v>24</v>
      </c>
      <c r="I342" t="s">
        <v>101</v>
      </c>
      <c r="J342" t="s">
        <v>102</v>
      </c>
      <c r="K342" t="s">
        <v>103</v>
      </c>
      <c r="L342" t="s">
        <v>2125</v>
      </c>
      <c r="M342" s="5">
        <f t="shared" si="31"/>
        <v>72</v>
      </c>
      <c r="N342" t="str">
        <f t="shared" si="32"/>
        <v>November</v>
      </c>
      <c r="O342" t="str">
        <f t="shared" si="33"/>
        <v>Tuesday</v>
      </c>
      <c r="P342">
        <f t="shared" si="30"/>
        <v>11</v>
      </c>
      <c r="Q342" s="2">
        <f t="shared" si="34"/>
        <v>2</v>
      </c>
      <c r="R342" s="2">
        <f t="shared" si="35"/>
        <v>11</v>
      </c>
      <c r="S342">
        <f>SUMIF(Table1[product_category],"Bakery",Table1[Total_bill])</f>
        <v>2951.25</v>
      </c>
    </row>
    <row r="343" spans="1:19" x14ac:dyDescent="0.3">
      <c r="A343" s="2">
        <v>10342</v>
      </c>
      <c r="B343" s="4">
        <v>45973</v>
      </c>
      <c r="C343" t="s">
        <v>500</v>
      </c>
      <c r="D343" t="s">
        <v>18</v>
      </c>
      <c r="E343" t="s">
        <v>19</v>
      </c>
      <c r="F343" t="s">
        <v>97</v>
      </c>
      <c r="G343">
        <v>4</v>
      </c>
      <c r="H343" s="5">
        <v>3.25</v>
      </c>
      <c r="I343" t="s">
        <v>36</v>
      </c>
      <c r="J343" t="s">
        <v>211</v>
      </c>
      <c r="K343" t="s">
        <v>239</v>
      </c>
      <c r="L343" t="s">
        <v>2122</v>
      </c>
      <c r="M343" s="5">
        <f t="shared" si="31"/>
        <v>13</v>
      </c>
      <c r="N343" t="str">
        <f t="shared" si="32"/>
        <v>November</v>
      </c>
      <c r="O343" t="str">
        <f t="shared" si="33"/>
        <v>Wednesday</v>
      </c>
      <c r="P343">
        <f t="shared" si="30"/>
        <v>11</v>
      </c>
      <c r="Q343" s="2">
        <f t="shared" si="34"/>
        <v>3</v>
      </c>
      <c r="R343" s="2">
        <f t="shared" si="35"/>
        <v>11</v>
      </c>
      <c r="S343">
        <f>SUMIF(Table1[product_category],"Bakery",Table1[Total_bill])</f>
        <v>2951.25</v>
      </c>
    </row>
    <row r="344" spans="1:19" x14ac:dyDescent="0.3">
      <c r="A344" s="2">
        <v>10343</v>
      </c>
      <c r="B344" s="4">
        <v>45974</v>
      </c>
      <c r="C344" t="s">
        <v>501</v>
      </c>
      <c r="D344" t="s">
        <v>25</v>
      </c>
      <c r="E344" t="s">
        <v>26</v>
      </c>
      <c r="F344" t="s">
        <v>100</v>
      </c>
      <c r="G344">
        <v>2</v>
      </c>
      <c r="H344" s="5">
        <v>4</v>
      </c>
      <c r="I344" t="s">
        <v>32</v>
      </c>
      <c r="J344" t="s">
        <v>55</v>
      </c>
      <c r="K344" t="s">
        <v>55</v>
      </c>
      <c r="L344" t="s">
        <v>2123</v>
      </c>
      <c r="M344" s="5">
        <f t="shared" si="31"/>
        <v>8</v>
      </c>
      <c r="N344" t="str">
        <f t="shared" si="32"/>
        <v>November</v>
      </c>
      <c r="O344" t="str">
        <f t="shared" si="33"/>
        <v>Thursday</v>
      </c>
      <c r="P344">
        <f t="shared" si="30"/>
        <v>8</v>
      </c>
      <c r="Q344" s="2">
        <f t="shared" si="34"/>
        <v>4</v>
      </c>
      <c r="R344" s="2">
        <f t="shared" si="35"/>
        <v>11</v>
      </c>
      <c r="S344">
        <f>SUMIF(Table1[product_category],"Bakery",Table1[Total_bill])</f>
        <v>2951.25</v>
      </c>
    </row>
    <row r="345" spans="1:19" x14ac:dyDescent="0.3">
      <c r="A345" s="2">
        <v>10344</v>
      </c>
      <c r="B345" s="4">
        <v>45975</v>
      </c>
      <c r="C345" t="s">
        <v>502</v>
      </c>
      <c r="D345" t="s">
        <v>40</v>
      </c>
      <c r="E345" t="s">
        <v>41</v>
      </c>
      <c r="F345" t="s">
        <v>105</v>
      </c>
      <c r="G345">
        <v>3</v>
      </c>
      <c r="H345" s="5">
        <v>3</v>
      </c>
      <c r="I345" t="s">
        <v>36</v>
      </c>
      <c r="J345" t="s">
        <v>37</v>
      </c>
      <c r="K345" t="s">
        <v>62</v>
      </c>
      <c r="L345" t="s">
        <v>2124</v>
      </c>
      <c r="M345" s="5">
        <f t="shared" si="31"/>
        <v>9</v>
      </c>
      <c r="N345" t="str">
        <f t="shared" si="32"/>
        <v>November</v>
      </c>
      <c r="O345" t="str">
        <f t="shared" si="33"/>
        <v>Friday</v>
      </c>
      <c r="P345">
        <f t="shared" si="30"/>
        <v>11</v>
      </c>
      <c r="Q345" s="2">
        <f t="shared" si="34"/>
        <v>5</v>
      </c>
      <c r="R345" s="2">
        <f t="shared" si="35"/>
        <v>11</v>
      </c>
      <c r="S345">
        <f>SUMIF(Table1[product_category],"Bakery",Table1[Total_bill])</f>
        <v>2951.25</v>
      </c>
    </row>
    <row r="346" spans="1:19" x14ac:dyDescent="0.3">
      <c r="A346" s="2">
        <v>10345</v>
      </c>
      <c r="B346" s="4">
        <v>45976</v>
      </c>
      <c r="C346" t="s">
        <v>503</v>
      </c>
      <c r="D346" t="s">
        <v>18</v>
      </c>
      <c r="E346" t="s">
        <v>19</v>
      </c>
      <c r="F346" t="s">
        <v>107</v>
      </c>
      <c r="G346">
        <v>3</v>
      </c>
      <c r="H346" s="5">
        <v>8</v>
      </c>
      <c r="I346" t="s">
        <v>28</v>
      </c>
      <c r="J346" t="s">
        <v>28</v>
      </c>
      <c r="K346" t="s">
        <v>76</v>
      </c>
      <c r="L346" t="s">
        <v>2125</v>
      </c>
      <c r="M346" s="5">
        <f t="shared" si="31"/>
        <v>24</v>
      </c>
      <c r="N346" t="str">
        <f t="shared" si="32"/>
        <v>November</v>
      </c>
      <c r="O346" t="str">
        <f t="shared" si="33"/>
        <v>Saturday</v>
      </c>
      <c r="P346">
        <f t="shared" si="30"/>
        <v>10</v>
      </c>
      <c r="Q346" s="2">
        <f t="shared" si="34"/>
        <v>6</v>
      </c>
      <c r="R346" s="2">
        <f t="shared" si="35"/>
        <v>11</v>
      </c>
      <c r="S346">
        <f>SUMIF(Table1[product_category],"Bakery",Table1[Total_bill])</f>
        <v>2951.25</v>
      </c>
    </row>
    <row r="347" spans="1:19" x14ac:dyDescent="0.3">
      <c r="A347" s="2">
        <v>10346</v>
      </c>
      <c r="B347" s="4">
        <v>45977</v>
      </c>
      <c r="C347" t="s">
        <v>504</v>
      </c>
      <c r="D347" t="s">
        <v>18</v>
      </c>
      <c r="E347" t="s">
        <v>19</v>
      </c>
      <c r="F347" t="s">
        <v>109</v>
      </c>
      <c r="G347">
        <v>1</v>
      </c>
      <c r="H347" s="5">
        <v>9.5</v>
      </c>
      <c r="I347" t="s">
        <v>28</v>
      </c>
      <c r="J347" t="s">
        <v>28</v>
      </c>
      <c r="K347" t="s">
        <v>29</v>
      </c>
      <c r="L347" t="s">
        <v>2125</v>
      </c>
      <c r="M347" s="5">
        <f t="shared" si="31"/>
        <v>9.5</v>
      </c>
      <c r="N347" t="str">
        <f t="shared" si="32"/>
        <v>November</v>
      </c>
      <c r="O347" t="str">
        <f t="shared" si="33"/>
        <v>Sunday</v>
      </c>
      <c r="P347">
        <f t="shared" si="30"/>
        <v>13</v>
      </c>
      <c r="Q347" s="2">
        <f t="shared" si="34"/>
        <v>7</v>
      </c>
      <c r="R347" s="2">
        <f t="shared" si="35"/>
        <v>11</v>
      </c>
      <c r="S347">
        <f>SUMIF(Table1[product_category],"Bakery",Table1[Total_bill])</f>
        <v>2951.25</v>
      </c>
    </row>
    <row r="348" spans="1:19" x14ac:dyDescent="0.3">
      <c r="A348" s="2">
        <v>10347</v>
      </c>
      <c r="B348" s="4">
        <v>45978</v>
      </c>
      <c r="C348" t="s">
        <v>505</v>
      </c>
      <c r="D348" t="s">
        <v>18</v>
      </c>
      <c r="E348" t="s">
        <v>19</v>
      </c>
      <c r="F348" t="s">
        <v>112</v>
      </c>
      <c r="G348">
        <v>3</v>
      </c>
      <c r="H348" s="5">
        <v>4.25</v>
      </c>
      <c r="I348" t="s">
        <v>32</v>
      </c>
      <c r="J348" t="s">
        <v>202</v>
      </c>
      <c r="K348" t="s">
        <v>202</v>
      </c>
      <c r="L348" t="s">
        <v>2124</v>
      </c>
      <c r="M348" s="5">
        <f t="shared" si="31"/>
        <v>12.75</v>
      </c>
      <c r="N348" t="str">
        <f t="shared" si="32"/>
        <v>November</v>
      </c>
      <c r="O348" t="str">
        <f t="shared" si="33"/>
        <v>Monday</v>
      </c>
      <c r="P348">
        <f t="shared" si="30"/>
        <v>13</v>
      </c>
      <c r="Q348" s="2">
        <f t="shared" si="34"/>
        <v>1</v>
      </c>
      <c r="R348" s="2">
        <f t="shared" si="35"/>
        <v>11</v>
      </c>
      <c r="S348">
        <f>SUMIF(Table1[product_category],"Bakery",Table1[Total_bill])</f>
        <v>2951.25</v>
      </c>
    </row>
    <row r="349" spans="1:19" x14ac:dyDescent="0.3">
      <c r="A349" s="2">
        <v>10348</v>
      </c>
      <c r="B349" s="4">
        <v>45979</v>
      </c>
      <c r="C349" t="s">
        <v>506</v>
      </c>
      <c r="D349" t="s">
        <v>25</v>
      </c>
      <c r="E349" t="s">
        <v>26</v>
      </c>
      <c r="F349" t="s">
        <v>115</v>
      </c>
      <c r="G349">
        <v>3</v>
      </c>
      <c r="H349" s="5">
        <v>3.5</v>
      </c>
      <c r="I349" t="s">
        <v>32</v>
      </c>
      <c r="J349" t="s">
        <v>33</v>
      </c>
      <c r="K349" t="s">
        <v>33</v>
      </c>
      <c r="L349" t="s">
        <v>2122</v>
      </c>
      <c r="M349" s="5">
        <f t="shared" si="31"/>
        <v>10.5</v>
      </c>
      <c r="N349" t="str">
        <f t="shared" si="32"/>
        <v>November</v>
      </c>
      <c r="O349" t="str">
        <f t="shared" si="33"/>
        <v>Tuesday</v>
      </c>
      <c r="P349">
        <f t="shared" si="30"/>
        <v>6</v>
      </c>
      <c r="Q349" s="2">
        <f t="shared" si="34"/>
        <v>2</v>
      </c>
      <c r="R349" s="2">
        <f t="shared" si="35"/>
        <v>11</v>
      </c>
      <c r="S349">
        <f>SUMIF(Table1[product_category],"Bakery",Table1[Total_bill])</f>
        <v>2951.25</v>
      </c>
    </row>
    <row r="350" spans="1:19" x14ac:dyDescent="0.3">
      <c r="A350" s="2">
        <v>10349</v>
      </c>
      <c r="B350" s="4">
        <v>45980</v>
      </c>
      <c r="C350" t="s">
        <v>411</v>
      </c>
      <c r="D350" t="s">
        <v>18</v>
      </c>
      <c r="E350" t="s">
        <v>19</v>
      </c>
      <c r="F350" t="s">
        <v>117</v>
      </c>
      <c r="G350">
        <v>1</v>
      </c>
      <c r="H350" s="5">
        <v>11</v>
      </c>
      <c r="I350" t="s">
        <v>98</v>
      </c>
      <c r="J350" t="s">
        <v>98</v>
      </c>
      <c r="K350" t="s">
        <v>215</v>
      </c>
      <c r="L350" t="s">
        <v>2125</v>
      </c>
      <c r="M350" s="5">
        <f t="shared" si="31"/>
        <v>11</v>
      </c>
      <c r="N350" t="str">
        <f t="shared" si="32"/>
        <v>November</v>
      </c>
      <c r="O350" t="str">
        <f t="shared" si="33"/>
        <v>Wednesday</v>
      </c>
      <c r="P350">
        <f t="shared" si="30"/>
        <v>10</v>
      </c>
      <c r="Q350" s="2">
        <f t="shared" si="34"/>
        <v>3</v>
      </c>
      <c r="R350" s="2">
        <f t="shared" si="35"/>
        <v>11</v>
      </c>
      <c r="S350">
        <f>SUMIF(Table1[product_category],"Bakery",Table1[Total_bill])</f>
        <v>2951.25</v>
      </c>
    </row>
    <row r="351" spans="1:19" x14ac:dyDescent="0.3">
      <c r="A351" s="2">
        <v>10350</v>
      </c>
      <c r="B351" s="4">
        <v>45981</v>
      </c>
      <c r="C351" t="s">
        <v>507</v>
      </c>
      <c r="D351" t="s">
        <v>18</v>
      </c>
      <c r="E351" t="s">
        <v>19</v>
      </c>
      <c r="F351" t="s">
        <v>119</v>
      </c>
      <c r="G351">
        <v>3</v>
      </c>
      <c r="H351" s="5">
        <v>3</v>
      </c>
      <c r="I351" t="s">
        <v>21</v>
      </c>
      <c r="J351" t="s">
        <v>181</v>
      </c>
      <c r="K351" t="s">
        <v>182</v>
      </c>
      <c r="L351" t="s">
        <v>2125</v>
      </c>
      <c r="M351" s="5">
        <f t="shared" si="31"/>
        <v>9</v>
      </c>
      <c r="N351" t="str">
        <f t="shared" si="32"/>
        <v>November</v>
      </c>
      <c r="O351" t="str">
        <f t="shared" si="33"/>
        <v>Thursday</v>
      </c>
      <c r="P351">
        <f t="shared" si="30"/>
        <v>13</v>
      </c>
      <c r="Q351" s="2">
        <f t="shared" si="34"/>
        <v>4</v>
      </c>
      <c r="R351" s="2">
        <f t="shared" si="35"/>
        <v>11</v>
      </c>
      <c r="S351">
        <f>SUMIF(Table1[product_category],"Bakery",Table1[Total_bill])</f>
        <v>2951.25</v>
      </c>
    </row>
    <row r="352" spans="1:19" x14ac:dyDescent="0.3">
      <c r="A352" s="2">
        <v>10351</v>
      </c>
      <c r="B352" s="4">
        <v>45982</v>
      </c>
      <c r="C352" t="s">
        <v>508</v>
      </c>
      <c r="D352" t="s">
        <v>18</v>
      </c>
      <c r="E352" t="s">
        <v>19</v>
      </c>
      <c r="F352" t="s">
        <v>121</v>
      </c>
      <c r="G352">
        <v>4</v>
      </c>
      <c r="H352" s="5">
        <v>4.5</v>
      </c>
      <c r="I352" t="s">
        <v>89</v>
      </c>
      <c r="J352" t="s">
        <v>90</v>
      </c>
      <c r="K352" t="s">
        <v>91</v>
      </c>
      <c r="L352" t="s">
        <v>2124</v>
      </c>
      <c r="M352" s="5">
        <f t="shared" si="31"/>
        <v>18</v>
      </c>
      <c r="N352" t="str">
        <f t="shared" si="32"/>
        <v>November</v>
      </c>
      <c r="O352" t="str">
        <f t="shared" si="33"/>
        <v>Friday</v>
      </c>
      <c r="P352">
        <f t="shared" si="30"/>
        <v>12</v>
      </c>
      <c r="Q352" s="2">
        <f t="shared" si="34"/>
        <v>5</v>
      </c>
      <c r="R352" s="2">
        <f t="shared" si="35"/>
        <v>11</v>
      </c>
      <c r="S352">
        <f>SUMIF(Table1[product_category],"Bakery",Table1[Total_bill])</f>
        <v>2951.25</v>
      </c>
    </row>
    <row r="353" spans="1:19" x14ac:dyDescent="0.3">
      <c r="A353" s="2">
        <v>10352</v>
      </c>
      <c r="B353" s="4">
        <v>45983</v>
      </c>
      <c r="C353" t="s">
        <v>509</v>
      </c>
      <c r="D353" t="s">
        <v>25</v>
      </c>
      <c r="E353" t="s">
        <v>26</v>
      </c>
      <c r="F353" t="s">
        <v>124</v>
      </c>
      <c r="G353">
        <v>4</v>
      </c>
      <c r="H353" s="5">
        <v>14</v>
      </c>
      <c r="I353" t="s">
        <v>98</v>
      </c>
      <c r="J353" t="s">
        <v>98</v>
      </c>
      <c r="K353" t="s">
        <v>129</v>
      </c>
      <c r="L353" t="s">
        <v>2125</v>
      </c>
      <c r="M353" s="5">
        <f t="shared" si="31"/>
        <v>56</v>
      </c>
      <c r="N353" t="str">
        <f t="shared" si="32"/>
        <v>November</v>
      </c>
      <c r="O353" t="str">
        <f t="shared" si="33"/>
        <v>Saturday</v>
      </c>
      <c r="P353">
        <f t="shared" si="30"/>
        <v>17</v>
      </c>
      <c r="Q353" s="2">
        <f t="shared" si="34"/>
        <v>6</v>
      </c>
      <c r="R353" s="2">
        <f t="shared" si="35"/>
        <v>11</v>
      </c>
      <c r="S353">
        <f>SUMIF(Table1[product_category],"Bakery",Table1[Total_bill])</f>
        <v>2951.25</v>
      </c>
    </row>
    <row r="354" spans="1:19" x14ac:dyDescent="0.3">
      <c r="A354" s="2">
        <v>10353</v>
      </c>
      <c r="B354" s="4">
        <v>45984</v>
      </c>
      <c r="C354" t="s">
        <v>510</v>
      </c>
      <c r="D354" t="s">
        <v>40</v>
      </c>
      <c r="E354" t="s">
        <v>41</v>
      </c>
      <c r="F354" t="s">
        <v>126</v>
      </c>
      <c r="G354">
        <v>3</v>
      </c>
      <c r="H354" s="5">
        <v>4.75</v>
      </c>
      <c r="I354" t="s">
        <v>32</v>
      </c>
      <c r="J354" t="s">
        <v>202</v>
      </c>
      <c r="K354" t="s">
        <v>202</v>
      </c>
      <c r="L354" t="s">
        <v>2123</v>
      </c>
      <c r="M354" s="5">
        <f t="shared" si="31"/>
        <v>14.25</v>
      </c>
      <c r="N354" t="str">
        <f t="shared" si="32"/>
        <v>November</v>
      </c>
      <c r="O354" t="str">
        <f t="shared" si="33"/>
        <v>Sunday</v>
      </c>
      <c r="P354">
        <f t="shared" si="30"/>
        <v>14</v>
      </c>
      <c r="Q354" s="2">
        <f t="shared" si="34"/>
        <v>7</v>
      </c>
      <c r="R354" s="2">
        <f t="shared" si="35"/>
        <v>11</v>
      </c>
      <c r="S354">
        <f>SUMIF(Table1[product_category],"Bakery",Table1[Total_bill])</f>
        <v>2951.25</v>
      </c>
    </row>
    <row r="355" spans="1:19" x14ac:dyDescent="0.3">
      <c r="A355" s="2">
        <v>10354</v>
      </c>
      <c r="B355" s="4">
        <v>45985</v>
      </c>
      <c r="C355" t="s">
        <v>511</v>
      </c>
      <c r="D355" t="s">
        <v>40</v>
      </c>
      <c r="E355" t="s">
        <v>41</v>
      </c>
      <c r="F355" t="s">
        <v>128</v>
      </c>
      <c r="G355">
        <v>1</v>
      </c>
      <c r="H355" s="5">
        <v>14</v>
      </c>
      <c r="I355" t="s">
        <v>101</v>
      </c>
      <c r="J355" t="s">
        <v>102</v>
      </c>
      <c r="K355" t="s">
        <v>193</v>
      </c>
      <c r="L355" t="s">
        <v>2125</v>
      </c>
      <c r="M355" s="5">
        <f t="shared" si="31"/>
        <v>14</v>
      </c>
      <c r="N355" t="str">
        <f t="shared" si="32"/>
        <v>November</v>
      </c>
      <c r="O355" t="str">
        <f t="shared" si="33"/>
        <v>Monday</v>
      </c>
      <c r="P355">
        <f t="shared" si="30"/>
        <v>8</v>
      </c>
      <c r="Q355" s="2">
        <f t="shared" si="34"/>
        <v>1</v>
      </c>
      <c r="R355" s="2">
        <f t="shared" si="35"/>
        <v>11</v>
      </c>
      <c r="S355">
        <f>SUMIF(Table1[product_category],"Bakery",Table1[Total_bill])</f>
        <v>2951.25</v>
      </c>
    </row>
    <row r="356" spans="1:19" x14ac:dyDescent="0.3">
      <c r="A356" s="2">
        <v>10355</v>
      </c>
      <c r="B356" s="4">
        <v>45986</v>
      </c>
      <c r="C356" t="s">
        <v>512</v>
      </c>
      <c r="D356" t="s">
        <v>25</v>
      </c>
      <c r="E356" t="s">
        <v>26</v>
      </c>
      <c r="F356" t="s">
        <v>131</v>
      </c>
      <c r="G356">
        <v>4</v>
      </c>
      <c r="H356" s="5">
        <v>2.75</v>
      </c>
      <c r="I356" t="s">
        <v>21</v>
      </c>
      <c r="J356" t="s">
        <v>22</v>
      </c>
      <c r="K356" t="s">
        <v>23</v>
      </c>
      <c r="L356" t="s">
        <v>2125</v>
      </c>
      <c r="M356" s="5">
        <f t="shared" si="31"/>
        <v>11</v>
      </c>
      <c r="N356" t="str">
        <f t="shared" si="32"/>
        <v>November</v>
      </c>
      <c r="O356" t="str">
        <f t="shared" si="33"/>
        <v>Tuesday</v>
      </c>
      <c r="P356">
        <f t="shared" si="30"/>
        <v>7</v>
      </c>
      <c r="Q356" s="2">
        <f t="shared" si="34"/>
        <v>2</v>
      </c>
      <c r="R356" s="2">
        <f t="shared" si="35"/>
        <v>11</v>
      </c>
      <c r="S356">
        <f>SUMIF(Table1[product_category],"Bakery",Table1[Total_bill])</f>
        <v>2951.25</v>
      </c>
    </row>
    <row r="357" spans="1:19" x14ac:dyDescent="0.3">
      <c r="A357" s="2">
        <v>10356</v>
      </c>
      <c r="B357" s="4">
        <v>45987</v>
      </c>
      <c r="C357" t="s">
        <v>513</v>
      </c>
      <c r="D357" t="s">
        <v>25</v>
      </c>
      <c r="E357" t="s">
        <v>26</v>
      </c>
      <c r="F357" t="s">
        <v>133</v>
      </c>
      <c r="G357">
        <v>4</v>
      </c>
      <c r="H357" s="5">
        <v>3</v>
      </c>
      <c r="I357" t="s">
        <v>21</v>
      </c>
      <c r="J357" t="s">
        <v>181</v>
      </c>
      <c r="K357" t="s">
        <v>182</v>
      </c>
      <c r="L357" t="s">
        <v>2125</v>
      </c>
      <c r="M357" s="5">
        <f t="shared" si="31"/>
        <v>12</v>
      </c>
      <c r="N357" t="str">
        <f t="shared" si="32"/>
        <v>November</v>
      </c>
      <c r="O357" t="str">
        <f t="shared" si="33"/>
        <v>Wednesday</v>
      </c>
      <c r="P357">
        <f t="shared" si="30"/>
        <v>14</v>
      </c>
      <c r="Q357" s="2">
        <f t="shared" si="34"/>
        <v>3</v>
      </c>
      <c r="R357" s="2">
        <f t="shared" si="35"/>
        <v>11</v>
      </c>
      <c r="S357">
        <f>SUMIF(Table1[product_category],"Bakery",Table1[Total_bill])</f>
        <v>2951.25</v>
      </c>
    </row>
    <row r="358" spans="1:19" x14ac:dyDescent="0.3">
      <c r="A358" s="2">
        <v>10357</v>
      </c>
      <c r="B358" s="4">
        <v>45988</v>
      </c>
      <c r="C358" t="s">
        <v>514</v>
      </c>
      <c r="D358" t="s">
        <v>25</v>
      </c>
      <c r="E358" t="s">
        <v>26</v>
      </c>
      <c r="F358" t="s">
        <v>135</v>
      </c>
      <c r="G358">
        <v>3</v>
      </c>
      <c r="H358" s="5">
        <v>3.25</v>
      </c>
      <c r="I358" t="s">
        <v>21</v>
      </c>
      <c r="J358" t="s">
        <v>81</v>
      </c>
      <c r="K358" t="s">
        <v>82</v>
      </c>
      <c r="L358" t="s">
        <v>2125</v>
      </c>
      <c r="M358" s="5">
        <f t="shared" si="31"/>
        <v>9.75</v>
      </c>
      <c r="N358" t="str">
        <f t="shared" si="32"/>
        <v>November</v>
      </c>
      <c r="O358" t="str">
        <f t="shared" si="33"/>
        <v>Thursday</v>
      </c>
      <c r="P358">
        <f t="shared" si="30"/>
        <v>6</v>
      </c>
      <c r="Q358" s="2">
        <f t="shared" si="34"/>
        <v>4</v>
      </c>
      <c r="R358" s="2">
        <f t="shared" si="35"/>
        <v>11</v>
      </c>
      <c r="S358">
        <f>SUMIF(Table1[product_category],"Bakery",Table1[Total_bill])</f>
        <v>2951.25</v>
      </c>
    </row>
    <row r="359" spans="1:19" x14ac:dyDescent="0.3">
      <c r="A359" s="2">
        <v>10358</v>
      </c>
      <c r="B359" s="4">
        <v>45989</v>
      </c>
      <c r="C359" t="s">
        <v>515</v>
      </c>
      <c r="D359" t="s">
        <v>40</v>
      </c>
      <c r="E359" t="s">
        <v>41</v>
      </c>
      <c r="F359" t="s">
        <v>137</v>
      </c>
      <c r="G359">
        <v>4</v>
      </c>
      <c r="H359" s="5">
        <v>14</v>
      </c>
      <c r="I359" t="s">
        <v>101</v>
      </c>
      <c r="J359" t="s">
        <v>102</v>
      </c>
      <c r="K359" t="s">
        <v>193</v>
      </c>
      <c r="L359" t="s">
        <v>2125</v>
      </c>
      <c r="M359" s="5">
        <f t="shared" si="31"/>
        <v>56</v>
      </c>
      <c r="N359" t="str">
        <f t="shared" si="32"/>
        <v>November</v>
      </c>
      <c r="O359" t="str">
        <f t="shared" si="33"/>
        <v>Friday</v>
      </c>
      <c r="P359">
        <f t="shared" si="30"/>
        <v>13</v>
      </c>
      <c r="Q359" s="2">
        <f t="shared" si="34"/>
        <v>5</v>
      </c>
      <c r="R359" s="2">
        <f t="shared" si="35"/>
        <v>11</v>
      </c>
      <c r="S359">
        <f>SUMIF(Table1[product_category],"Bakery",Table1[Total_bill])</f>
        <v>2951.25</v>
      </c>
    </row>
    <row r="360" spans="1:19" x14ac:dyDescent="0.3">
      <c r="A360" s="2">
        <v>10359</v>
      </c>
      <c r="B360" s="4">
        <v>45990</v>
      </c>
      <c r="C360" t="s">
        <v>516</v>
      </c>
      <c r="D360" t="s">
        <v>40</v>
      </c>
      <c r="E360" t="s">
        <v>41</v>
      </c>
      <c r="F360" t="s">
        <v>140</v>
      </c>
      <c r="G360">
        <v>4</v>
      </c>
      <c r="H360" s="5">
        <v>2.5</v>
      </c>
      <c r="I360" t="s">
        <v>32</v>
      </c>
      <c r="J360" t="s">
        <v>226</v>
      </c>
      <c r="K360" t="s">
        <v>227</v>
      </c>
      <c r="L360" t="s">
        <v>2122</v>
      </c>
      <c r="M360" s="5">
        <f t="shared" si="31"/>
        <v>10</v>
      </c>
      <c r="N360" t="str">
        <f t="shared" si="32"/>
        <v>November</v>
      </c>
      <c r="O360" t="str">
        <f t="shared" si="33"/>
        <v>Saturday</v>
      </c>
      <c r="P360">
        <f t="shared" si="30"/>
        <v>19</v>
      </c>
      <c r="Q360" s="2">
        <f t="shared" si="34"/>
        <v>6</v>
      </c>
      <c r="R360" s="2">
        <f t="shared" si="35"/>
        <v>11</v>
      </c>
      <c r="S360">
        <f>SUMIF(Table1[product_category],"Bakery",Table1[Total_bill])</f>
        <v>2951.25</v>
      </c>
    </row>
    <row r="361" spans="1:19" x14ac:dyDescent="0.3">
      <c r="A361" s="2">
        <v>10360</v>
      </c>
      <c r="B361" s="4">
        <v>45991</v>
      </c>
      <c r="C361" t="s">
        <v>517</v>
      </c>
      <c r="D361" t="s">
        <v>25</v>
      </c>
      <c r="E361" t="s">
        <v>26</v>
      </c>
      <c r="F361" t="s">
        <v>143</v>
      </c>
      <c r="G361">
        <v>1</v>
      </c>
      <c r="H361" s="5">
        <v>3.5</v>
      </c>
      <c r="I361" t="s">
        <v>21</v>
      </c>
      <c r="J361" t="s">
        <v>51</v>
      </c>
      <c r="K361" t="s">
        <v>52</v>
      </c>
      <c r="L361" t="s">
        <v>2125</v>
      </c>
      <c r="M361" s="5">
        <f t="shared" si="31"/>
        <v>3.5</v>
      </c>
      <c r="N361" t="str">
        <f t="shared" si="32"/>
        <v>November</v>
      </c>
      <c r="O361" t="str">
        <f t="shared" si="33"/>
        <v>Sunday</v>
      </c>
      <c r="P361">
        <f t="shared" si="30"/>
        <v>13</v>
      </c>
      <c r="Q361" s="2">
        <f t="shared" si="34"/>
        <v>7</v>
      </c>
      <c r="R361" s="2">
        <f t="shared" si="35"/>
        <v>11</v>
      </c>
      <c r="S361">
        <f>SUMIF(Table1[product_category],"Bakery",Table1[Total_bill])</f>
        <v>2951.25</v>
      </c>
    </row>
    <row r="362" spans="1:19" x14ac:dyDescent="0.3">
      <c r="A362" s="2">
        <v>10361</v>
      </c>
      <c r="B362" s="4">
        <v>45992</v>
      </c>
      <c r="C362" t="s">
        <v>518</v>
      </c>
      <c r="D362" t="s">
        <v>18</v>
      </c>
      <c r="E362" t="s">
        <v>19</v>
      </c>
      <c r="F362" t="s">
        <v>146</v>
      </c>
      <c r="G362">
        <v>3</v>
      </c>
      <c r="H362" s="5">
        <v>5.5</v>
      </c>
      <c r="I362" t="s">
        <v>72</v>
      </c>
      <c r="J362" t="s">
        <v>72</v>
      </c>
      <c r="K362" t="s">
        <v>141</v>
      </c>
      <c r="L362" t="s">
        <v>2125</v>
      </c>
      <c r="M362" s="5">
        <f t="shared" si="31"/>
        <v>16.5</v>
      </c>
      <c r="N362" t="str">
        <f t="shared" si="32"/>
        <v>December</v>
      </c>
      <c r="O362" t="str">
        <f t="shared" si="33"/>
        <v>Monday</v>
      </c>
      <c r="P362">
        <f t="shared" si="30"/>
        <v>10</v>
      </c>
      <c r="Q362" s="2">
        <f t="shared" si="34"/>
        <v>1</v>
      </c>
      <c r="R362" s="2">
        <f t="shared" si="35"/>
        <v>12</v>
      </c>
      <c r="S362">
        <f>SUMIF(Table1[product_category],"Bakery",Table1[Total_bill])</f>
        <v>2951.25</v>
      </c>
    </row>
    <row r="363" spans="1:19" x14ac:dyDescent="0.3">
      <c r="A363" s="2">
        <v>10362</v>
      </c>
      <c r="B363" s="4">
        <v>45993</v>
      </c>
      <c r="C363" t="s">
        <v>519</v>
      </c>
      <c r="D363" t="s">
        <v>25</v>
      </c>
      <c r="E363" t="s">
        <v>26</v>
      </c>
      <c r="F363" t="s">
        <v>148</v>
      </c>
      <c r="G363">
        <v>2</v>
      </c>
      <c r="H363" s="5">
        <v>13</v>
      </c>
      <c r="I363" t="s">
        <v>98</v>
      </c>
      <c r="J363" t="s">
        <v>98</v>
      </c>
      <c r="K363" t="s">
        <v>95</v>
      </c>
      <c r="L363" t="s">
        <v>2125</v>
      </c>
      <c r="M363" s="5">
        <f t="shared" si="31"/>
        <v>26</v>
      </c>
      <c r="N363" t="str">
        <f t="shared" si="32"/>
        <v>December</v>
      </c>
      <c r="O363" t="str">
        <f t="shared" si="33"/>
        <v>Tuesday</v>
      </c>
      <c r="P363">
        <f t="shared" si="30"/>
        <v>14</v>
      </c>
      <c r="Q363" s="2">
        <f t="shared" si="34"/>
        <v>2</v>
      </c>
      <c r="R363" s="2">
        <f t="shared" si="35"/>
        <v>12</v>
      </c>
      <c r="S363">
        <f>SUMIF(Table1[product_category],"Bakery",Table1[Total_bill])</f>
        <v>2951.25</v>
      </c>
    </row>
    <row r="364" spans="1:19" x14ac:dyDescent="0.3">
      <c r="A364" s="2">
        <v>10363</v>
      </c>
      <c r="B364" s="4">
        <v>45994</v>
      </c>
      <c r="C364" t="s">
        <v>520</v>
      </c>
      <c r="D364" t="s">
        <v>40</v>
      </c>
      <c r="E364" t="s">
        <v>41</v>
      </c>
      <c r="F364" t="s">
        <v>150</v>
      </c>
      <c r="G364">
        <v>1</v>
      </c>
      <c r="H364" s="5">
        <v>2.25</v>
      </c>
      <c r="I364" t="s">
        <v>21</v>
      </c>
      <c r="J364" t="s">
        <v>58</v>
      </c>
      <c r="K364" t="s">
        <v>59</v>
      </c>
      <c r="L364" t="s">
        <v>2125</v>
      </c>
      <c r="M364" s="5">
        <f t="shared" si="31"/>
        <v>2.25</v>
      </c>
      <c r="N364" t="str">
        <f t="shared" si="32"/>
        <v>December</v>
      </c>
      <c r="O364" t="str">
        <f t="shared" si="33"/>
        <v>Wednesday</v>
      </c>
      <c r="P364">
        <f t="shared" si="30"/>
        <v>11</v>
      </c>
      <c r="Q364" s="2">
        <f t="shared" si="34"/>
        <v>3</v>
      </c>
      <c r="R364" s="2">
        <f t="shared" si="35"/>
        <v>12</v>
      </c>
      <c r="S364">
        <f>SUMIF(Table1[product_category],"Bakery",Table1[Total_bill])</f>
        <v>2951.25</v>
      </c>
    </row>
    <row r="365" spans="1:19" x14ac:dyDescent="0.3">
      <c r="A365" s="2">
        <v>10364</v>
      </c>
      <c r="B365" s="4">
        <v>45995</v>
      </c>
      <c r="C365" t="s">
        <v>521</v>
      </c>
      <c r="D365" t="s">
        <v>18</v>
      </c>
      <c r="E365" t="s">
        <v>19</v>
      </c>
      <c r="F365" t="s">
        <v>152</v>
      </c>
      <c r="G365">
        <v>3</v>
      </c>
      <c r="H365" s="5">
        <v>3</v>
      </c>
      <c r="I365" t="s">
        <v>36</v>
      </c>
      <c r="J365" t="s">
        <v>37</v>
      </c>
      <c r="K365" t="s">
        <v>38</v>
      </c>
      <c r="L365" t="s">
        <v>2124</v>
      </c>
      <c r="M365" s="5">
        <f t="shared" si="31"/>
        <v>9</v>
      </c>
      <c r="N365" t="str">
        <f t="shared" si="32"/>
        <v>December</v>
      </c>
      <c r="O365" t="str">
        <f t="shared" si="33"/>
        <v>Thursday</v>
      </c>
      <c r="P365">
        <f t="shared" si="30"/>
        <v>12</v>
      </c>
      <c r="Q365" s="2">
        <f t="shared" si="34"/>
        <v>4</v>
      </c>
      <c r="R365" s="2">
        <f t="shared" si="35"/>
        <v>12</v>
      </c>
      <c r="S365">
        <f>SUMIF(Table1[product_category],"Bakery",Table1[Total_bill])</f>
        <v>2951.25</v>
      </c>
    </row>
    <row r="366" spans="1:19" x14ac:dyDescent="0.3">
      <c r="A366" s="2">
        <v>10365</v>
      </c>
      <c r="B366" s="4">
        <v>45996</v>
      </c>
      <c r="C366" t="s">
        <v>522</v>
      </c>
      <c r="D366" t="s">
        <v>40</v>
      </c>
      <c r="E366" t="s">
        <v>41</v>
      </c>
      <c r="F366" t="s">
        <v>154</v>
      </c>
      <c r="G366">
        <v>3</v>
      </c>
      <c r="H366" s="5">
        <v>8</v>
      </c>
      <c r="I366" t="s">
        <v>28</v>
      </c>
      <c r="J366" t="s">
        <v>28</v>
      </c>
      <c r="K366" t="s">
        <v>76</v>
      </c>
      <c r="L366" t="s">
        <v>2125</v>
      </c>
      <c r="M366" s="5">
        <f t="shared" si="31"/>
        <v>24</v>
      </c>
      <c r="N366" t="str">
        <f t="shared" si="32"/>
        <v>December</v>
      </c>
      <c r="O366" t="str">
        <f t="shared" si="33"/>
        <v>Friday</v>
      </c>
      <c r="P366">
        <f t="shared" si="30"/>
        <v>19</v>
      </c>
      <c r="Q366" s="2">
        <f t="shared" si="34"/>
        <v>5</v>
      </c>
      <c r="R366" s="2">
        <f t="shared" si="35"/>
        <v>12</v>
      </c>
      <c r="S366">
        <f>SUMIF(Table1[product_category],"Bakery",Table1[Total_bill])</f>
        <v>2951.25</v>
      </c>
    </row>
    <row r="367" spans="1:19" x14ac:dyDescent="0.3">
      <c r="A367" s="2">
        <v>10366</v>
      </c>
      <c r="B367" s="4">
        <v>45997</v>
      </c>
      <c r="C367" t="s">
        <v>523</v>
      </c>
      <c r="D367" t="s">
        <v>25</v>
      </c>
      <c r="E367" t="s">
        <v>26</v>
      </c>
      <c r="F367" t="s">
        <v>156</v>
      </c>
      <c r="G367">
        <v>4</v>
      </c>
      <c r="H367" s="5">
        <v>4</v>
      </c>
      <c r="I367" t="s">
        <v>32</v>
      </c>
      <c r="J367" t="s">
        <v>122</v>
      </c>
      <c r="K367" t="s">
        <v>122</v>
      </c>
      <c r="L367" t="s">
        <v>2124</v>
      </c>
      <c r="M367" s="5">
        <f t="shared" si="31"/>
        <v>16</v>
      </c>
      <c r="N367" t="str">
        <f t="shared" si="32"/>
        <v>December</v>
      </c>
      <c r="O367" t="str">
        <f t="shared" si="33"/>
        <v>Saturday</v>
      </c>
      <c r="P367">
        <f t="shared" si="30"/>
        <v>10</v>
      </c>
      <c r="Q367" s="2">
        <f t="shared" si="34"/>
        <v>6</v>
      </c>
      <c r="R367" s="2">
        <f t="shared" si="35"/>
        <v>12</v>
      </c>
      <c r="S367">
        <f>SUMIF(Table1[product_category],"Bakery",Table1[Total_bill])</f>
        <v>2951.25</v>
      </c>
    </row>
    <row r="368" spans="1:19" x14ac:dyDescent="0.3">
      <c r="A368" s="2">
        <v>10367</v>
      </c>
      <c r="B368" s="4">
        <v>45998</v>
      </c>
      <c r="C368" t="s">
        <v>524</v>
      </c>
      <c r="D368" t="s">
        <v>18</v>
      </c>
      <c r="E368" t="s">
        <v>19</v>
      </c>
      <c r="F368" t="s">
        <v>158</v>
      </c>
      <c r="G368">
        <v>2</v>
      </c>
      <c r="H368" s="5">
        <v>2.25</v>
      </c>
      <c r="I368" t="s">
        <v>21</v>
      </c>
      <c r="J368" t="s">
        <v>58</v>
      </c>
      <c r="K368" t="s">
        <v>59</v>
      </c>
      <c r="L368" t="s">
        <v>2125</v>
      </c>
      <c r="M368" s="5">
        <f t="shared" si="31"/>
        <v>4.5</v>
      </c>
      <c r="N368" t="str">
        <f t="shared" si="32"/>
        <v>December</v>
      </c>
      <c r="O368" t="str">
        <f t="shared" si="33"/>
        <v>Sunday</v>
      </c>
      <c r="P368">
        <f t="shared" si="30"/>
        <v>20</v>
      </c>
      <c r="Q368" s="2">
        <f t="shared" si="34"/>
        <v>7</v>
      </c>
      <c r="R368" s="2">
        <f t="shared" si="35"/>
        <v>12</v>
      </c>
      <c r="S368">
        <f>SUMIF(Table1[product_category],"Bakery",Table1[Total_bill])</f>
        <v>2951.25</v>
      </c>
    </row>
    <row r="369" spans="1:19" x14ac:dyDescent="0.3">
      <c r="A369" s="2">
        <v>10368</v>
      </c>
      <c r="B369" s="4">
        <v>45999</v>
      </c>
      <c r="C369" t="s">
        <v>525</v>
      </c>
      <c r="D369" t="s">
        <v>40</v>
      </c>
      <c r="E369" t="s">
        <v>41</v>
      </c>
      <c r="F369" t="s">
        <v>160</v>
      </c>
      <c r="G369">
        <v>1</v>
      </c>
      <c r="H369" s="5">
        <v>14</v>
      </c>
      <c r="I369" t="s">
        <v>101</v>
      </c>
      <c r="J369" t="s">
        <v>102</v>
      </c>
      <c r="K369" t="s">
        <v>193</v>
      </c>
      <c r="L369" t="s">
        <v>2125</v>
      </c>
      <c r="M369" s="5">
        <f t="shared" si="31"/>
        <v>14</v>
      </c>
      <c r="N369" t="str">
        <f t="shared" si="32"/>
        <v>December</v>
      </c>
      <c r="O369" t="str">
        <f t="shared" si="33"/>
        <v>Monday</v>
      </c>
      <c r="P369">
        <f t="shared" si="30"/>
        <v>18</v>
      </c>
      <c r="Q369" s="2">
        <f t="shared" si="34"/>
        <v>1</v>
      </c>
      <c r="R369" s="2">
        <f t="shared" si="35"/>
        <v>12</v>
      </c>
      <c r="S369">
        <f>SUMIF(Table1[product_category],"Bakery",Table1[Total_bill])</f>
        <v>2951.25</v>
      </c>
    </row>
    <row r="370" spans="1:19" x14ac:dyDescent="0.3">
      <c r="A370" s="2">
        <v>10369</v>
      </c>
      <c r="B370" s="4">
        <v>46000</v>
      </c>
      <c r="C370" t="s">
        <v>526</v>
      </c>
      <c r="D370" t="s">
        <v>18</v>
      </c>
      <c r="E370" t="s">
        <v>19</v>
      </c>
      <c r="F370" t="s">
        <v>162</v>
      </c>
      <c r="G370">
        <v>4</v>
      </c>
      <c r="H370" s="5">
        <v>2.5</v>
      </c>
      <c r="I370" t="s">
        <v>21</v>
      </c>
      <c r="J370" t="s">
        <v>47</v>
      </c>
      <c r="K370" t="s">
        <v>48</v>
      </c>
      <c r="L370" t="s">
        <v>2125</v>
      </c>
      <c r="M370" s="5">
        <f t="shared" si="31"/>
        <v>10</v>
      </c>
      <c r="N370" t="str">
        <f t="shared" si="32"/>
        <v>December</v>
      </c>
      <c r="O370" t="str">
        <f t="shared" si="33"/>
        <v>Tuesday</v>
      </c>
      <c r="P370">
        <f t="shared" si="30"/>
        <v>8</v>
      </c>
      <c r="Q370" s="2">
        <f t="shared" si="34"/>
        <v>2</v>
      </c>
      <c r="R370" s="2">
        <f t="shared" si="35"/>
        <v>12</v>
      </c>
      <c r="S370">
        <f>SUMIF(Table1[product_category],"Bakery",Table1[Total_bill])</f>
        <v>2951.25</v>
      </c>
    </row>
    <row r="371" spans="1:19" x14ac:dyDescent="0.3">
      <c r="A371" s="2">
        <v>10370</v>
      </c>
      <c r="B371" s="4">
        <v>46001</v>
      </c>
      <c r="C371" t="s">
        <v>527</v>
      </c>
      <c r="D371" t="s">
        <v>18</v>
      </c>
      <c r="E371" t="s">
        <v>19</v>
      </c>
      <c r="F371" t="s">
        <v>164</v>
      </c>
      <c r="G371">
        <v>2</v>
      </c>
      <c r="H371" s="5">
        <v>14</v>
      </c>
      <c r="I371" t="s">
        <v>101</v>
      </c>
      <c r="J371" t="s">
        <v>102</v>
      </c>
      <c r="K371" t="s">
        <v>193</v>
      </c>
      <c r="L371" t="s">
        <v>2125</v>
      </c>
      <c r="M371" s="5">
        <f t="shared" si="31"/>
        <v>28</v>
      </c>
      <c r="N371" t="str">
        <f t="shared" si="32"/>
        <v>December</v>
      </c>
      <c r="O371" t="str">
        <f t="shared" si="33"/>
        <v>Wednesday</v>
      </c>
      <c r="P371">
        <f t="shared" si="30"/>
        <v>7</v>
      </c>
      <c r="Q371" s="2">
        <f t="shared" si="34"/>
        <v>3</v>
      </c>
      <c r="R371" s="2">
        <f t="shared" si="35"/>
        <v>12</v>
      </c>
      <c r="S371">
        <f>SUMIF(Table1[product_category],"Bakery",Table1[Total_bill])</f>
        <v>2951.25</v>
      </c>
    </row>
    <row r="372" spans="1:19" x14ac:dyDescent="0.3">
      <c r="A372" s="2">
        <v>10371</v>
      </c>
      <c r="B372" s="4">
        <v>46002</v>
      </c>
      <c r="C372" t="s">
        <v>528</v>
      </c>
      <c r="D372" t="s">
        <v>40</v>
      </c>
      <c r="E372" t="s">
        <v>41</v>
      </c>
      <c r="F372" t="s">
        <v>166</v>
      </c>
      <c r="G372">
        <v>3</v>
      </c>
      <c r="H372" s="5">
        <v>3.75</v>
      </c>
      <c r="I372" t="s">
        <v>36</v>
      </c>
      <c r="J372" t="s">
        <v>211</v>
      </c>
      <c r="K372" t="s">
        <v>212</v>
      </c>
      <c r="L372" t="s">
        <v>2124</v>
      </c>
      <c r="M372" s="5">
        <f t="shared" si="31"/>
        <v>11.25</v>
      </c>
      <c r="N372" t="str">
        <f t="shared" si="32"/>
        <v>December</v>
      </c>
      <c r="O372" t="str">
        <f t="shared" si="33"/>
        <v>Thursday</v>
      </c>
      <c r="P372">
        <f t="shared" si="30"/>
        <v>7</v>
      </c>
      <c r="Q372" s="2">
        <f t="shared" si="34"/>
        <v>4</v>
      </c>
      <c r="R372" s="2">
        <f t="shared" si="35"/>
        <v>12</v>
      </c>
      <c r="S372">
        <f>SUMIF(Table1[product_category],"Bakery",Table1[Total_bill])</f>
        <v>2951.25</v>
      </c>
    </row>
    <row r="373" spans="1:19" x14ac:dyDescent="0.3">
      <c r="A373" s="2">
        <v>10372</v>
      </c>
      <c r="B373" s="4">
        <v>46003</v>
      </c>
      <c r="C373" t="s">
        <v>529</v>
      </c>
      <c r="D373" t="s">
        <v>18</v>
      </c>
      <c r="E373" t="s">
        <v>19</v>
      </c>
      <c r="F373" t="s">
        <v>168</v>
      </c>
      <c r="G373">
        <v>4</v>
      </c>
      <c r="H373" s="5">
        <v>9.5</v>
      </c>
      <c r="I373" t="s">
        <v>28</v>
      </c>
      <c r="J373" t="s">
        <v>28</v>
      </c>
      <c r="K373" t="s">
        <v>29</v>
      </c>
      <c r="L373" t="s">
        <v>2125</v>
      </c>
      <c r="M373" s="5">
        <f t="shared" si="31"/>
        <v>38</v>
      </c>
      <c r="N373" t="str">
        <f t="shared" si="32"/>
        <v>December</v>
      </c>
      <c r="O373" t="str">
        <f t="shared" si="33"/>
        <v>Friday</v>
      </c>
      <c r="P373">
        <f t="shared" si="30"/>
        <v>6</v>
      </c>
      <c r="Q373" s="2">
        <f t="shared" si="34"/>
        <v>5</v>
      </c>
      <c r="R373" s="2">
        <f t="shared" si="35"/>
        <v>12</v>
      </c>
      <c r="S373">
        <f>SUMIF(Table1[product_category],"Bakery",Table1[Total_bill])</f>
        <v>2951.25</v>
      </c>
    </row>
    <row r="374" spans="1:19" x14ac:dyDescent="0.3">
      <c r="A374" s="2">
        <v>10373</v>
      </c>
      <c r="B374" s="4">
        <v>46004</v>
      </c>
      <c r="C374" t="s">
        <v>530</v>
      </c>
      <c r="D374" t="s">
        <v>40</v>
      </c>
      <c r="E374" t="s">
        <v>41</v>
      </c>
      <c r="F374" t="s">
        <v>170</v>
      </c>
      <c r="G374">
        <v>3</v>
      </c>
      <c r="H374" s="5">
        <v>3</v>
      </c>
      <c r="I374" t="s">
        <v>32</v>
      </c>
      <c r="J374" t="s">
        <v>226</v>
      </c>
      <c r="K374" t="s">
        <v>227</v>
      </c>
      <c r="L374" t="s">
        <v>2124</v>
      </c>
      <c r="M374" s="5">
        <f t="shared" si="31"/>
        <v>9</v>
      </c>
      <c r="N374" t="str">
        <f t="shared" si="32"/>
        <v>December</v>
      </c>
      <c r="O374" t="str">
        <f t="shared" si="33"/>
        <v>Saturday</v>
      </c>
      <c r="P374">
        <f t="shared" si="30"/>
        <v>7</v>
      </c>
      <c r="Q374" s="2">
        <f t="shared" si="34"/>
        <v>6</v>
      </c>
      <c r="R374" s="2">
        <f t="shared" si="35"/>
        <v>12</v>
      </c>
      <c r="S374">
        <f>SUMIF(Table1[product_category],"Bakery",Table1[Total_bill])</f>
        <v>2951.25</v>
      </c>
    </row>
    <row r="375" spans="1:19" x14ac:dyDescent="0.3">
      <c r="A375" s="2">
        <v>10374</v>
      </c>
      <c r="B375" s="4">
        <v>46005</v>
      </c>
      <c r="C375" t="s">
        <v>531</v>
      </c>
      <c r="D375" t="s">
        <v>18</v>
      </c>
      <c r="E375" t="s">
        <v>19</v>
      </c>
      <c r="F375" t="s">
        <v>172</v>
      </c>
      <c r="G375">
        <v>1</v>
      </c>
      <c r="H375" s="5">
        <v>3.25</v>
      </c>
      <c r="I375" t="s">
        <v>21</v>
      </c>
      <c r="J375" t="s">
        <v>81</v>
      </c>
      <c r="K375" t="s">
        <v>113</v>
      </c>
      <c r="L375" t="s">
        <v>2125</v>
      </c>
      <c r="M375" s="5">
        <f t="shared" si="31"/>
        <v>3.25</v>
      </c>
      <c r="N375" t="str">
        <f t="shared" si="32"/>
        <v>December</v>
      </c>
      <c r="O375" t="str">
        <f t="shared" si="33"/>
        <v>Sunday</v>
      </c>
      <c r="P375">
        <f t="shared" si="30"/>
        <v>14</v>
      </c>
      <c r="Q375" s="2">
        <f t="shared" si="34"/>
        <v>7</v>
      </c>
      <c r="R375" s="2">
        <f t="shared" si="35"/>
        <v>12</v>
      </c>
      <c r="S375">
        <f>SUMIF(Table1[product_category],"Bakery",Table1[Total_bill])</f>
        <v>2951.25</v>
      </c>
    </row>
    <row r="376" spans="1:19" x14ac:dyDescent="0.3">
      <c r="A376" s="2">
        <v>10375</v>
      </c>
      <c r="B376" s="4">
        <v>46006</v>
      </c>
      <c r="C376" t="s">
        <v>532</v>
      </c>
      <c r="D376" t="s">
        <v>18</v>
      </c>
      <c r="E376" t="s">
        <v>19</v>
      </c>
      <c r="F376" t="s">
        <v>174</v>
      </c>
      <c r="G376">
        <v>1</v>
      </c>
      <c r="H376" s="5">
        <v>3.5</v>
      </c>
      <c r="I376" t="s">
        <v>36</v>
      </c>
      <c r="J376" t="s">
        <v>37</v>
      </c>
      <c r="K376" t="s">
        <v>62</v>
      </c>
      <c r="L376" t="s">
        <v>2123</v>
      </c>
      <c r="M376" s="5">
        <f t="shared" si="31"/>
        <v>3.5</v>
      </c>
      <c r="N376" t="str">
        <f t="shared" si="32"/>
        <v>December</v>
      </c>
      <c r="O376" t="str">
        <f t="shared" si="33"/>
        <v>Monday</v>
      </c>
      <c r="P376">
        <f t="shared" si="30"/>
        <v>7</v>
      </c>
      <c r="Q376" s="2">
        <f t="shared" si="34"/>
        <v>1</v>
      </c>
      <c r="R376" s="2">
        <f t="shared" si="35"/>
        <v>12</v>
      </c>
      <c r="S376">
        <f>SUMIF(Table1[product_category],"Bakery",Table1[Total_bill])</f>
        <v>2951.25</v>
      </c>
    </row>
    <row r="377" spans="1:19" x14ac:dyDescent="0.3">
      <c r="A377" s="2">
        <v>10376</v>
      </c>
      <c r="B377" s="4">
        <v>46007</v>
      </c>
      <c r="C377" t="s">
        <v>533</v>
      </c>
      <c r="D377" t="s">
        <v>18</v>
      </c>
      <c r="E377" t="s">
        <v>19</v>
      </c>
      <c r="F377" t="s">
        <v>176</v>
      </c>
      <c r="G377">
        <v>2</v>
      </c>
      <c r="H377" s="5">
        <v>3.5</v>
      </c>
      <c r="I377" t="s">
        <v>89</v>
      </c>
      <c r="J377" t="s">
        <v>261</v>
      </c>
      <c r="K377" t="s">
        <v>261</v>
      </c>
      <c r="L377" t="s">
        <v>2122</v>
      </c>
      <c r="M377" s="5">
        <f t="shared" si="31"/>
        <v>7</v>
      </c>
      <c r="N377" t="str">
        <f t="shared" si="32"/>
        <v>December</v>
      </c>
      <c r="O377" t="str">
        <f t="shared" si="33"/>
        <v>Tuesday</v>
      </c>
      <c r="P377">
        <f t="shared" si="30"/>
        <v>9</v>
      </c>
      <c r="Q377" s="2">
        <f t="shared" si="34"/>
        <v>2</v>
      </c>
      <c r="R377" s="2">
        <f t="shared" si="35"/>
        <v>12</v>
      </c>
      <c r="S377">
        <f>SUMIF(Table1[product_category],"Bakery",Table1[Total_bill])</f>
        <v>2951.25</v>
      </c>
    </row>
    <row r="378" spans="1:19" x14ac:dyDescent="0.3">
      <c r="A378" s="2">
        <v>10377</v>
      </c>
      <c r="B378" s="4">
        <v>46008</v>
      </c>
      <c r="C378" t="s">
        <v>534</v>
      </c>
      <c r="D378" t="s">
        <v>25</v>
      </c>
      <c r="E378" t="s">
        <v>26</v>
      </c>
      <c r="F378" t="s">
        <v>178</v>
      </c>
      <c r="G378">
        <v>4</v>
      </c>
      <c r="H378" s="5">
        <v>2.5</v>
      </c>
      <c r="I378" t="s">
        <v>36</v>
      </c>
      <c r="J378" t="s">
        <v>37</v>
      </c>
      <c r="K378" t="s">
        <v>38</v>
      </c>
      <c r="L378" t="s">
        <v>2122</v>
      </c>
      <c r="M378" s="5">
        <f t="shared" si="31"/>
        <v>10</v>
      </c>
      <c r="N378" t="str">
        <f t="shared" si="32"/>
        <v>December</v>
      </c>
      <c r="O378" t="str">
        <f t="shared" si="33"/>
        <v>Wednesday</v>
      </c>
      <c r="P378">
        <f t="shared" si="30"/>
        <v>17</v>
      </c>
      <c r="Q378" s="2">
        <f t="shared" si="34"/>
        <v>3</v>
      </c>
      <c r="R378" s="2">
        <f t="shared" si="35"/>
        <v>12</v>
      </c>
      <c r="S378">
        <f>SUMIF(Table1[product_category],"Bakery",Table1[Total_bill])</f>
        <v>2951.25</v>
      </c>
    </row>
    <row r="379" spans="1:19" x14ac:dyDescent="0.3">
      <c r="A379" s="2">
        <v>10378</v>
      </c>
      <c r="B379" s="4">
        <v>46009</v>
      </c>
      <c r="C379" t="s">
        <v>535</v>
      </c>
      <c r="D379" t="s">
        <v>40</v>
      </c>
      <c r="E379" t="s">
        <v>41</v>
      </c>
      <c r="F379" t="s">
        <v>180</v>
      </c>
      <c r="G379">
        <v>4</v>
      </c>
      <c r="H379" s="5">
        <v>3</v>
      </c>
      <c r="I379" t="s">
        <v>36</v>
      </c>
      <c r="J379" t="s">
        <v>37</v>
      </c>
      <c r="K379" t="s">
        <v>276</v>
      </c>
      <c r="L379" t="s">
        <v>2124</v>
      </c>
      <c r="M379" s="5">
        <f t="shared" si="31"/>
        <v>12</v>
      </c>
      <c r="N379" t="str">
        <f t="shared" si="32"/>
        <v>December</v>
      </c>
      <c r="O379" t="str">
        <f t="shared" si="33"/>
        <v>Thursday</v>
      </c>
      <c r="P379">
        <f t="shared" si="30"/>
        <v>6</v>
      </c>
      <c r="Q379" s="2">
        <f t="shared" si="34"/>
        <v>4</v>
      </c>
      <c r="R379" s="2">
        <f t="shared" si="35"/>
        <v>12</v>
      </c>
      <c r="S379">
        <f>SUMIF(Table1[product_category],"Bakery",Table1[Total_bill])</f>
        <v>2951.25</v>
      </c>
    </row>
    <row r="380" spans="1:19" x14ac:dyDescent="0.3">
      <c r="A380" s="2">
        <v>10379</v>
      </c>
      <c r="B380" s="4">
        <v>46010</v>
      </c>
      <c r="C380" t="s">
        <v>536</v>
      </c>
      <c r="D380" t="s">
        <v>18</v>
      </c>
      <c r="E380" t="s">
        <v>19</v>
      </c>
      <c r="F380" t="s">
        <v>184</v>
      </c>
      <c r="G380">
        <v>3</v>
      </c>
      <c r="H380" s="5">
        <v>3.5</v>
      </c>
      <c r="I380" t="s">
        <v>36</v>
      </c>
      <c r="J380" t="s">
        <v>37</v>
      </c>
      <c r="K380" t="s">
        <v>276</v>
      </c>
      <c r="L380" t="s">
        <v>2123</v>
      </c>
      <c r="M380" s="5">
        <f t="shared" si="31"/>
        <v>10.5</v>
      </c>
      <c r="N380" t="str">
        <f t="shared" si="32"/>
        <v>December</v>
      </c>
      <c r="O380" t="str">
        <f t="shared" si="33"/>
        <v>Friday</v>
      </c>
      <c r="P380">
        <f t="shared" si="30"/>
        <v>16</v>
      </c>
      <c r="Q380" s="2">
        <f t="shared" si="34"/>
        <v>5</v>
      </c>
      <c r="R380" s="2">
        <f t="shared" si="35"/>
        <v>12</v>
      </c>
      <c r="S380">
        <f>SUMIF(Table1[product_category],"Bakery",Table1[Total_bill])</f>
        <v>2951.25</v>
      </c>
    </row>
    <row r="381" spans="1:19" x14ac:dyDescent="0.3">
      <c r="A381" s="2">
        <v>10380</v>
      </c>
      <c r="B381" s="4">
        <v>46011</v>
      </c>
      <c r="C381" t="s">
        <v>537</v>
      </c>
      <c r="D381" t="s">
        <v>40</v>
      </c>
      <c r="E381" t="s">
        <v>41</v>
      </c>
      <c r="F381" t="s">
        <v>186</v>
      </c>
      <c r="G381">
        <v>2</v>
      </c>
      <c r="H381" s="5">
        <v>3.25</v>
      </c>
      <c r="I381" t="s">
        <v>21</v>
      </c>
      <c r="J381" t="s">
        <v>81</v>
      </c>
      <c r="K381" t="s">
        <v>82</v>
      </c>
      <c r="L381" t="s">
        <v>2125</v>
      </c>
      <c r="M381" s="5">
        <f t="shared" si="31"/>
        <v>6.5</v>
      </c>
      <c r="N381" t="str">
        <f t="shared" si="32"/>
        <v>December</v>
      </c>
      <c r="O381" t="str">
        <f t="shared" si="33"/>
        <v>Saturday</v>
      </c>
      <c r="P381">
        <f t="shared" si="30"/>
        <v>9</v>
      </c>
      <c r="Q381" s="2">
        <f t="shared" si="34"/>
        <v>6</v>
      </c>
      <c r="R381" s="2">
        <f t="shared" si="35"/>
        <v>12</v>
      </c>
      <c r="S381">
        <f>SUMIF(Table1[product_category],"Bakery",Table1[Total_bill])</f>
        <v>2951.25</v>
      </c>
    </row>
    <row r="382" spans="1:19" x14ac:dyDescent="0.3">
      <c r="A382" s="2">
        <v>10381</v>
      </c>
      <c r="B382" s="4">
        <v>46012</v>
      </c>
      <c r="C382" t="s">
        <v>538</v>
      </c>
      <c r="D382" t="s">
        <v>40</v>
      </c>
      <c r="E382" t="s">
        <v>41</v>
      </c>
      <c r="F382" t="s">
        <v>188</v>
      </c>
      <c r="G382">
        <v>3</v>
      </c>
      <c r="H382" s="5">
        <v>9.5</v>
      </c>
      <c r="I382" t="s">
        <v>28</v>
      </c>
      <c r="J382" t="s">
        <v>28</v>
      </c>
      <c r="K382" t="s">
        <v>29</v>
      </c>
      <c r="L382" t="s">
        <v>2125</v>
      </c>
      <c r="M382" s="5">
        <f t="shared" si="31"/>
        <v>28.5</v>
      </c>
      <c r="N382" t="str">
        <f t="shared" si="32"/>
        <v>December</v>
      </c>
      <c r="O382" t="str">
        <f t="shared" si="33"/>
        <v>Sunday</v>
      </c>
      <c r="P382">
        <f t="shared" si="30"/>
        <v>7</v>
      </c>
      <c r="Q382" s="2">
        <f t="shared" si="34"/>
        <v>7</v>
      </c>
      <c r="R382" s="2">
        <f t="shared" si="35"/>
        <v>12</v>
      </c>
      <c r="S382">
        <f>SUMIF(Table1[product_category],"Bakery",Table1[Total_bill])</f>
        <v>2951.25</v>
      </c>
    </row>
    <row r="383" spans="1:19" x14ac:dyDescent="0.3">
      <c r="A383" s="2">
        <v>10382</v>
      </c>
      <c r="B383" s="4">
        <v>46013</v>
      </c>
      <c r="C383" t="s">
        <v>539</v>
      </c>
      <c r="D383" t="s">
        <v>18</v>
      </c>
      <c r="E383" t="s">
        <v>19</v>
      </c>
      <c r="F383" t="s">
        <v>190</v>
      </c>
      <c r="G383">
        <v>4</v>
      </c>
      <c r="H383" s="5">
        <v>5</v>
      </c>
      <c r="I383" t="s">
        <v>36</v>
      </c>
      <c r="J383" t="s">
        <v>110</v>
      </c>
      <c r="K383" t="s">
        <v>110</v>
      </c>
      <c r="L383" t="s">
        <v>2123</v>
      </c>
      <c r="M383" s="5">
        <f t="shared" si="31"/>
        <v>20</v>
      </c>
      <c r="N383" t="str">
        <f t="shared" si="32"/>
        <v>December</v>
      </c>
      <c r="O383" t="str">
        <f t="shared" si="33"/>
        <v>Monday</v>
      </c>
      <c r="P383">
        <f t="shared" si="30"/>
        <v>14</v>
      </c>
      <c r="Q383" s="2">
        <f t="shared" si="34"/>
        <v>1</v>
      </c>
      <c r="R383" s="2">
        <f t="shared" si="35"/>
        <v>12</v>
      </c>
      <c r="S383">
        <f>SUMIF(Table1[product_category],"Bakery",Table1[Total_bill])</f>
        <v>2951.25</v>
      </c>
    </row>
    <row r="384" spans="1:19" x14ac:dyDescent="0.3">
      <c r="A384" s="2">
        <v>10383</v>
      </c>
      <c r="B384" s="4">
        <v>46014</v>
      </c>
      <c r="C384" t="s">
        <v>540</v>
      </c>
      <c r="D384" t="s">
        <v>18</v>
      </c>
      <c r="E384" t="s">
        <v>19</v>
      </c>
      <c r="F384" t="s">
        <v>192</v>
      </c>
      <c r="G384">
        <v>2</v>
      </c>
      <c r="H384" s="5">
        <v>3.25</v>
      </c>
      <c r="I384" t="s">
        <v>21</v>
      </c>
      <c r="J384" t="s">
        <v>81</v>
      </c>
      <c r="K384" t="s">
        <v>113</v>
      </c>
      <c r="L384" t="s">
        <v>2125</v>
      </c>
      <c r="M384" s="5">
        <f t="shared" si="31"/>
        <v>6.5</v>
      </c>
      <c r="N384" t="str">
        <f t="shared" si="32"/>
        <v>December</v>
      </c>
      <c r="O384" t="str">
        <f t="shared" si="33"/>
        <v>Tuesday</v>
      </c>
      <c r="P384">
        <f t="shared" si="30"/>
        <v>13</v>
      </c>
      <c r="Q384" s="2">
        <f t="shared" si="34"/>
        <v>2</v>
      </c>
      <c r="R384" s="2">
        <f t="shared" si="35"/>
        <v>12</v>
      </c>
      <c r="S384">
        <f>SUMIF(Table1[product_category],"Bakery",Table1[Total_bill])</f>
        <v>2951.25</v>
      </c>
    </row>
    <row r="385" spans="1:19" x14ac:dyDescent="0.3">
      <c r="A385" s="2">
        <v>10384</v>
      </c>
      <c r="B385" s="4">
        <v>46015</v>
      </c>
      <c r="C385" t="s">
        <v>541</v>
      </c>
      <c r="D385" t="s">
        <v>18</v>
      </c>
      <c r="E385" t="s">
        <v>19</v>
      </c>
      <c r="F385" t="s">
        <v>195</v>
      </c>
      <c r="G385">
        <v>4</v>
      </c>
      <c r="H385" s="5">
        <v>3.5</v>
      </c>
      <c r="I385" t="s">
        <v>36</v>
      </c>
      <c r="J385" t="s">
        <v>37</v>
      </c>
      <c r="K385" t="s">
        <v>276</v>
      </c>
      <c r="L385" t="s">
        <v>2123</v>
      </c>
      <c r="M385" s="5">
        <f t="shared" si="31"/>
        <v>14</v>
      </c>
      <c r="N385" t="str">
        <f t="shared" si="32"/>
        <v>December</v>
      </c>
      <c r="O385" t="str">
        <f t="shared" si="33"/>
        <v>Wednesday</v>
      </c>
      <c r="P385">
        <f t="shared" si="30"/>
        <v>17</v>
      </c>
      <c r="Q385" s="2">
        <f t="shared" si="34"/>
        <v>3</v>
      </c>
      <c r="R385" s="2">
        <f t="shared" si="35"/>
        <v>12</v>
      </c>
      <c r="S385">
        <f>SUMIF(Table1[product_category],"Bakery",Table1[Total_bill])</f>
        <v>2951.25</v>
      </c>
    </row>
    <row r="386" spans="1:19" x14ac:dyDescent="0.3">
      <c r="A386" s="2">
        <v>10385</v>
      </c>
      <c r="B386" s="4">
        <v>46016</v>
      </c>
      <c r="C386" t="s">
        <v>542</v>
      </c>
      <c r="D386" t="s">
        <v>18</v>
      </c>
      <c r="E386" t="s">
        <v>19</v>
      </c>
      <c r="F386" t="s">
        <v>197</v>
      </c>
      <c r="G386">
        <v>3</v>
      </c>
      <c r="H386" s="5">
        <v>2.75</v>
      </c>
      <c r="I386" t="s">
        <v>21</v>
      </c>
      <c r="J386" t="s">
        <v>22</v>
      </c>
      <c r="K386" t="s">
        <v>23</v>
      </c>
      <c r="L386" t="s">
        <v>2125</v>
      </c>
      <c r="M386" s="5">
        <f t="shared" si="31"/>
        <v>8.25</v>
      </c>
      <c r="N386" t="str">
        <f t="shared" si="32"/>
        <v>December</v>
      </c>
      <c r="O386" t="str">
        <f t="shared" si="33"/>
        <v>Thursday</v>
      </c>
      <c r="P386">
        <f t="shared" ref="P386:P449" si="36">HOUR(TIMEVALUE(C386))</f>
        <v>15</v>
      </c>
      <c r="Q386" s="2">
        <f t="shared" si="34"/>
        <v>4</v>
      </c>
      <c r="R386" s="2">
        <f t="shared" si="35"/>
        <v>12</v>
      </c>
      <c r="S386">
        <f>SUMIF(Table1[product_category],"Bakery",Table1[Total_bill])</f>
        <v>2951.25</v>
      </c>
    </row>
    <row r="387" spans="1:19" x14ac:dyDescent="0.3">
      <c r="A387" s="2">
        <v>10386</v>
      </c>
      <c r="B387" s="4">
        <v>46017</v>
      </c>
      <c r="C387" t="s">
        <v>543</v>
      </c>
      <c r="D387" t="s">
        <v>18</v>
      </c>
      <c r="E387" t="s">
        <v>19</v>
      </c>
      <c r="F387" t="s">
        <v>199</v>
      </c>
      <c r="G387">
        <v>3</v>
      </c>
      <c r="H387" s="5">
        <v>4</v>
      </c>
      <c r="I387" t="s">
        <v>89</v>
      </c>
      <c r="J387" t="s">
        <v>261</v>
      </c>
      <c r="K387" t="s">
        <v>261</v>
      </c>
      <c r="L387" t="s">
        <v>2124</v>
      </c>
      <c r="M387" s="5">
        <f t="shared" ref="M387:M450" si="37">G387*H387</f>
        <v>12</v>
      </c>
      <c r="N387" t="str">
        <f t="shared" ref="N387:N450" si="38">TEXT(B387,"mmmm")</f>
        <v>December</v>
      </c>
      <c r="O387" t="str">
        <f t="shared" ref="O387:O450" si="39">TEXT(B387,"dddd")</f>
        <v>Friday</v>
      </c>
      <c r="P387">
        <f t="shared" si="36"/>
        <v>16</v>
      </c>
      <c r="Q387" s="2">
        <f t="shared" ref="Q387:Q450" si="40">WEEKDAY(B387,2)</f>
        <v>5</v>
      </c>
      <c r="R387" s="2">
        <f t="shared" ref="R387:R450" si="41">MONTH(B387)</f>
        <v>12</v>
      </c>
      <c r="S387">
        <f>SUMIF(Table1[product_category],"Bakery",Table1[Total_bill])</f>
        <v>2951.25</v>
      </c>
    </row>
    <row r="388" spans="1:19" x14ac:dyDescent="0.3">
      <c r="A388" s="2">
        <v>10387</v>
      </c>
      <c r="B388" s="4">
        <v>46018</v>
      </c>
      <c r="C388" t="s">
        <v>544</v>
      </c>
      <c r="D388" t="s">
        <v>40</v>
      </c>
      <c r="E388" t="s">
        <v>41</v>
      </c>
      <c r="F388" t="s">
        <v>201</v>
      </c>
      <c r="G388">
        <v>4</v>
      </c>
      <c r="H388" s="5">
        <v>4</v>
      </c>
      <c r="I388" t="s">
        <v>32</v>
      </c>
      <c r="J388" t="s">
        <v>33</v>
      </c>
      <c r="K388" t="s">
        <v>33</v>
      </c>
      <c r="L388" t="s">
        <v>2124</v>
      </c>
      <c r="M388" s="5">
        <f t="shared" si="37"/>
        <v>16</v>
      </c>
      <c r="N388" t="str">
        <f t="shared" si="38"/>
        <v>December</v>
      </c>
      <c r="O388" t="str">
        <f t="shared" si="39"/>
        <v>Saturday</v>
      </c>
      <c r="P388">
        <f t="shared" si="36"/>
        <v>9</v>
      </c>
      <c r="Q388" s="2">
        <f t="shared" si="40"/>
        <v>6</v>
      </c>
      <c r="R388" s="2">
        <f t="shared" si="41"/>
        <v>12</v>
      </c>
      <c r="S388">
        <f>SUMIF(Table1[product_category],"Bakery",Table1[Total_bill])</f>
        <v>2951.25</v>
      </c>
    </row>
    <row r="389" spans="1:19" x14ac:dyDescent="0.3">
      <c r="A389" s="2">
        <v>10388</v>
      </c>
      <c r="B389" s="4">
        <v>46019</v>
      </c>
      <c r="C389" t="s">
        <v>545</v>
      </c>
      <c r="D389" t="s">
        <v>40</v>
      </c>
      <c r="E389" t="s">
        <v>41</v>
      </c>
      <c r="F389" t="s">
        <v>204</v>
      </c>
      <c r="G389">
        <v>3</v>
      </c>
      <c r="H389" s="5">
        <v>2.5</v>
      </c>
      <c r="I389" t="s">
        <v>36</v>
      </c>
      <c r="J389" t="s">
        <v>37</v>
      </c>
      <c r="K389" t="s">
        <v>276</v>
      </c>
      <c r="L389" t="s">
        <v>2122</v>
      </c>
      <c r="M389" s="5">
        <f t="shared" si="37"/>
        <v>7.5</v>
      </c>
      <c r="N389" t="str">
        <f t="shared" si="38"/>
        <v>December</v>
      </c>
      <c r="O389" t="str">
        <f t="shared" si="39"/>
        <v>Sunday</v>
      </c>
      <c r="P389">
        <f t="shared" si="36"/>
        <v>8</v>
      </c>
      <c r="Q389" s="2">
        <f t="shared" si="40"/>
        <v>7</v>
      </c>
      <c r="R389" s="2">
        <f t="shared" si="41"/>
        <v>12</v>
      </c>
      <c r="S389">
        <f>SUMIF(Table1[product_category],"Bakery",Table1[Total_bill])</f>
        <v>2951.25</v>
      </c>
    </row>
    <row r="390" spans="1:19" x14ac:dyDescent="0.3">
      <c r="A390" s="2">
        <v>10389</v>
      </c>
      <c r="B390" s="4">
        <v>46020</v>
      </c>
      <c r="C390" t="s">
        <v>546</v>
      </c>
      <c r="D390" t="s">
        <v>25</v>
      </c>
      <c r="E390" t="s">
        <v>26</v>
      </c>
      <c r="F390" t="s">
        <v>206</v>
      </c>
      <c r="G390">
        <v>2</v>
      </c>
      <c r="H390" s="5">
        <v>3.75</v>
      </c>
      <c r="I390" t="s">
        <v>32</v>
      </c>
      <c r="J390" t="s">
        <v>144</v>
      </c>
      <c r="K390" t="s">
        <v>144</v>
      </c>
      <c r="L390" t="s">
        <v>2123</v>
      </c>
      <c r="M390" s="5">
        <f t="shared" si="37"/>
        <v>7.5</v>
      </c>
      <c r="N390" t="str">
        <f t="shared" si="38"/>
        <v>December</v>
      </c>
      <c r="O390" t="str">
        <f t="shared" si="39"/>
        <v>Monday</v>
      </c>
      <c r="P390">
        <f t="shared" si="36"/>
        <v>15</v>
      </c>
      <c r="Q390" s="2">
        <f t="shared" si="40"/>
        <v>1</v>
      </c>
      <c r="R390" s="2">
        <f t="shared" si="41"/>
        <v>12</v>
      </c>
      <c r="S390">
        <f>SUMIF(Table1[product_category],"Bakery",Table1[Total_bill])</f>
        <v>2951.25</v>
      </c>
    </row>
    <row r="391" spans="1:19" x14ac:dyDescent="0.3">
      <c r="A391" s="2">
        <v>10390</v>
      </c>
      <c r="B391" s="4">
        <v>46021</v>
      </c>
      <c r="C391" t="s">
        <v>547</v>
      </c>
      <c r="D391" t="s">
        <v>18</v>
      </c>
      <c r="E391" t="s">
        <v>19</v>
      </c>
      <c r="F391" t="s">
        <v>208</v>
      </c>
      <c r="G391">
        <v>2</v>
      </c>
      <c r="H391" s="5">
        <v>3.5</v>
      </c>
      <c r="I391" t="s">
        <v>36</v>
      </c>
      <c r="J391" t="s">
        <v>37</v>
      </c>
      <c r="K391" t="s">
        <v>62</v>
      </c>
      <c r="L391" t="s">
        <v>2123</v>
      </c>
      <c r="M391" s="5">
        <f t="shared" si="37"/>
        <v>7</v>
      </c>
      <c r="N391" t="str">
        <f t="shared" si="38"/>
        <v>December</v>
      </c>
      <c r="O391" t="str">
        <f t="shared" si="39"/>
        <v>Tuesday</v>
      </c>
      <c r="P391">
        <f t="shared" si="36"/>
        <v>16</v>
      </c>
      <c r="Q391" s="2">
        <f t="shared" si="40"/>
        <v>2</v>
      </c>
      <c r="R391" s="2">
        <f t="shared" si="41"/>
        <v>12</v>
      </c>
      <c r="S391">
        <f>SUMIF(Table1[product_category],"Bakery",Table1[Total_bill])</f>
        <v>2951.25</v>
      </c>
    </row>
    <row r="392" spans="1:19" x14ac:dyDescent="0.3">
      <c r="A392" s="2">
        <v>10391</v>
      </c>
      <c r="B392" s="4">
        <v>46022</v>
      </c>
      <c r="C392" t="s">
        <v>548</v>
      </c>
      <c r="D392" t="s">
        <v>40</v>
      </c>
      <c r="E392" t="s">
        <v>41</v>
      </c>
      <c r="F392" t="s">
        <v>210</v>
      </c>
      <c r="G392">
        <v>1</v>
      </c>
      <c r="H392" s="5">
        <v>5.5</v>
      </c>
      <c r="I392" t="s">
        <v>72</v>
      </c>
      <c r="J392" t="s">
        <v>72</v>
      </c>
      <c r="K392" t="s">
        <v>141</v>
      </c>
      <c r="L392" t="s">
        <v>2125</v>
      </c>
      <c r="M392" s="5">
        <f t="shared" si="37"/>
        <v>5.5</v>
      </c>
      <c r="N392" t="str">
        <f t="shared" si="38"/>
        <v>December</v>
      </c>
      <c r="O392" t="str">
        <f t="shared" si="39"/>
        <v>Wednesday</v>
      </c>
      <c r="P392">
        <f t="shared" si="36"/>
        <v>20</v>
      </c>
      <c r="Q392" s="2">
        <f t="shared" si="40"/>
        <v>3</v>
      </c>
      <c r="R392" s="2">
        <f t="shared" si="41"/>
        <v>12</v>
      </c>
      <c r="S392">
        <f>SUMIF(Table1[product_category],"Bakery",Table1[Total_bill])</f>
        <v>2951.25</v>
      </c>
    </row>
    <row r="393" spans="1:19" x14ac:dyDescent="0.3">
      <c r="A393" s="2">
        <v>10392</v>
      </c>
      <c r="B393" s="4">
        <v>46023</v>
      </c>
      <c r="C393" t="s">
        <v>549</v>
      </c>
      <c r="D393" t="s">
        <v>25</v>
      </c>
      <c r="E393" t="s">
        <v>26</v>
      </c>
      <c r="F393" t="s">
        <v>214</v>
      </c>
      <c r="G393">
        <v>2</v>
      </c>
      <c r="H393" s="5">
        <v>8</v>
      </c>
      <c r="I393" t="s">
        <v>28</v>
      </c>
      <c r="J393" t="s">
        <v>28</v>
      </c>
      <c r="K393" t="s">
        <v>76</v>
      </c>
      <c r="L393" t="s">
        <v>2125</v>
      </c>
      <c r="M393" s="5">
        <f t="shared" si="37"/>
        <v>16</v>
      </c>
      <c r="N393" t="str">
        <f t="shared" si="38"/>
        <v>January</v>
      </c>
      <c r="O393" t="str">
        <f t="shared" si="39"/>
        <v>Thursday</v>
      </c>
      <c r="P393">
        <f t="shared" si="36"/>
        <v>10</v>
      </c>
      <c r="Q393" s="2">
        <f t="shared" si="40"/>
        <v>4</v>
      </c>
      <c r="R393" s="2">
        <f t="shared" si="41"/>
        <v>1</v>
      </c>
      <c r="S393">
        <f>SUMIF(Table1[product_category],"Bakery",Table1[Total_bill])</f>
        <v>2951.25</v>
      </c>
    </row>
    <row r="394" spans="1:19" x14ac:dyDescent="0.3">
      <c r="A394" s="2">
        <v>10393</v>
      </c>
      <c r="B394" s="4">
        <v>46024</v>
      </c>
      <c r="C394" t="s">
        <v>550</v>
      </c>
      <c r="D394" t="s">
        <v>40</v>
      </c>
      <c r="E394" t="s">
        <v>41</v>
      </c>
      <c r="F394" t="s">
        <v>217</v>
      </c>
      <c r="G394">
        <v>2</v>
      </c>
      <c r="H394" s="5">
        <v>5.5</v>
      </c>
      <c r="I394" t="s">
        <v>72</v>
      </c>
      <c r="J394" t="s">
        <v>72</v>
      </c>
      <c r="K394" t="s">
        <v>141</v>
      </c>
      <c r="L394" t="s">
        <v>2125</v>
      </c>
      <c r="M394" s="5">
        <f t="shared" si="37"/>
        <v>11</v>
      </c>
      <c r="N394" t="str">
        <f t="shared" si="38"/>
        <v>January</v>
      </c>
      <c r="O394" t="str">
        <f t="shared" si="39"/>
        <v>Friday</v>
      </c>
      <c r="P394">
        <f t="shared" si="36"/>
        <v>10</v>
      </c>
      <c r="Q394" s="2">
        <f t="shared" si="40"/>
        <v>5</v>
      </c>
      <c r="R394" s="2">
        <f t="shared" si="41"/>
        <v>1</v>
      </c>
      <c r="S394">
        <f>SUMIF(Table1[product_category],"Bakery",Table1[Total_bill])</f>
        <v>2951.25</v>
      </c>
    </row>
    <row r="395" spans="1:19" x14ac:dyDescent="0.3">
      <c r="A395" s="2">
        <v>10394</v>
      </c>
      <c r="B395" s="4">
        <v>46025</v>
      </c>
      <c r="C395" t="s">
        <v>551</v>
      </c>
      <c r="D395" t="s">
        <v>18</v>
      </c>
      <c r="E395" t="s">
        <v>19</v>
      </c>
      <c r="F395" t="s">
        <v>219</v>
      </c>
      <c r="G395">
        <v>2</v>
      </c>
      <c r="H395" s="5">
        <v>3.5</v>
      </c>
      <c r="I395" t="s">
        <v>32</v>
      </c>
      <c r="J395" t="s">
        <v>94</v>
      </c>
      <c r="K395" t="s">
        <v>95</v>
      </c>
      <c r="L395" t="s">
        <v>2122</v>
      </c>
      <c r="M395" s="5">
        <f t="shared" si="37"/>
        <v>7</v>
      </c>
      <c r="N395" t="str">
        <f t="shared" si="38"/>
        <v>January</v>
      </c>
      <c r="O395" t="str">
        <f t="shared" si="39"/>
        <v>Saturday</v>
      </c>
      <c r="P395">
        <f t="shared" si="36"/>
        <v>15</v>
      </c>
      <c r="Q395" s="2">
        <f t="shared" si="40"/>
        <v>6</v>
      </c>
      <c r="R395" s="2">
        <f t="shared" si="41"/>
        <v>1</v>
      </c>
      <c r="S395">
        <f>SUMIF(Table1[product_category],"Bakery",Table1[Total_bill])</f>
        <v>2951.25</v>
      </c>
    </row>
    <row r="396" spans="1:19" x14ac:dyDescent="0.3">
      <c r="A396" s="2">
        <v>10395</v>
      </c>
      <c r="B396" s="4">
        <v>46026</v>
      </c>
      <c r="C396" t="s">
        <v>552</v>
      </c>
      <c r="D396" t="s">
        <v>25</v>
      </c>
      <c r="E396" t="s">
        <v>26</v>
      </c>
      <c r="F396" t="s">
        <v>221</v>
      </c>
      <c r="G396">
        <v>2</v>
      </c>
      <c r="H396" s="5">
        <v>3.75</v>
      </c>
      <c r="I396" t="s">
        <v>36</v>
      </c>
      <c r="J396" t="s">
        <v>211</v>
      </c>
      <c r="K396" t="s">
        <v>239</v>
      </c>
      <c r="L396" t="s">
        <v>2124</v>
      </c>
      <c r="M396" s="5">
        <f t="shared" si="37"/>
        <v>7.5</v>
      </c>
      <c r="N396" t="str">
        <f t="shared" si="38"/>
        <v>January</v>
      </c>
      <c r="O396" t="str">
        <f t="shared" si="39"/>
        <v>Sunday</v>
      </c>
      <c r="P396">
        <f t="shared" si="36"/>
        <v>9</v>
      </c>
      <c r="Q396" s="2">
        <f t="shared" si="40"/>
        <v>7</v>
      </c>
      <c r="R396" s="2">
        <f t="shared" si="41"/>
        <v>1</v>
      </c>
      <c r="S396">
        <f>SUMIF(Table1[product_category],"Bakery",Table1[Total_bill])</f>
        <v>2951.25</v>
      </c>
    </row>
    <row r="397" spans="1:19" x14ac:dyDescent="0.3">
      <c r="A397" s="2">
        <v>10396</v>
      </c>
      <c r="B397" s="4">
        <v>46027</v>
      </c>
      <c r="C397" t="s">
        <v>553</v>
      </c>
      <c r="D397" t="s">
        <v>40</v>
      </c>
      <c r="E397" t="s">
        <v>41</v>
      </c>
      <c r="F397" t="s">
        <v>223</v>
      </c>
      <c r="G397">
        <v>3</v>
      </c>
      <c r="H397" s="5">
        <v>4.25</v>
      </c>
      <c r="I397" t="s">
        <v>36</v>
      </c>
      <c r="J397" t="s">
        <v>211</v>
      </c>
      <c r="K397" t="s">
        <v>239</v>
      </c>
      <c r="L397" t="s">
        <v>2123</v>
      </c>
      <c r="M397" s="5">
        <f t="shared" si="37"/>
        <v>12.75</v>
      </c>
      <c r="N397" t="str">
        <f t="shared" si="38"/>
        <v>January</v>
      </c>
      <c r="O397" t="str">
        <f t="shared" si="39"/>
        <v>Monday</v>
      </c>
      <c r="P397">
        <f t="shared" si="36"/>
        <v>19</v>
      </c>
      <c r="Q397" s="2">
        <f t="shared" si="40"/>
        <v>1</v>
      </c>
      <c r="R397" s="2">
        <f t="shared" si="41"/>
        <v>1</v>
      </c>
      <c r="S397">
        <f>SUMIF(Table1[product_category],"Bakery",Table1[Total_bill])</f>
        <v>2951.25</v>
      </c>
    </row>
    <row r="398" spans="1:19" x14ac:dyDescent="0.3">
      <c r="A398" s="2">
        <v>10397</v>
      </c>
      <c r="B398" s="4">
        <v>46028</v>
      </c>
      <c r="C398" t="s">
        <v>554</v>
      </c>
      <c r="D398" t="s">
        <v>18</v>
      </c>
      <c r="E398" t="s">
        <v>19</v>
      </c>
      <c r="F398" t="s">
        <v>225</v>
      </c>
      <c r="G398">
        <v>3</v>
      </c>
      <c r="H398" s="5">
        <v>3.25</v>
      </c>
      <c r="I398" t="s">
        <v>32</v>
      </c>
      <c r="J398" t="s">
        <v>144</v>
      </c>
      <c r="K398" t="s">
        <v>144</v>
      </c>
      <c r="L398" t="s">
        <v>2124</v>
      </c>
      <c r="M398" s="5">
        <f t="shared" si="37"/>
        <v>9.75</v>
      </c>
      <c r="N398" t="str">
        <f t="shared" si="38"/>
        <v>January</v>
      </c>
      <c r="O398" t="str">
        <f t="shared" si="39"/>
        <v>Tuesday</v>
      </c>
      <c r="P398">
        <f t="shared" si="36"/>
        <v>17</v>
      </c>
      <c r="Q398" s="2">
        <f t="shared" si="40"/>
        <v>2</v>
      </c>
      <c r="R398" s="2">
        <f t="shared" si="41"/>
        <v>1</v>
      </c>
      <c r="S398">
        <f>SUMIF(Table1[product_category],"Bakery",Table1[Total_bill])</f>
        <v>2951.25</v>
      </c>
    </row>
    <row r="399" spans="1:19" x14ac:dyDescent="0.3">
      <c r="A399" s="2">
        <v>10398</v>
      </c>
      <c r="B399" s="4">
        <v>46029</v>
      </c>
      <c r="C399" t="s">
        <v>555</v>
      </c>
      <c r="D399" t="s">
        <v>18</v>
      </c>
      <c r="E399" t="s">
        <v>19</v>
      </c>
      <c r="F399" t="s">
        <v>229</v>
      </c>
      <c r="G399">
        <v>2</v>
      </c>
      <c r="H399" s="5">
        <v>6</v>
      </c>
      <c r="I399" t="s">
        <v>72</v>
      </c>
      <c r="J399" t="s">
        <v>72</v>
      </c>
      <c r="K399" t="s">
        <v>138</v>
      </c>
      <c r="L399" t="s">
        <v>2125</v>
      </c>
      <c r="M399" s="5">
        <f t="shared" si="37"/>
        <v>12</v>
      </c>
      <c r="N399" t="str">
        <f t="shared" si="38"/>
        <v>January</v>
      </c>
      <c r="O399" t="str">
        <f t="shared" si="39"/>
        <v>Wednesday</v>
      </c>
      <c r="P399">
        <f t="shared" si="36"/>
        <v>10</v>
      </c>
      <c r="Q399" s="2">
        <f t="shared" si="40"/>
        <v>3</v>
      </c>
      <c r="R399" s="2">
        <f t="shared" si="41"/>
        <v>1</v>
      </c>
      <c r="S399">
        <f>SUMIF(Table1[product_category],"Bakery",Table1[Total_bill])</f>
        <v>2951.25</v>
      </c>
    </row>
    <row r="400" spans="1:19" x14ac:dyDescent="0.3">
      <c r="A400" s="2">
        <v>10399</v>
      </c>
      <c r="B400" s="4">
        <v>46030</v>
      </c>
      <c r="C400" t="s">
        <v>556</v>
      </c>
      <c r="D400" t="s">
        <v>25</v>
      </c>
      <c r="E400" t="s">
        <v>26</v>
      </c>
      <c r="F400" t="s">
        <v>231</v>
      </c>
      <c r="G400">
        <v>2</v>
      </c>
      <c r="H400" s="5">
        <v>3.5</v>
      </c>
      <c r="I400" t="s">
        <v>32</v>
      </c>
      <c r="J400" t="s">
        <v>55</v>
      </c>
      <c r="K400" t="s">
        <v>55</v>
      </c>
      <c r="L400" t="s">
        <v>2124</v>
      </c>
      <c r="M400" s="5">
        <f t="shared" si="37"/>
        <v>7</v>
      </c>
      <c r="N400" t="str">
        <f t="shared" si="38"/>
        <v>January</v>
      </c>
      <c r="O400" t="str">
        <f t="shared" si="39"/>
        <v>Thursday</v>
      </c>
      <c r="P400">
        <f t="shared" si="36"/>
        <v>15</v>
      </c>
      <c r="Q400" s="2">
        <f t="shared" si="40"/>
        <v>4</v>
      </c>
      <c r="R400" s="2">
        <f t="shared" si="41"/>
        <v>1</v>
      </c>
      <c r="S400">
        <f>SUMIF(Table1[product_category],"Bakery",Table1[Total_bill])</f>
        <v>2951.25</v>
      </c>
    </row>
    <row r="401" spans="1:19" x14ac:dyDescent="0.3">
      <c r="A401" s="2">
        <v>10400</v>
      </c>
      <c r="B401" s="4">
        <v>46031</v>
      </c>
      <c r="C401" t="s">
        <v>557</v>
      </c>
      <c r="D401" t="s">
        <v>18</v>
      </c>
      <c r="E401" t="s">
        <v>19</v>
      </c>
      <c r="F401" t="s">
        <v>233</v>
      </c>
      <c r="G401">
        <v>3</v>
      </c>
      <c r="H401" s="5">
        <v>3.25</v>
      </c>
      <c r="I401" t="s">
        <v>36</v>
      </c>
      <c r="J401" t="s">
        <v>211</v>
      </c>
      <c r="K401" t="s">
        <v>239</v>
      </c>
      <c r="L401" t="s">
        <v>2122</v>
      </c>
      <c r="M401" s="5">
        <f t="shared" si="37"/>
        <v>9.75</v>
      </c>
      <c r="N401" t="str">
        <f t="shared" si="38"/>
        <v>January</v>
      </c>
      <c r="O401" t="str">
        <f t="shared" si="39"/>
        <v>Friday</v>
      </c>
      <c r="P401">
        <f t="shared" si="36"/>
        <v>15</v>
      </c>
      <c r="Q401" s="2">
        <f t="shared" si="40"/>
        <v>5</v>
      </c>
      <c r="R401" s="2">
        <f t="shared" si="41"/>
        <v>1</v>
      </c>
      <c r="S401">
        <f>SUMIF(Table1[product_category],"Bakery",Table1[Total_bill])</f>
        <v>2951.25</v>
      </c>
    </row>
    <row r="402" spans="1:19" x14ac:dyDescent="0.3">
      <c r="A402" s="2">
        <v>10401</v>
      </c>
      <c r="B402" s="4">
        <v>46032</v>
      </c>
      <c r="C402" t="s">
        <v>558</v>
      </c>
      <c r="D402" t="s">
        <v>25</v>
      </c>
      <c r="E402" t="s">
        <v>26</v>
      </c>
      <c r="F402" t="s">
        <v>20</v>
      </c>
      <c r="G402">
        <v>4</v>
      </c>
      <c r="H402" s="5">
        <v>4.25</v>
      </c>
      <c r="I402" t="s">
        <v>36</v>
      </c>
      <c r="J402" t="s">
        <v>211</v>
      </c>
      <c r="K402" t="s">
        <v>239</v>
      </c>
      <c r="L402" t="s">
        <v>2123</v>
      </c>
      <c r="M402" s="5">
        <f t="shared" si="37"/>
        <v>17</v>
      </c>
      <c r="N402" t="str">
        <f t="shared" si="38"/>
        <v>January</v>
      </c>
      <c r="O402" t="str">
        <f t="shared" si="39"/>
        <v>Saturday</v>
      </c>
      <c r="P402">
        <f t="shared" si="36"/>
        <v>7</v>
      </c>
      <c r="Q402" s="2">
        <f t="shared" si="40"/>
        <v>6</v>
      </c>
      <c r="R402" s="2">
        <f t="shared" si="41"/>
        <v>1</v>
      </c>
      <c r="S402">
        <f>SUMIF(Table1[product_category],"Bakery",Table1[Total_bill])</f>
        <v>2951.25</v>
      </c>
    </row>
    <row r="403" spans="1:19" x14ac:dyDescent="0.3">
      <c r="A403" s="2">
        <v>10402</v>
      </c>
      <c r="B403" s="4">
        <v>46033</v>
      </c>
      <c r="C403" t="s">
        <v>559</v>
      </c>
      <c r="D403" t="s">
        <v>25</v>
      </c>
      <c r="E403" t="s">
        <v>26</v>
      </c>
      <c r="F403" t="s">
        <v>27</v>
      </c>
      <c r="G403">
        <v>1</v>
      </c>
      <c r="H403" s="5">
        <v>5</v>
      </c>
      <c r="I403" t="s">
        <v>89</v>
      </c>
      <c r="J403" t="s">
        <v>90</v>
      </c>
      <c r="K403" t="s">
        <v>91</v>
      </c>
      <c r="L403" t="s">
        <v>2123</v>
      </c>
      <c r="M403" s="5">
        <f t="shared" si="37"/>
        <v>5</v>
      </c>
      <c r="N403" t="str">
        <f t="shared" si="38"/>
        <v>January</v>
      </c>
      <c r="O403" t="str">
        <f t="shared" si="39"/>
        <v>Sunday</v>
      </c>
      <c r="P403">
        <f t="shared" si="36"/>
        <v>18</v>
      </c>
      <c r="Q403" s="2">
        <f t="shared" si="40"/>
        <v>7</v>
      </c>
      <c r="R403" s="2">
        <f t="shared" si="41"/>
        <v>1</v>
      </c>
      <c r="S403">
        <f>SUMIF(Table1[product_category],"Bakery",Table1[Total_bill])</f>
        <v>2951.25</v>
      </c>
    </row>
    <row r="404" spans="1:19" x14ac:dyDescent="0.3">
      <c r="A404" s="2">
        <v>10403</v>
      </c>
      <c r="B404" s="4">
        <v>46034</v>
      </c>
      <c r="C404" t="s">
        <v>560</v>
      </c>
      <c r="D404" t="s">
        <v>40</v>
      </c>
      <c r="E404" t="s">
        <v>41</v>
      </c>
      <c r="F404" t="s">
        <v>31</v>
      </c>
      <c r="G404">
        <v>3</v>
      </c>
      <c r="H404" s="5">
        <v>3</v>
      </c>
      <c r="I404" t="s">
        <v>36</v>
      </c>
      <c r="J404" t="s">
        <v>246</v>
      </c>
      <c r="K404" t="s">
        <v>247</v>
      </c>
      <c r="L404" t="s">
        <v>2124</v>
      </c>
      <c r="M404" s="5">
        <f t="shared" si="37"/>
        <v>9</v>
      </c>
      <c r="N404" t="str">
        <f t="shared" si="38"/>
        <v>January</v>
      </c>
      <c r="O404" t="str">
        <f t="shared" si="39"/>
        <v>Monday</v>
      </c>
      <c r="P404">
        <f t="shared" si="36"/>
        <v>12</v>
      </c>
      <c r="Q404" s="2">
        <f t="shared" si="40"/>
        <v>1</v>
      </c>
      <c r="R404" s="2">
        <f t="shared" si="41"/>
        <v>1</v>
      </c>
      <c r="S404">
        <f>SUMIF(Table1[product_category],"Bakery",Table1[Total_bill])</f>
        <v>2951.25</v>
      </c>
    </row>
    <row r="405" spans="1:19" x14ac:dyDescent="0.3">
      <c r="A405" s="2">
        <v>10404</v>
      </c>
      <c r="B405" s="4">
        <v>46035</v>
      </c>
      <c r="C405" t="s">
        <v>561</v>
      </c>
      <c r="D405" t="s">
        <v>40</v>
      </c>
      <c r="E405" t="s">
        <v>41</v>
      </c>
      <c r="F405" t="s">
        <v>35</v>
      </c>
      <c r="G405">
        <v>3</v>
      </c>
      <c r="H405" s="5">
        <v>2.5</v>
      </c>
      <c r="I405" t="s">
        <v>21</v>
      </c>
      <c r="J405" t="s">
        <v>47</v>
      </c>
      <c r="K405" t="s">
        <v>48</v>
      </c>
      <c r="L405" t="s">
        <v>2125</v>
      </c>
      <c r="M405" s="5">
        <f t="shared" si="37"/>
        <v>7.5</v>
      </c>
      <c r="N405" t="str">
        <f t="shared" si="38"/>
        <v>January</v>
      </c>
      <c r="O405" t="str">
        <f t="shared" si="39"/>
        <v>Tuesday</v>
      </c>
      <c r="P405">
        <f t="shared" si="36"/>
        <v>16</v>
      </c>
      <c r="Q405" s="2">
        <f t="shared" si="40"/>
        <v>2</v>
      </c>
      <c r="R405" s="2">
        <f t="shared" si="41"/>
        <v>1</v>
      </c>
      <c r="S405">
        <f>SUMIF(Table1[product_category],"Bakery",Table1[Total_bill])</f>
        <v>2951.25</v>
      </c>
    </row>
    <row r="406" spans="1:19" x14ac:dyDescent="0.3">
      <c r="A406" s="2">
        <v>10405</v>
      </c>
      <c r="B406" s="4">
        <v>46036</v>
      </c>
      <c r="C406" t="s">
        <v>562</v>
      </c>
      <c r="D406" t="s">
        <v>25</v>
      </c>
      <c r="E406" t="s">
        <v>26</v>
      </c>
      <c r="F406" t="s">
        <v>42</v>
      </c>
      <c r="G406">
        <v>3</v>
      </c>
      <c r="H406" s="5">
        <v>5</v>
      </c>
      <c r="I406" t="s">
        <v>36</v>
      </c>
      <c r="J406" t="s">
        <v>110</v>
      </c>
      <c r="K406" t="s">
        <v>110</v>
      </c>
      <c r="L406" t="s">
        <v>2123</v>
      </c>
      <c r="M406" s="5">
        <f t="shared" si="37"/>
        <v>15</v>
      </c>
      <c r="N406" t="str">
        <f t="shared" si="38"/>
        <v>January</v>
      </c>
      <c r="O406" t="str">
        <f t="shared" si="39"/>
        <v>Wednesday</v>
      </c>
      <c r="P406">
        <f t="shared" si="36"/>
        <v>9</v>
      </c>
      <c r="Q406" s="2">
        <f t="shared" si="40"/>
        <v>3</v>
      </c>
      <c r="R406" s="2">
        <f t="shared" si="41"/>
        <v>1</v>
      </c>
      <c r="S406">
        <f>SUMIF(Table1[product_category],"Bakery",Table1[Total_bill])</f>
        <v>2951.25</v>
      </c>
    </row>
    <row r="407" spans="1:19" x14ac:dyDescent="0.3">
      <c r="A407" s="2">
        <v>10406</v>
      </c>
      <c r="B407" s="4">
        <v>46037</v>
      </c>
      <c r="C407" t="s">
        <v>563</v>
      </c>
      <c r="D407" t="s">
        <v>18</v>
      </c>
      <c r="E407" t="s">
        <v>19</v>
      </c>
      <c r="F407" t="s">
        <v>46</v>
      </c>
      <c r="G407">
        <v>3</v>
      </c>
      <c r="H407" s="5">
        <v>3.5</v>
      </c>
      <c r="I407" t="s">
        <v>32</v>
      </c>
      <c r="J407" t="s">
        <v>55</v>
      </c>
      <c r="K407" t="s">
        <v>55</v>
      </c>
      <c r="L407" t="s">
        <v>2124</v>
      </c>
      <c r="M407" s="5">
        <f t="shared" si="37"/>
        <v>10.5</v>
      </c>
      <c r="N407" t="str">
        <f t="shared" si="38"/>
        <v>January</v>
      </c>
      <c r="O407" t="str">
        <f t="shared" si="39"/>
        <v>Thursday</v>
      </c>
      <c r="P407">
        <f t="shared" si="36"/>
        <v>18</v>
      </c>
      <c r="Q407" s="2">
        <f t="shared" si="40"/>
        <v>4</v>
      </c>
      <c r="R407" s="2">
        <f t="shared" si="41"/>
        <v>1</v>
      </c>
      <c r="S407">
        <f>SUMIF(Table1[product_category],"Bakery",Table1[Total_bill])</f>
        <v>2951.25</v>
      </c>
    </row>
    <row r="408" spans="1:19" x14ac:dyDescent="0.3">
      <c r="A408" s="2">
        <v>10407</v>
      </c>
      <c r="B408" s="4">
        <v>46038</v>
      </c>
      <c r="C408" t="s">
        <v>564</v>
      </c>
      <c r="D408" t="s">
        <v>18</v>
      </c>
      <c r="E408" t="s">
        <v>19</v>
      </c>
      <c r="F408" t="s">
        <v>50</v>
      </c>
      <c r="G408">
        <v>1</v>
      </c>
      <c r="H408" s="5">
        <v>3.25</v>
      </c>
      <c r="I408" t="s">
        <v>21</v>
      </c>
      <c r="J408" t="s">
        <v>81</v>
      </c>
      <c r="K408" t="s">
        <v>113</v>
      </c>
      <c r="L408" t="s">
        <v>2125</v>
      </c>
      <c r="M408" s="5">
        <f t="shared" si="37"/>
        <v>3.25</v>
      </c>
      <c r="N408" t="str">
        <f t="shared" si="38"/>
        <v>January</v>
      </c>
      <c r="O408" t="str">
        <f t="shared" si="39"/>
        <v>Friday</v>
      </c>
      <c r="P408">
        <f t="shared" si="36"/>
        <v>10</v>
      </c>
      <c r="Q408" s="2">
        <f t="shared" si="40"/>
        <v>5</v>
      </c>
      <c r="R408" s="2">
        <f t="shared" si="41"/>
        <v>1</v>
      </c>
      <c r="S408">
        <f>SUMIF(Table1[product_category],"Bakery",Table1[Total_bill])</f>
        <v>2951.25</v>
      </c>
    </row>
    <row r="409" spans="1:19" x14ac:dyDescent="0.3">
      <c r="A409" s="2">
        <v>10408</v>
      </c>
      <c r="B409" s="4">
        <v>46039</v>
      </c>
      <c r="C409" t="s">
        <v>565</v>
      </c>
      <c r="D409" t="s">
        <v>40</v>
      </c>
      <c r="E409" t="s">
        <v>41</v>
      </c>
      <c r="F409" t="s">
        <v>54</v>
      </c>
      <c r="G409">
        <v>2</v>
      </c>
      <c r="H409" s="5">
        <v>2.5</v>
      </c>
      <c r="I409" t="s">
        <v>36</v>
      </c>
      <c r="J409" t="s">
        <v>37</v>
      </c>
      <c r="K409" t="s">
        <v>62</v>
      </c>
      <c r="L409" t="s">
        <v>2122</v>
      </c>
      <c r="M409" s="5">
        <f t="shared" si="37"/>
        <v>5</v>
      </c>
      <c r="N409" t="str">
        <f t="shared" si="38"/>
        <v>January</v>
      </c>
      <c r="O409" t="str">
        <f t="shared" si="39"/>
        <v>Saturday</v>
      </c>
      <c r="P409">
        <f t="shared" si="36"/>
        <v>6</v>
      </c>
      <c r="Q409" s="2">
        <f t="shared" si="40"/>
        <v>6</v>
      </c>
      <c r="R409" s="2">
        <f t="shared" si="41"/>
        <v>1</v>
      </c>
      <c r="S409">
        <f>SUMIF(Table1[product_category],"Bakery",Table1[Total_bill])</f>
        <v>2951.25</v>
      </c>
    </row>
    <row r="410" spans="1:19" x14ac:dyDescent="0.3">
      <c r="A410" s="2">
        <v>10409</v>
      </c>
      <c r="B410" s="4">
        <v>46040</v>
      </c>
      <c r="C410" t="s">
        <v>566</v>
      </c>
      <c r="D410" t="s">
        <v>18</v>
      </c>
      <c r="E410" t="s">
        <v>19</v>
      </c>
      <c r="F410" t="s">
        <v>57</v>
      </c>
      <c r="G410">
        <v>4</v>
      </c>
      <c r="H410" s="5">
        <v>2.25</v>
      </c>
      <c r="I410" t="s">
        <v>21</v>
      </c>
      <c r="J410" t="s">
        <v>58</v>
      </c>
      <c r="K410" t="s">
        <v>59</v>
      </c>
      <c r="L410" t="s">
        <v>2125</v>
      </c>
      <c r="M410" s="5">
        <f t="shared" si="37"/>
        <v>9</v>
      </c>
      <c r="N410" t="str">
        <f t="shared" si="38"/>
        <v>January</v>
      </c>
      <c r="O410" t="str">
        <f t="shared" si="39"/>
        <v>Sunday</v>
      </c>
      <c r="P410">
        <f t="shared" si="36"/>
        <v>18</v>
      </c>
      <c r="Q410" s="2">
        <f t="shared" si="40"/>
        <v>7</v>
      </c>
      <c r="R410" s="2">
        <f t="shared" si="41"/>
        <v>1</v>
      </c>
      <c r="S410">
        <f>SUMIF(Table1[product_category],"Bakery",Table1[Total_bill])</f>
        <v>2951.25</v>
      </c>
    </row>
    <row r="411" spans="1:19" x14ac:dyDescent="0.3">
      <c r="A411" s="2">
        <v>10410</v>
      </c>
      <c r="B411" s="4">
        <v>46041</v>
      </c>
      <c r="C411" t="s">
        <v>567</v>
      </c>
      <c r="D411" t="s">
        <v>40</v>
      </c>
      <c r="E411" t="s">
        <v>41</v>
      </c>
      <c r="F411" t="s">
        <v>61</v>
      </c>
      <c r="G411">
        <v>2</v>
      </c>
      <c r="H411" s="5">
        <v>9.5</v>
      </c>
      <c r="I411" t="s">
        <v>28</v>
      </c>
      <c r="J411" t="s">
        <v>28</v>
      </c>
      <c r="K411" t="s">
        <v>29</v>
      </c>
      <c r="L411" t="s">
        <v>2125</v>
      </c>
      <c r="M411" s="5">
        <f t="shared" si="37"/>
        <v>19</v>
      </c>
      <c r="N411" t="str">
        <f t="shared" si="38"/>
        <v>January</v>
      </c>
      <c r="O411" t="str">
        <f t="shared" si="39"/>
        <v>Monday</v>
      </c>
      <c r="P411">
        <f t="shared" si="36"/>
        <v>7</v>
      </c>
      <c r="Q411" s="2">
        <f t="shared" si="40"/>
        <v>1</v>
      </c>
      <c r="R411" s="2">
        <f t="shared" si="41"/>
        <v>1</v>
      </c>
      <c r="S411">
        <f>SUMIF(Table1[product_category],"Bakery",Table1[Total_bill])</f>
        <v>2951.25</v>
      </c>
    </row>
    <row r="412" spans="1:19" x14ac:dyDescent="0.3">
      <c r="A412" s="2">
        <v>10411</v>
      </c>
      <c r="B412" s="4">
        <v>46042</v>
      </c>
      <c r="C412" t="s">
        <v>568</v>
      </c>
      <c r="D412" t="s">
        <v>18</v>
      </c>
      <c r="E412" t="s">
        <v>19</v>
      </c>
      <c r="F412" t="s">
        <v>64</v>
      </c>
      <c r="G412">
        <v>4</v>
      </c>
      <c r="H412" s="5">
        <v>4.5</v>
      </c>
      <c r="I412" t="s">
        <v>32</v>
      </c>
      <c r="J412" t="s">
        <v>33</v>
      </c>
      <c r="K412" t="s">
        <v>33</v>
      </c>
      <c r="L412" t="s">
        <v>2123</v>
      </c>
      <c r="M412" s="5">
        <f t="shared" si="37"/>
        <v>18</v>
      </c>
      <c r="N412" t="str">
        <f t="shared" si="38"/>
        <v>January</v>
      </c>
      <c r="O412" t="str">
        <f t="shared" si="39"/>
        <v>Tuesday</v>
      </c>
      <c r="P412">
        <f t="shared" si="36"/>
        <v>9</v>
      </c>
      <c r="Q412" s="2">
        <f t="shared" si="40"/>
        <v>2</v>
      </c>
      <c r="R412" s="2">
        <f t="shared" si="41"/>
        <v>1</v>
      </c>
      <c r="S412">
        <f>SUMIF(Table1[product_category],"Bakery",Table1[Total_bill])</f>
        <v>2951.25</v>
      </c>
    </row>
    <row r="413" spans="1:19" x14ac:dyDescent="0.3">
      <c r="A413" s="2">
        <v>10412</v>
      </c>
      <c r="B413" s="4">
        <v>46043</v>
      </c>
      <c r="C413" t="s">
        <v>569</v>
      </c>
      <c r="D413" t="s">
        <v>25</v>
      </c>
      <c r="E413" t="s">
        <v>26</v>
      </c>
      <c r="F413" t="s">
        <v>66</v>
      </c>
      <c r="G413">
        <v>2</v>
      </c>
      <c r="H413" s="5">
        <v>3</v>
      </c>
      <c r="I413" t="s">
        <v>32</v>
      </c>
      <c r="J413" t="s">
        <v>55</v>
      </c>
      <c r="K413" t="s">
        <v>55</v>
      </c>
      <c r="L413" t="s">
        <v>2122</v>
      </c>
      <c r="M413" s="5">
        <f t="shared" si="37"/>
        <v>6</v>
      </c>
      <c r="N413" t="str">
        <f t="shared" si="38"/>
        <v>January</v>
      </c>
      <c r="O413" t="str">
        <f t="shared" si="39"/>
        <v>Wednesday</v>
      </c>
      <c r="P413">
        <f t="shared" si="36"/>
        <v>20</v>
      </c>
      <c r="Q413" s="2">
        <f t="shared" si="40"/>
        <v>3</v>
      </c>
      <c r="R413" s="2">
        <f t="shared" si="41"/>
        <v>1</v>
      </c>
      <c r="S413">
        <f>SUMIF(Table1[product_category],"Bakery",Table1[Total_bill])</f>
        <v>2951.25</v>
      </c>
    </row>
    <row r="414" spans="1:19" x14ac:dyDescent="0.3">
      <c r="A414" s="2">
        <v>10413</v>
      </c>
      <c r="B414" s="4">
        <v>46044</v>
      </c>
      <c r="C414" t="s">
        <v>570</v>
      </c>
      <c r="D414" t="s">
        <v>25</v>
      </c>
      <c r="E414" t="s">
        <v>26</v>
      </c>
      <c r="F414" t="s">
        <v>68</v>
      </c>
      <c r="G414">
        <v>4</v>
      </c>
      <c r="H414" s="5">
        <v>3.25</v>
      </c>
      <c r="I414" t="s">
        <v>21</v>
      </c>
      <c r="J414" t="s">
        <v>81</v>
      </c>
      <c r="K414" t="s">
        <v>82</v>
      </c>
      <c r="L414" t="s">
        <v>2125</v>
      </c>
      <c r="M414" s="5">
        <f t="shared" si="37"/>
        <v>13</v>
      </c>
      <c r="N414" t="str">
        <f t="shared" si="38"/>
        <v>January</v>
      </c>
      <c r="O414" t="str">
        <f t="shared" si="39"/>
        <v>Thursday</v>
      </c>
      <c r="P414">
        <f t="shared" si="36"/>
        <v>20</v>
      </c>
      <c r="Q414" s="2">
        <f t="shared" si="40"/>
        <v>4</v>
      </c>
      <c r="R414" s="2">
        <f t="shared" si="41"/>
        <v>1</v>
      </c>
      <c r="S414">
        <f>SUMIF(Table1[product_category],"Bakery",Table1[Total_bill])</f>
        <v>2951.25</v>
      </c>
    </row>
    <row r="415" spans="1:19" x14ac:dyDescent="0.3">
      <c r="A415" s="2">
        <v>10414</v>
      </c>
      <c r="B415" s="4">
        <v>46045</v>
      </c>
      <c r="C415" t="s">
        <v>571</v>
      </c>
      <c r="D415" t="s">
        <v>18</v>
      </c>
      <c r="E415" t="s">
        <v>19</v>
      </c>
      <c r="F415" t="s">
        <v>71</v>
      </c>
      <c r="G415">
        <v>1</v>
      </c>
      <c r="H415" s="5">
        <v>6</v>
      </c>
      <c r="I415" t="s">
        <v>72</v>
      </c>
      <c r="J415" t="s">
        <v>72</v>
      </c>
      <c r="K415" t="s">
        <v>138</v>
      </c>
      <c r="L415" t="s">
        <v>2125</v>
      </c>
      <c r="M415" s="5">
        <f t="shared" si="37"/>
        <v>6</v>
      </c>
      <c r="N415" t="str">
        <f t="shared" si="38"/>
        <v>January</v>
      </c>
      <c r="O415" t="str">
        <f t="shared" si="39"/>
        <v>Friday</v>
      </c>
      <c r="P415">
        <f t="shared" si="36"/>
        <v>13</v>
      </c>
      <c r="Q415" s="2">
        <f t="shared" si="40"/>
        <v>5</v>
      </c>
      <c r="R415" s="2">
        <f t="shared" si="41"/>
        <v>1</v>
      </c>
      <c r="S415">
        <f>SUMIF(Table1[product_category],"Bakery",Table1[Total_bill])</f>
        <v>2951.25</v>
      </c>
    </row>
    <row r="416" spans="1:19" x14ac:dyDescent="0.3">
      <c r="A416" s="2">
        <v>10415</v>
      </c>
      <c r="B416" s="4">
        <v>46046</v>
      </c>
      <c r="C416" t="s">
        <v>572</v>
      </c>
      <c r="D416" t="s">
        <v>25</v>
      </c>
      <c r="E416" t="s">
        <v>26</v>
      </c>
      <c r="F416" t="s">
        <v>75</v>
      </c>
      <c r="G416">
        <v>2</v>
      </c>
      <c r="H416" s="5">
        <v>5.5</v>
      </c>
      <c r="I416" t="s">
        <v>72</v>
      </c>
      <c r="J416" t="s">
        <v>72</v>
      </c>
      <c r="K416" t="s">
        <v>73</v>
      </c>
      <c r="L416" t="s">
        <v>2125</v>
      </c>
      <c r="M416" s="5">
        <f t="shared" si="37"/>
        <v>11</v>
      </c>
      <c r="N416" t="str">
        <f t="shared" si="38"/>
        <v>January</v>
      </c>
      <c r="O416" t="str">
        <f t="shared" si="39"/>
        <v>Saturday</v>
      </c>
      <c r="P416">
        <f t="shared" si="36"/>
        <v>13</v>
      </c>
      <c r="Q416" s="2">
        <f t="shared" si="40"/>
        <v>6</v>
      </c>
      <c r="R416" s="2">
        <f t="shared" si="41"/>
        <v>1</v>
      </c>
      <c r="S416">
        <f>SUMIF(Table1[product_category],"Bakery",Table1[Total_bill])</f>
        <v>2951.25</v>
      </c>
    </row>
    <row r="417" spans="1:19" x14ac:dyDescent="0.3">
      <c r="A417" s="2">
        <v>10416</v>
      </c>
      <c r="B417" s="4">
        <v>46047</v>
      </c>
      <c r="C417" t="s">
        <v>573</v>
      </c>
      <c r="D417" t="s">
        <v>18</v>
      </c>
      <c r="E417" t="s">
        <v>19</v>
      </c>
      <c r="F417" t="s">
        <v>78</v>
      </c>
      <c r="G417">
        <v>4</v>
      </c>
      <c r="H417" s="5">
        <v>4.5</v>
      </c>
      <c r="I417" t="s">
        <v>32</v>
      </c>
      <c r="J417" t="s">
        <v>94</v>
      </c>
      <c r="K417" t="s">
        <v>95</v>
      </c>
      <c r="L417" t="s">
        <v>2123</v>
      </c>
      <c r="M417" s="5">
        <f t="shared" si="37"/>
        <v>18</v>
      </c>
      <c r="N417" t="str">
        <f t="shared" si="38"/>
        <v>January</v>
      </c>
      <c r="O417" t="str">
        <f t="shared" si="39"/>
        <v>Sunday</v>
      </c>
      <c r="P417">
        <f t="shared" si="36"/>
        <v>11</v>
      </c>
      <c r="Q417" s="2">
        <f t="shared" si="40"/>
        <v>7</v>
      </c>
      <c r="R417" s="2">
        <f t="shared" si="41"/>
        <v>1</v>
      </c>
      <c r="S417">
        <f>SUMIF(Table1[product_category],"Bakery",Table1[Total_bill])</f>
        <v>2951.25</v>
      </c>
    </row>
    <row r="418" spans="1:19" x14ac:dyDescent="0.3">
      <c r="A418" s="2">
        <v>10417</v>
      </c>
      <c r="B418" s="4">
        <v>46048</v>
      </c>
      <c r="C418" t="s">
        <v>574</v>
      </c>
      <c r="D418" t="s">
        <v>18</v>
      </c>
      <c r="E418" t="s">
        <v>19</v>
      </c>
      <c r="F418" t="s">
        <v>80</v>
      </c>
      <c r="G418">
        <v>3</v>
      </c>
      <c r="H418" s="5">
        <v>3</v>
      </c>
      <c r="I418" t="s">
        <v>32</v>
      </c>
      <c r="J418" t="s">
        <v>226</v>
      </c>
      <c r="K418" t="s">
        <v>227</v>
      </c>
      <c r="L418" t="s">
        <v>2124</v>
      </c>
      <c r="M418" s="5">
        <f t="shared" si="37"/>
        <v>9</v>
      </c>
      <c r="N418" t="str">
        <f t="shared" si="38"/>
        <v>January</v>
      </c>
      <c r="O418" t="str">
        <f t="shared" si="39"/>
        <v>Monday</v>
      </c>
      <c r="P418">
        <f t="shared" si="36"/>
        <v>9</v>
      </c>
      <c r="Q418" s="2">
        <f t="shared" si="40"/>
        <v>1</v>
      </c>
      <c r="R418" s="2">
        <f t="shared" si="41"/>
        <v>1</v>
      </c>
      <c r="S418">
        <f>SUMIF(Table1[product_category],"Bakery",Table1[Total_bill])</f>
        <v>2951.25</v>
      </c>
    </row>
    <row r="419" spans="1:19" x14ac:dyDescent="0.3">
      <c r="A419" s="2">
        <v>10418</v>
      </c>
      <c r="B419" s="4">
        <v>46049</v>
      </c>
      <c r="C419" t="s">
        <v>575</v>
      </c>
      <c r="D419" t="s">
        <v>18</v>
      </c>
      <c r="E419" t="s">
        <v>19</v>
      </c>
      <c r="F419" t="s">
        <v>84</v>
      </c>
      <c r="G419">
        <v>4</v>
      </c>
      <c r="H419" s="5">
        <v>3.75</v>
      </c>
      <c r="I419" t="s">
        <v>32</v>
      </c>
      <c r="J419" t="s">
        <v>69</v>
      </c>
      <c r="K419" t="s">
        <v>69</v>
      </c>
      <c r="L419" t="s">
        <v>2122</v>
      </c>
      <c r="M419" s="5">
        <f t="shared" si="37"/>
        <v>15</v>
      </c>
      <c r="N419" t="str">
        <f t="shared" si="38"/>
        <v>January</v>
      </c>
      <c r="O419" t="str">
        <f t="shared" si="39"/>
        <v>Tuesday</v>
      </c>
      <c r="P419">
        <f t="shared" si="36"/>
        <v>9</v>
      </c>
      <c r="Q419" s="2">
        <f t="shared" si="40"/>
        <v>2</v>
      </c>
      <c r="R419" s="2">
        <f t="shared" si="41"/>
        <v>1</v>
      </c>
      <c r="S419">
        <f>SUMIF(Table1[product_category],"Bakery",Table1[Total_bill])</f>
        <v>2951.25</v>
      </c>
    </row>
    <row r="420" spans="1:19" x14ac:dyDescent="0.3">
      <c r="A420" s="2">
        <v>10419</v>
      </c>
      <c r="B420" s="4">
        <v>46050</v>
      </c>
      <c r="C420" t="s">
        <v>576</v>
      </c>
      <c r="D420" t="s">
        <v>18</v>
      </c>
      <c r="E420" t="s">
        <v>19</v>
      </c>
      <c r="F420" t="s">
        <v>86</v>
      </c>
      <c r="G420">
        <v>4</v>
      </c>
      <c r="H420" s="5">
        <v>3.5</v>
      </c>
      <c r="I420" t="s">
        <v>32</v>
      </c>
      <c r="J420" t="s">
        <v>94</v>
      </c>
      <c r="K420" t="s">
        <v>95</v>
      </c>
      <c r="L420" t="s">
        <v>2122</v>
      </c>
      <c r="M420" s="5">
        <f t="shared" si="37"/>
        <v>14</v>
      </c>
      <c r="N420" t="str">
        <f t="shared" si="38"/>
        <v>January</v>
      </c>
      <c r="O420" t="str">
        <f t="shared" si="39"/>
        <v>Wednesday</v>
      </c>
      <c r="P420">
        <f t="shared" si="36"/>
        <v>14</v>
      </c>
      <c r="Q420" s="2">
        <f t="shared" si="40"/>
        <v>3</v>
      </c>
      <c r="R420" s="2">
        <f t="shared" si="41"/>
        <v>1</v>
      </c>
      <c r="S420">
        <f>SUMIF(Table1[product_category],"Bakery",Table1[Total_bill])</f>
        <v>2951.25</v>
      </c>
    </row>
    <row r="421" spans="1:19" x14ac:dyDescent="0.3">
      <c r="A421" s="2">
        <v>10420</v>
      </c>
      <c r="B421" s="4">
        <v>46051</v>
      </c>
      <c r="C421" t="s">
        <v>577</v>
      </c>
      <c r="D421" t="s">
        <v>25</v>
      </c>
      <c r="E421" t="s">
        <v>26</v>
      </c>
      <c r="F421" t="s">
        <v>88</v>
      </c>
      <c r="G421">
        <v>3</v>
      </c>
      <c r="H421" s="5">
        <v>4.75</v>
      </c>
      <c r="I421" t="s">
        <v>32</v>
      </c>
      <c r="J421" t="s">
        <v>122</v>
      </c>
      <c r="K421" t="s">
        <v>122</v>
      </c>
      <c r="L421" t="s">
        <v>2123</v>
      </c>
      <c r="M421" s="5">
        <f t="shared" si="37"/>
        <v>14.25</v>
      </c>
      <c r="N421" t="str">
        <f t="shared" si="38"/>
        <v>January</v>
      </c>
      <c r="O421" t="str">
        <f t="shared" si="39"/>
        <v>Thursday</v>
      </c>
      <c r="P421">
        <f t="shared" si="36"/>
        <v>15</v>
      </c>
      <c r="Q421" s="2">
        <f t="shared" si="40"/>
        <v>4</v>
      </c>
      <c r="R421" s="2">
        <f t="shared" si="41"/>
        <v>1</v>
      </c>
      <c r="S421">
        <f>SUMIF(Table1[product_category],"Bakery",Table1[Total_bill])</f>
        <v>2951.25</v>
      </c>
    </row>
    <row r="422" spans="1:19" x14ac:dyDescent="0.3">
      <c r="A422" s="2">
        <v>10421</v>
      </c>
      <c r="B422" s="4">
        <v>46052</v>
      </c>
      <c r="C422" t="s">
        <v>578</v>
      </c>
      <c r="D422" t="s">
        <v>40</v>
      </c>
      <c r="E422" t="s">
        <v>41</v>
      </c>
      <c r="F422" t="s">
        <v>93</v>
      </c>
      <c r="G422">
        <v>2</v>
      </c>
      <c r="H422" s="5">
        <v>3.5</v>
      </c>
      <c r="I422" t="s">
        <v>89</v>
      </c>
      <c r="J422" t="s">
        <v>261</v>
      </c>
      <c r="K422" t="s">
        <v>261</v>
      </c>
      <c r="L422" t="s">
        <v>2122</v>
      </c>
      <c r="M422" s="5">
        <f t="shared" si="37"/>
        <v>7</v>
      </c>
      <c r="N422" t="str">
        <f t="shared" si="38"/>
        <v>January</v>
      </c>
      <c r="O422" t="str">
        <f t="shared" si="39"/>
        <v>Friday</v>
      </c>
      <c r="P422">
        <f t="shared" si="36"/>
        <v>16</v>
      </c>
      <c r="Q422" s="2">
        <f t="shared" si="40"/>
        <v>5</v>
      </c>
      <c r="R422" s="2">
        <f t="shared" si="41"/>
        <v>1</v>
      </c>
      <c r="S422">
        <f>SUMIF(Table1[product_category],"Bakery",Table1[Total_bill])</f>
        <v>2951.25</v>
      </c>
    </row>
    <row r="423" spans="1:19" x14ac:dyDescent="0.3">
      <c r="A423" s="2">
        <v>10422</v>
      </c>
      <c r="B423" s="4">
        <v>46053</v>
      </c>
      <c r="C423" t="s">
        <v>579</v>
      </c>
      <c r="D423" t="s">
        <v>25</v>
      </c>
      <c r="E423" t="s">
        <v>26</v>
      </c>
      <c r="F423" t="s">
        <v>97</v>
      </c>
      <c r="G423">
        <v>4</v>
      </c>
      <c r="H423" s="5">
        <v>4.25</v>
      </c>
      <c r="I423" t="s">
        <v>36</v>
      </c>
      <c r="J423" t="s">
        <v>211</v>
      </c>
      <c r="K423" t="s">
        <v>239</v>
      </c>
      <c r="L423" t="s">
        <v>2123</v>
      </c>
      <c r="M423" s="5">
        <f t="shared" si="37"/>
        <v>17</v>
      </c>
      <c r="N423" t="str">
        <f t="shared" si="38"/>
        <v>January</v>
      </c>
      <c r="O423" t="str">
        <f t="shared" si="39"/>
        <v>Saturday</v>
      </c>
      <c r="P423">
        <f t="shared" si="36"/>
        <v>16</v>
      </c>
      <c r="Q423" s="2">
        <f t="shared" si="40"/>
        <v>6</v>
      </c>
      <c r="R423" s="2">
        <f t="shared" si="41"/>
        <v>1</v>
      </c>
      <c r="S423">
        <f>SUMIF(Table1[product_category],"Bakery",Table1[Total_bill])</f>
        <v>2951.25</v>
      </c>
    </row>
    <row r="424" spans="1:19" x14ac:dyDescent="0.3">
      <c r="A424" s="2">
        <v>10423</v>
      </c>
      <c r="B424" s="4">
        <v>46054</v>
      </c>
      <c r="C424" t="s">
        <v>580</v>
      </c>
      <c r="D424" t="s">
        <v>25</v>
      </c>
      <c r="E424" t="s">
        <v>26</v>
      </c>
      <c r="F424" t="s">
        <v>100</v>
      </c>
      <c r="G424">
        <v>3</v>
      </c>
      <c r="H424" s="5">
        <v>1.75</v>
      </c>
      <c r="I424" t="s">
        <v>32</v>
      </c>
      <c r="J424" t="s">
        <v>43</v>
      </c>
      <c r="K424" t="s">
        <v>44</v>
      </c>
      <c r="L424" t="s">
        <v>2122</v>
      </c>
      <c r="M424" s="5">
        <f t="shared" si="37"/>
        <v>5.25</v>
      </c>
      <c r="N424" t="str">
        <f t="shared" si="38"/>
        <v>February</v>
      </c>
      <c r="O424" t="str">
        <f t="shared" si="39"/>
        <v>Sunday</v>
      </c>
      <c r="P424">
        <f t="shared" si="36"/>
        <v>7</v>
      </c>
      <c r="Q424" s="2">
        <f t="shared" si="40"/>
        <v>7</v>
      </c>
      <c r="R424" s="2">
        <f t="shared" si="41"/>
        <v>2</v>
      </c>
      <c r="S424">
        <f>SUMIF(Table1[product_category],"Bakery",Table1[Total_bill])</f>
        <v>2951.25</v>
      </c>
    </row>
    <row r="425" spans="1:19" x14ac:dyDescent="0.3">
      <c r="A425" s="2">
        <v>10424</v>
      </c>
      <c r="B425" s="4">
        <v>46055</v>
      </c>
      <c r="C425" t="s">
        <v>581</v>
      </c>
      <c r="D425" t="s">
        <v>18</v>
      </c>
      <c r="E425" t="s">
        <v>19</v>
      </c>
      <c r="F425" t="s">
        <v>105</v>
      </c>
      <c r="G425">
        <v>4</v>
      </c>
      <c r="H425" s="5">
        <v>13</v>
      </c>
      <c r="I425" t="s">
        <v>98</v>
      </c>
      <c r="J425" t="s">
        <v>98</v>
      </c>
      <c r="K425" t="s">
        <v>95</v>
      </c>
      <c r="L425" t="s">
        <v>2125</v>
      </c>
      <c r="M425" s="5">
        <f t="shared" si="37"/>
        <v>52</v>
      </c>
      <c r="N425" t="str">
        <f t="shared" si="38"/>
        <v>February</v>
      </c>
      <c r="O425" t="str">
        <f t="shared" si="39"/>
        <v>Monday</v>
      </c>
      <c r="P425">
        <f t="shared" si="36"/>
        <v>11</v>
      </c>
      <c r="Q425" s="2">
        <f t="shared" si="40"/>
        <v>1</v>
      </c>
      <c r="R425" s="2">
        <f t="shared" si="41"/>
        <v>2</v>
      </c>
      <c r="S425">
        <f>SUMIF(Table1[product_category],"Bakery",Table1[Total_bill])</f>
        <v>2951.25</v>
      </c>
    </row>
    <row r="426" spans="1:19" x14ac:dyDescent="0.3">
      <c r="A426" s="2">
        <v>10425</v>
      </c>
      <c r="B426" s="4">
        <v>46056</v>
      </c>
      <c r="C426" t="s">
        <v>582</v>
      </c>
      <c r="D426" t="s">
        <v>40</v>
      </c>
      <c r="E426" t="s">
        <v>41</v>
      </c>
      <c r="F426" t="s">
        <v>107</v>
      </c>
      <c r="G426">
        <v>2</v>
      </c>
      <c r="H426" s="5">
        <v>4.75</v>
      </c>
      <c r="I426" t="s">
        <v>32</v>
      </c>
      <c r="J426" t="s">
        <v>202</v>
      </c>
      <c r="K426" t="s">
        <v>202</v>
      </c>
      <c r="L426" t="s">
        <v>2123</v>
      </c>
      <c r="M426" s="5">
        <f t="shared" si="37"/>
        <v>9.5</v>
      </c>
      <c r="N426" t="str">
        <f t="shared" si="38"/>
        <v>February</v>
      </c>
      <c r="O426" t="str">
        <f t="shared" si="39"/>
        <v>Tuesday</v>
      </c>
      <c r="P426">
        <f t="shared" si="36"/>
        <v>6</v>
      </c>
      <c r="Q426" s="2">
        <f t="shared" si="40"/>
        <v>2</v>
      </c>
      <c r="R426" s="2">
        <f t="shared" si="41"/>
        <v>2</v>
      </c>
      <c r="S426">
        <f>SUMIF(Table1[product_category],"Bakery",Table1[Total_bill])</f>
        <v>2951.25</v>
      </c>
    </row>
    <row r="427" spans="1:19" x14ac:dyDescent="0.3">
      <c r="A427" s="2">
        <v>10426</v>
      </c>
      <c r="B427" s="4">
        <v>46057</v>
      </c>
      <c r="C427" t="s">
        <v>583</v>
      </c>
      <c r="D427" t="s">
        <v>18</v>
      </c>
      <c r="E427" t="s">
        <v>19</v>
      </c>
      <c r="F427" t="s">
        <v>109</v>
      </c>
      <c r="G427">
        <v>1</v>
      </c>
      <c r="H427" s="5">
        <v>11</v>
      </c>
      <c r="I427" t="s">
        <v>98</v>
      </c>
      <c r="J427" t="s">
        <v>98</v>
      </c>
      <c r="K427" t="s">
        <v>215</v>
      </c>
      <c r="L427" t="s">
        <v>2125</v>
      </c>
      <c r="M427" s="5">
        <f t="shared" si="37"/>
        <v>11</v>
      </c>
      <c r="N427" t="str">
        <f t="shared" si="38"/>
        <v>February</v>
      </c>
      <c r="O427" t="str">
        <f t="shared" si="39"/>
        <v>Wednesday</v>
      </c>
      <c r="P427">
        <f t="shared" si="36"/>
        <v>12</v>
      </c>
      <c r="Q427" s="2">
        <f t="shared" si="40"/>
        <v>3</v>
      </c>
      <c r="R427" s="2">
        <f t="shared" si="41"/>
        <v>2</v>
      </c>
      <c r="S427">
        <f>SUMIF(Table1[product_category],"Bakery",Table1[Total_bill])</f>
        <v>2951.25</v>
      </c>
    </row>
    <row r="428" spans="1:19" x14ac:dyDescent="0.3">
      <c r="A428" s="2">
        <v>10427</v>
      </c>
      <c r="B428" s="4">
        <v>46058</v>
      </c>
      <c r="C428" t="s">
        <v>584</v>
      </c>
      <c r="D428" t="s">
        <v>25</v>
      </c>
      <c r="E428" t="s">
        <v>26</v>
      </c>
      <c r="F428" t="s">
        <v>112</v>
      </c>
      <c r="G428">
        <v>1</v>
      </c>
      <c r="H428" s="5">
        <v>3.25</v>
      </c>
      <c r="I428" t="s">
        <v>32</v>
      </c>
      <c r="J428" t="s">
        <v>226</v>
      </c>
      <c r="K428" t="s">
        <v>273</v>
      </c>
      <c r="L428" t="s">
        <v>2124</v>
      </c>
      <c r="M428" s="5">
        <f t="shared" si="37"/>
        <v>3.25</v>
      </c>
      <c r="N428" t="str">
        <f t="shared" si="38"/>
        <v>February</v>
      </c>
      <c r="O428" t="str">
        <f t="shared" si="39"/>
        <v>Thursday</v>
      </c>
      <c r="P428">
        <f t="shared" si="36"/>
        <v>11</v>
      </c>
      <c r="Q428" s="2">
        <f t="shared" si="40"/>
        <v>4</v>
      </c>
      <c r="R428" s="2">
        <f t="shared" si="41"/>
        <v>2</v>
      </c>
      <c r="S428">
        <f>SUMIF(Table1[product_category],"Bakery",Table1[Total_bill])</f>
        <v>2951.25</v>
      </c>
    </row>
    <row r="429" spans="1:19" x14ac:dyDescent="0.3">
      <c r="A429" s="2">
        <v>10428</v>
      </c>
      <c r="B429" s="4">
        <v>46059</v>
      </c>
      <c r="C429" t="s">
        <v>585</v>
      </c>
      <c r="D429" t="s">
        <v>40</v>
      </c>
      <c r="E429" t="s">
        <v>41</v>
      </c>
      <c r="F429" t="s">
        <v>115</v>
      </c>
      <c r="G429">
        <v>2</v>
      </c>
      <c r="H429" s="5">
        <v>14</v>
      </c>
      <c r="I429" t="s">
        <v>98</v>
      </c>
      <c r="J429" t="s">
        <v>98</v>
      </c>
      <c r="K429" t="s">
        <v>129</v>
      </c>
      <c r="L429" t="s">
        <v>2125</v>
      </c>
      <c r="M429" s="5">
        <f t="shared" si="37"/>
        <v>28</v>
      </c>
      <c r="N429" t="str">
        <f t="shared" si="38"/>
        <v>February</v>
      </c>
      <c r="O429" t="str">
        <f t="shared" si="39"/>
        <v>Friday</v>
      </c>
      <c r="P429">
        <f t="shared" si="36"/>
        <v>17</v>
      </c>
      <c r="Q429" s="2">
        <f t="shared" si="40"/>
        <v>5</v>
      </c>
      <c r="R429" s="2">
        <f t="shared" si="41"/>
        <v>2</v>
      </c>
      <c r="S429">
        <f>SUMIF(Table1[product_category],"Bakery",Table1[Total_bill])</f>
        <v>2951.25</v>
      </c>
    </row>
    <row r="430" spans="1:19" x14ac:dyDescent="0.3">
      <c r="A430" s="2">
        <v>10429</v>
      </c>
      <c r="B430" s="4">
        <v>46060</v>
      </c>
      <c r="C430" t="s">
        <v>586</v>
      </c>
      <c r="D430" t="s">
        <v>25</v>
      </c>
      <c r="E430" t="s">
        <v>26</v>
      </c>
      <c r="F430" t="s">
        <v>117</v>
      </c>
      <c r="G430">
        <v>2</v>
      </c>
      <c r="H430" s="5">
        <v>4.75</v>
      </c>
      <c r="I430" t="s">
        <v>32</v>
      </c>
      <c r="J430" t="s">
        <v>122</v>
      </c>
      <c r="K430" t="s">
        <v>122</v>
      </c>
      <c r="L430" t="s">
        <v>2123</v>
      </c>
      <c r="M430" s="5">
        <f t="shared" si="37"/>
        <v>9.5</v>
      </c>
      <c r="N430" t="str">
        <f t="shared" si="38"/>
        <v>February</v>
      </c>
      <c r="O430" t="str">
        <f t="shared" si="39"/>
        <v>Saturday</v>
      </c>
      <c r="P430">
        <f t="shared" si="36"/>
        <v>10</v>
      </c>
      <c r="Q430" s="2">
        <f t="shared" si="40"/>
        <v>6</v>
      </c>
      <c r="R430" s="2">
        <f t="shared" si="41"/>
        <v>2</v>
      </c>
      <c r="S430">
        <f>SUMIF(Table1[product_category],"Bakery",Table1[Total_bill])</f>
        <v>2951.25</v>
      </c>
    </row>
    <row r="431" spans="1:19" x14ac:dyDescent="0.3">
      <c r="A431" s="2">
        <v>10430</v>
      </c>
      <c r="B431" s="4">
        <v>46061</v>
      </c>
      <c r="C431" t="s">
        <v>587</v>
      </c>
      <c r="D431" t="s">
        <v>18</v>
      </c>
      <c r="E431" t="s">
        <v>19</v>
      </c>
      <c r="F431" t="s">
        <v>119</v>
      </c>
      <c r="G431">
        <v>2</v>
      </c>
      <c r="H431" s="5">
        <v>3.25</v>
      </c>
      <c r="I431" t="s">
        <v>21</v>
      </c>
      <c r="J431" t="s">
        <v>81</v>
      </c>
      <c r="K431" t="s">
        <v>82</v>
      </c>
      <c r="L431" t="s">
        <v>2125</v>
      </c>
      <c r="M431" s="5">
        <f t="shared" si="37"/>
        <v>6.5</v>
      </c>
      <c r="N431" t="str">
        <f t="shared" si="38"/>
        <v>February</v>
      </c>
      <c r="O431" t="str">
        <f t="shared" si="39"/>
        <v>Sunday</v>
      </c>
      <c r="P431">
        <f t="shared" si="36"/>
        <v>7</v>
      </c>
      <c r="Q431" s="2">
        <f t="shared" si="40"/>
        <v>7</v>
      </c>
      <c r="R431" s="2">
        <f t="shared" si="41"/>
        <v>2</v>
      </c>
      <c r="S431">
        <f>SUMIF(Table1[product_category],"Bakery",Table1[Total_bill])</f>
        <v>2951.25</v>
      </c>
    </row>
    <row r="432" spans="1:19" x14ac:dyDescent="0.3">
      <c r="A432" s="2">
        <v>10431</v>
      </c>
      <c r="B432" s="4">
        <v>46062</v>
      </c>
      <c r="C432" t="s">
        <v>588</v>
      </c>
      <c r="D432" t="s">
        <v>18</v>
      </c>
      <c r="E432" t="s">
        <v>19</v>
      </c>
      <c r="F432" t="s">
        <v>121</v>
      </c>
      <c r="G432">
        <v>2</v>
      </c>
      <c r="H432" s="5">
        <v>24</v>
      </c>
      <c r="I432" t="s">
        <v>101</v>
      </c>
      <c r="J432" t="s">
        <v>102</v>
      </c>
      <c r="K432" t="s">
        <v>103</v>
      </c>
      <c r="L432" t="s">
        <v>2125</v>
      </c>
      <c r="M432" s="5">
        <f t="shared" si="37"/>
        <v>48</v>
      </c>
      <c r="N432" t="str">
        <f t="shared" si="38"/>
        <v>February</v>
      </c>
      <c r="O432" t="str">
        <f t="shared" si="39"/>
        <v>Monday</v>
      </c>
      <c r="P432">
        <f t="shared" si="36"/>
        <v>7</v>
      </c>
      <c r="Q432" s="2">
        <f t="shared" si="40"/>
        <v>1</v>
      </c>
      <c r="R432" s="2">
        <f t="shared" si="41"/>
        <v>2</v>
      </c>
      <c r="S432">
        <f>SUMIF(Table1[product_category],"Bakery",Table1[Total_bill])</f>
        <v>2951.25</v>
      </c>
    </row>
    <row r="433" spans="1:19" x14ac:dyDescent="0.3">
      <c r="A433" s="2">
        <v>10432</v>
      </c>
      <c r="B433" s="4">
        <v>46063</v>
      </c>
      <c r="C433" t="s">
        <v>589</v>
      </c>
      <c r="D433" t="s">
        <v>25</v>
      </c>
      <c r="E433" t="s">
        <v>26</v>
      </c>
      <c r="F433" t="s">
        <v>124</v>
      </c>
      <c r="G433">
        <v>2</v>
      </c>
      <c r="H433" s="5">
        <v>8</v>
      </c>
      <c r="I433" t="s">
        <v>28</v>
      </c>
      <c r="J433" t="s">
        <v>28</v>
      </c>
      <c r="K433" t="s">
        <v>76</v>
      </c>
      <c r="L433" t="s">
        <v>2125</v>
      </c>
      <c r="M433" s="5">
        <f t="shared" si="37"/>
        <v>16</v>
      </c>
      <c r="N433" t="str">
        <f t="shared" si="38"/>
        <v>February</v>
      </c>
      <c r="O433" t="str">
        <f t="shared" si="39"/>
        <v>Tuesday</v>
      </c>
      <c r="P433">
        <f t="shared" si="36"/>
        <v>15</v>
      </c>
      <c r="Q433" s="2">
        <f t="shared" si="40"/>
        <v>2</v>
      </c>
      <c r="R433" s="2">
        <f t="shared" si="41"/>
        <v>2</v>
      </c>
      <c r="S433">
        <f>SUMIF(Table1[product_category],"Bakery",Table1[Total_bill])</f>
        <v>2951.25</v>
      </c>
    </row>
    <row r="434" spans="1:19" x14ac:dyDescent="0.3">
      <c r="A434" s="2">
        <v>10433</v>
      </c>
      <c r="B434" s="4">
        <v>46064</v>
      </c>
      <c r="C434" t="s">
        <v>590</v>
      </c>
      <c r="D434" t="s">
        <v>18</v>
      </c>
      <c r="E434" t="s">
        <v>19</v>
      </c>
      <c r="F434" t="s">
        <v>126</v>
      </c>
      <c r="G434">
        <v>1</v>
      </c>
      <c r="H434" s="5">
        <v>6</v>
      </c>
      <c r="I434" t="s">
        <v>72</v>
      </c>
      <c r="J434" t="s">
        <v>72</v>
      </c>
      <c r="K434" t="s">
        <v>138</v>
      </c>
      <c r="L434" t="s">
        <v>2125</v>
      </c>
      <c r="M434" s="5">
        <f t="shared" si="37"/>
        <v>6</v>
      </c>
      <c r="N434" t="str">
        <f t="shared" si="38"/>
        <v>February</v>
      </c>
      <c r="O434" t="str">
        <f t="shared" si="39"/>
        <v>Wednesday</v>
      </c>
      <c r="P434">
        <f t="shared" si="36"/>
        <v>13</v>
      </c>
      <c r="Q434" s="2">
        <f t="shared" si="40"/>
        <v>3</v>
      </c>
      <c r="R434" s="2">
        <f t="shared" si="41"/>
        <v>2</v>
      </c>
      <c r="S434">
        <f>SUMIF(Table1[product_category],"Bakery",Table1[Total_bill])</f>
        <v>2951.25</v>
      </c>
    </row>
    <row r="435" spans="1:19" x14ac:dyDescent="0.3">
      <c r="A435" s="2">
        <v>10434</v>
      </c>
      <c r="B435" s="4">
        <v>46065</v>
      </c>
      <c r="C435" t="s">
        <v>591</v>
      </c>
      <c r="D435" t="s">
        <v>40</v>
      </c>
      <c r="E435" t="s">
        <v>41</v>
      </c>
      <c r="F435" t="s">
        <v>128</v>
      </c>
      <c r="G435">
        <v>3</v>
      </c>
      <c r="H435" s="5">
        <v>24</v>
      </c>
      <c r="I435" t="s">
        <v>101</v>
      </c>
      <c r="J435" t="s">
        <v>102</v>
      </c>
      <c r="K435" t="s">
        <v>103</v>
      </c>
      <c r="L435" t="s">
        <v>2125</v>
      </c>
      <c r="M435" s="5">
        <f t="shared" si="37"/>
        <v>72</v>
      </c>
      <c r="N435" t="str">
        <f t="shared" si="38"/>
        <v>February</v>
      </c>
      <c r="O435" t="str">
        <f t="shared" si="39"/>
        <v>Thursday</v>
      </c>
      <c r="P435">
        <f t="shared" si="36"/>
        <v>7</v>
      </c>
      <c r="Q435" s="2">
        <f t="shared" si="40"/>
        <v>4</v>
      </c>
      <c r="R435" s="2">
        <f t="shared" si="41"/>
        <v>2</v>
      </c>
      <c r="S435">
        <f>SUMIF(Table1[product_category],"Bakery",Table1[Total_bill])</f>
        <v>2951.25</v>
      </c>
    </row>
    <row r="436" spans="1:19" x14ac:dyDescent="0.3">
      <c r="A436" s="2">
        <v>10435</v>
      </c>
      <c r="B436" s="4">
        <v>46066</v>
      </c>
      <c r="C436" t="s">
        <v>592</v>
      </c>
      <c r="D436" t="s">
        <v>25</v>
      </c>
      <c r="E436" t="s">
        <v>26</v>
      </c>
      <c r="F436" t="s">
        <v>131</v>
      </c>
      <c r="G436">
        <v>4</v>
      </c>
      <c r="H436" s="5">
        <v>3.25</v>
      </c>
      <c r="I436" t="s">
        <v>21</v>
      </c>
      <c r="J436" t="s">
        <v>81</v>
      </c>
      <c r="K436" t="s">
        <v>113</v>
      </c>
      <c r="L436" t="s">
        <v>2125</v>
      </c>
      <c r="M436" s="5">
        <f t="shared" si="37"/>
        <v>13</v>
      </c>
      <c r="N436" t="str">
        <f t="shared" si="38"/>
        <v>February</v>
      </c>
      <c r="O436" t="str">
        <f t="shared" si="39"/>
        <v>Friday</v>
      </c>
      <c r="P436">
        <f t="shared" si="36"/>
        <v>7</v>
      </c>
      <c r="Q436" s="2">
        <f t="shared" si="40"/>
        <v>5</v>
      </c>
      <c r="R436" s="2">
        <f t="shared" si="41"/>
        <v>2</v>
      </c>
      <c r="S436">
        <f>SUMIF(Table1[product_category],"Bakery",Table1[Total_bill])</f>
        <v>2951.25</v>
      </c>
    </row>
    <row r="437" spans="1:19" x14ac:dyDescent="0.3">
      <c r="A437" s="2">
        <v>10436</v>
      </c>
      <c r="B437" s="4">
        <v>46067</v>
      </c>
      <c r="C437" t="s">
        <v>593</v>
      </c>
      <c r="D437" t="s">
        <v>40</v>
      </c>
      <c r="E437" t="s">
        <v>41</v>
      </c>
      <c r="F437" t="s">
        <v>133</v>
      </c>
      <c r="G437">
        <v>3</v>
      </c>
      <c r="H437" s="5">
        <v>3</v>
      </c>
      <c r="I437" t="s">
        <v>36</v>
      </c>
      <c r="J437" t="s">
        <v>246</v>
      </c>
      <c r="K437" t="s">
        <v>247</v>
      </c>
      <c r="L437" t="s">
        <v>2124</v>
      </c>
      <c r="M437" s="5">
        <f t="shared" si="37"/>
        <v>9</v>
      </c>
      <c r="N437" t="str">
        <f t="shared" si="38"/>
        <v>February</v>
      </c>
      <c r="O437" t="str">
        <f t="shared" si="39"/>
        <v>Saturday</v>
      </c>
      <c r="P437">
        <f t="shared" si="36"/>
        <v>14</v>
      </c>
      <c r="Q437" s="2">
        <f t="shared" si="40"/>
        <v>6</v>
      </c>
      <c r="R437" s="2">
        <f t="shared" si="41"/>
        <v>2</v>
      </c>
      <c r="S437">
        <f>SUMIF(Table1[product_category],"Bakery",Table1[Total_bill])</f>
        <v>2951.25</v>
      </c>
    </row>
    <row r="438" spans="1:19" x14ac:dyDescent="0.3">
      <c r="A438" s="2">
        <v>10437</v>
      </c>
      <c r="B438" s="4">
        <v>46068</v>
      </c>
      <c r="C438" t="s">
        <v>594</v>
      </c>
      <c r="D438" t="s">
        <v>40</v>
      </c>
      <c r="E438" t="s">
        <v>41</v>
      </c>
      <c r="F438" t="s">
        <v>135</v>
      </c>
      <c r="G438">
        <v>4</v>
      </c>
      <c r="H438" s="5">
        <v>4.5</v>
      </c>
      <c r="I438" t="s">
        <v>32</v>
      </c>
      <c r="J438" t="s">
        <v>94</v>
      </c>
      <c r="K438" t="s">
        <v>95</v>
      </c>
      <c r="L438" t="s">
        <v>2123</v>
      </c>
      <c r="M438" s="5">
        <f t="shared" si="37"/>
        <v>18</v>
      </c>
      <c r="N438" t="str">
        <f t="shared" si="38"/>
        <v>February</v>
      </c>
      <c r="O438" t="str">
        <f t="shared" si="39"/>
        <v>Sunday</v>
      </c>
      <c r="P438">
        <f t="shared" si="36"/>
        <v>7</v>
      </c>
      <c r="Q438" s="2">
        <f t="shared" si="40"/>
        <v>7</v>
      </c>
      <c r="R438" s="2">
        <f t="shared" si="41"/>
        <v>2</v>
      </c>
      <c r="S438">
        <f>SUMIF(Table1[product_category],"Bakery",Table1[Total_bill])</f>
        <v>2951.25</v>
      </c>
    </row>
    <row r="439" spans="1:19" x14ac:dyDescent="0.3">
      <c r="A439" s="2">
        <v>10438</v>
      </c>
      <c r="B439" s="4">
        <v>46069</v>
      </c>
      <c r="C439" t="s">
        <v>595</v>
      </c>
      <c r="D439" t="s">
        <v>25</v>
      </c>
      <c r="E439" t="s">
        <v>26</v>
      </c>
      <c r="F439" t="s">
        <v>137</v>
      </c>
      <c r="G439">
        <v>3</v>
      </c>
      <c r="H439" s="5">
        <v>3.5</v>
      </c>
      <c r="I439" t="s">
        <v>89</v>
      </c>
      <c r="J439" t="s">
        <v>261</v>
      </c>
      <c r="K439" t="s">
        <v>261</v>
      </c>
      <c r="L439" t="s">
        <v>2122</v>
      </c>
      <c r="M439" s="5">
        <f t="shared" si="37"/>
        <v>10.5</v>
      </c>
      <c r="N439" t="str">
        <f t="shared" si="38"/>
        <v>February</v>
      </c>
      <c r="O439" t="str">
        <f t="shared" si="39"/>
        <v>Monday</v>
      </c>
      <c r="P439">
        <f t="shared" si="36"/>
        <v>16</v>
      </c>
      <c r="Q439" s="2">
        <f t="shared" si="40"/>
        <v>1</v>
      </c>
      <c r="R439" s="2">
        <f t="shared" si="41"/>
        <v>2</v>
      </c>
      <c r="S439">
        <f>SUMIF(Table1[product_category],"Bakery",Table1[Total_bill])</f>
        <v>2951.25</v>
      </c>
    </row>
    <row r="440" spans="1:19" x14ac:dyDescent="0.3">
      <c r="A440" s="2">
        <v>10439</v>
      </c>
      <c r="B440" s="4">
        <v>46070</v>
      </c>
      <c r="C440" t="s">
        <v>596</v>
      </c>
      <c r="D440" t="s">
        <v>25</v>
      </c>
      <c r="E440" t="s">
        <v>26</v>
      </c>
      <c r="F440" t="s">
        <v>140</v>
      </c>
      <c r="G440">
        <v>3</v>
      </c>
      <c r="H440" s="5">
        <v>14</v>
      </c>
      <c r="I440" t="s">
        <v>98</v>
      </c>
      <c r="J440" t="s">
        <v>98</v>
      </c>
      <c r="K440" t="s">
        <v>129</v>
      </c>
      <c r="L440" t="s">
        <v>2125</v>
      </c>
      <c r="M440" s="5">
        <f t="shared" si="37"/>
        <v>42</v>
      </c>
      <c r="N440" t="str">
        <f t="shared" si="38"/>
        <v>February</v>
      </c>
      <c r="O440" t="str">
        <f t="shared" si="39"/>
        <v>Tuesday</v>
      </c>
      <c r="P440">
        <f t="shared" si="36"/>
        <v>14</v>
      </c>
      <c r="Q440" s="2">
        <f t="shared" si="40"/>
        <v>2</v>
      </c>
      <c r="R440" s="2">
        <f t="shared" si="41"/>
        <v>2</v>
      </c>
      <c r="S440">
        <f>SUMIF(Table1[product_category],"Bakery",Table1[Total_bill])</f>
        <v>2951.25</v>
      </c>
    </row>
    <row r="441" spans="1:19" x14ac:dyDescent="0.3">
      <c r="A441" s="2">
        <v>10440</v>
      </c>
      <c r="B441" s="4">
        <v>46071</v>
      </c>
      <c r="C441" t="s">
        <v>597</v>
      </c>
      <c r="D441" t="s">
        <v>25</v>
      </c>
      <c r="E441" t="s">
        <v>26</v>
      </c>
      <c r="F441" t="s">
        <v>143</v>
      </c>
      <c r="G441">
        <v>4</v>
      </c>
      <c r="H441" s="5">
        <v>4</v>
      </c>
      <c r="I441" t="s">
        <v>32</v>
      </c>
      <c r="J441" t="s">
        <v>94</v>
      </c>
      <c r="K441" t="s">
        <v>95</v>
      </c>
      <c r="L441" t="s">
        <v>2124</v>
      </c>
      <c r="M441" s="5">
        <f t="shared" si="37"/>
        <v>16</v>
      </c>
      <c r="N441" t="str">
        <f t="shared" si="38"/>
        <v>February</v>
      </c>
      <c r="O441" t="str">
        <f t="shared" si="39"/>
        <v>Wednesday</v>
      </c>
      <c r="P441">
        <f t="shared" si="36"/>
        <v>7</v>
      </c>
      <c r="Q441" s="2">
        <f t="shared" si="40"/>
        <v>3</v>
      </c>
      <c r="R441" s="2">
        <f t="shared" si="41"/>
        <v>2</v>
      </c>
      <c r="S441">
        <f>SUMIF(Table1[product_category],"Bakery",Table1[Total_bill])</f>
        <v>2951.25</v>
      </c>
    </row>
    <row r="442" spans="1:19" x14ac:dyDescent="0.3">
      <c r="A442" s="2">
        <v>10441</v>
      </c>
      <c r="B442" s="4">
        <v>46072</v>
      </c>
      <c r="C442" t="s">
        <v>598</v>
      </c>
      <c r="D442" t="s">
        <v>25</v>
      </c>
      <c r="E442" t="s">
        <v>26</v>
      </c>
      <c r="F442" t="s">
        <v>146</v>
      </c>
      <c r="G442">
        <v>2</v>
      </c>
      <c r="H442" s="5">
        <v>3.75</v>
      </c>
      <c r="I442" t="s">
        <v>32</v>
      </c>
      <c r="J442" t="s">
        <v>69</v>
      </c>
      <c r="K442" t="s">
        <v>69</v>
      </c>
      <c r="L442" t="s">
        <v>2122</v>
      </c>
      <c r="M442" s="5">
        <f t="shared" si="37"/>
        <v>7.5</v>
      </c>
      <c r="N442" t="str">
        <f t="shared" si="38"/>
        <v>February</v>
      </c>
      <c r="O442" t="str">
        <f t="shared" si="39"/>
        <v>Thursday</v>
      </c>
      <c r="P442">
        <f t="shared" si="36"/>
        <v>7</v>
      </c>
      <c r="Q442" s="2">
        <f t="shared" si="40"/>
        <v>4</v>
      </c>
      <c r="R442" s="2">
        <f t="shared" si="41"/>
        <v>2</v>
      </c>
      <c r="S442">
        <f>SUMIF(Table1[product_category],"Bakery",Table1[Total_bill])</f>
        <v>2951.25</v>
      </c>
    </row>
    <row r="443" spans="1:19" x14ac:dyDescent="0.3">
      <c r="A443" s="2">
        <v>10442</v>
      </c>
      <c r="B443" s="4">
        <v>46073</v>
      </c>
      <c r="C443" t="s">
        <v>599</v>
      </c>
      <c r="D443" t="s">
        <v>40</v>
      </c>
      <c r="E443" t="s">
        <v>41</v>
      </c>
      <c r="F443" t="s">
        <v>148</v>
      </c>
      <c r="G443">
        <v>1</v>
      </c>
      <c r="H443" s="5">
        <v>3.25</v>
      </c>
      <c r="I443" t="s">
        <v>21</v>
      </c>
      <c r="J443" t="s">
        <v>81</v>
      </c>
      <c r="K443" t="s">
        <v>113</v>
      </c>
      <c r="L443" t="s">
        <v>2125</v>
      </c>
      <c r="M443" s="5">
        <f t="shared" si="37"/>
        <v>3.25</v>
      </c>
      <c r="N443" t="str">
        <f t="shared" si="38"/>
        <v>February</v>
      </c>
      <c r="O443" t="str">
        <f t="shared" si="39"/>
        <v>Friday</v>
      </c>
      <c r="P443">
        <f t="shared" si="36"/>
        <v>20</v>
      </c>
      <c r="Q443" s="2">
        <f t="shared" si="40"/>
        <v>5</v>
      </c>
      <c r="R443" s="2">
        <f t="shared" si="41"/>
        <v>2</v>
      </c>
      <c r="S443">
        <f>SUMIF(Table1[product_category],"Bakery",Table1[Total_bill])</f>
        <v>2951.25</v>
      </c>
    </row>
    <row r="444" spans="1:19" x14ac:dyDescent="0.3">
      <c r="A444" s="2">
        <v>10443</v>
      </c>
      <c r="B444" s="4">
        <v>46074</v>
      </c>
      <c r="C444" t="s">
        <v>600</v>
      </c>
      <c r="D444" t="s">
        <v>18</v>
      </c>
      <c r="E444" t="s">
        <v>19</v>
      </c>
      <c r="F444" t="s">
        <v>150</v>
      </c>
      <c r="G444">
        <v>4</v>
      </c>
      <c r="H444" s="5">
        <v>4</v>
      </c>
      <c r="I444" t="s">
        <v>32</v>
      </c>
      <c r="J444" t="s">
        <v>55</v>
      </c>
      <c r="K444" t="s">
        <v>55</v>
      </c>
      <c r="L444" t="s">
        <v>2123</v>
      </c>
      <c r="M444" s="5">
        <f t="shared" si="37"/>
        <v>16</v>
      </c>
      <c r="N444" t="str">
        <f t="shared" si="38"/>
        <v>February</v>
      </c>
      <c r="O444" t="str">
        <f t="shared" si="39"/>
        <v>Saturday</v>
      </c>
      <c r="P444">
        <f t="shared" si="36"/>
        <v>10</v>
      </c>
      <c r="Q444" s="2">
        <f t="shared" si="40"/>
        <v>6</v>
      </c>
      <c r="R444" s="2">
        <f t="shared" si="41"/>
        <v>2</v>
      </c>
      <c r="S444">
        <f>SUMIF(Table1[product_category],"Bakery",Table1[Total_bill])</f>
        <v>2951.25</v>
      </c>
    </row>
    <row r="445" spans="1:19" x14ac:dyDescent="0.3">
      <c r="A445" s="2">
        <v>10444</v>
      </c>
      <c r="B445" s="4">
        <v>46075</v>
      </c>
      <c r="C445" t="s">
        <v>601</v>
      </c>
      <c r="D445" t="s">
        <v>18</v>
      </c>
      <c r="E445" t="s">
        <v>19</v>
      </c>
      <c r="F445" t="s">
        <v>152</v>
      </c>
      <c r="G445">
        <v>2</v>
      </c>
      <c r="H445" s="5">
        <v>3</v>
      </c>
      <c r="I445" t="s">
        <v>36</v>
      </c>
      <c r="J445" t="s">
        <v>37</v>
      </c>
      <c r="K445" t="s">
        <v>276</v>
      </c>
      <c r="L445" t="s">
        <v>2124</v>
      </c>
      <c r="M445" s="5">
        <f t="shared" si="37"/>
        <v>6</v>
      </c>
      <c r="N445" t="str">
        <f t="shared" si="38"/>
        <v>February</v>
      </c>
      <c r="O445" t="str">
        <f t="shared" si="39"/>
        <v>Sunday</v>
      </c>
      <c r="P445">
        <f t="shared" si="36"/>
        <v>10</v>
      </c>
      <c r="Q445" s="2">
        <f t="shared" si="40"/>
        <v>7</v>
      </c>
      <c r="R445" s="2">
        <f t="shared" si="41"/>
        <v>2</v>
      </c>
      <c r="S445">
        <f>SUMIF(Table1[product_category],"Bakery",Table1[Total_bill])</f>
        <v>2951.25</v>
      </c>
    </row>
    <row r="446" spans="1:19" x14ac:dyDescent="0.3">
      <c r="A446" s="2">
        <v>10445</v>
      </c>
      <c r="B446" s="4">
        <v>46076</v>
      </c>
      <c r="C446" t="s">
        <v>602</v>
      </c>
      <c r="D446" t="s">
        <v>40</v>
      </c>
      <c r="E446" t="s">
        <v>41</v>
      </c>
      <c r="F446" t="s">
        <v>154</v>
      </c>
      <c r="G446">
        <v>3</v>
      </c>
      <c r="H446" s="5">
        <v>4</v>
      </c>
      <c r="I446" t="s">
        <v>89</v>
      </c>
      <c r="J446" t="s">
        <v>261</v>
      </c>
      <c r="K446" t="s">
        <v>261</v>
      </c>
      <c r="L446" t="s">
        <v>2124</v>
      </c>
      <c r="M446" s="5">
        <f t="shared" si="37"/>
        <v>12</v>
      </c>
      <c r="N446" t="str">
        <f t="shared" si="38"/>
        <v>February</v>
      </c>
      <c r="O446" t="str">
        <f t="shared" si="39"/>
        <v>Monday</v>
      </c>
      <c r="P446">
        <f t="shared" si="36"/>
        <v>16</v>
      </c>
      <c r="Q446" s="2">
        <f t="shared" si="40"/>
        <v>1</v>
      </c>
      <c r="R446" s="2">
        <f t="shared" si="41"/>
        <v>2</v>
      </c>
      <c r="S446">
        <f>SUMIF(Table1[product_category],"Bakery",Table1[Total_bill])</f>
        <v>2951.25</v>
      </c>
    </row>
    <row r="447" spans="1:19" x14ac:dyDescent="0.3">
      <c r="A447" s="2">
        <v>10446</v>
      </c>
      <c r="B447" s="4">
        <v>46077</v>
      </c>
      <c r="C447" t="s">
        <v>603</v>
      </c>
      <c r="D447" t="s">
        <v>18</v>
      </c>
      <c r="E447" t="s">
        <v>19</v>
      </c>
      <c r="F447" t="s">
        <v>156</v>
      </c>
      <c r="G447">
        <v>4</v>
      </c>
      <c r="H447" s="5">
        <v>6</v>
      </c>
      <c r="I447" t="s">
        <v>72</v>
      </c>
      <c r="J447" t="s">
        <v>72</v>
      </c>
      <c r="K447" t="s">
        <v>138</v>
      </c>
      <c r="L447" t="s">
        <v>2125</v>
      </c>
      <c r="M447" s="5">
        <f t="shared" si="37"/>
        <v>24</v>
      </c>
      <c r="N447" t="str">
        <f t="shared" si="38"/>
        <v>February</v>
      </c>
      <c r="O447" t="str">
        <f t="shared" si="39"/>
        <v>Tuesday</v>
      </c>
      <c r="P447">
        <f t="shared" si="36"/>
        <v>19</v>
      </c>
      <c r="Q447" s="2">
        <f t="shared" si="40"/>
        <v>2</v>
      </c>
      <c r="R447" s="2">
        <f t="shared" si="41"/>
        <v>2</v>
      </c>
      <c r="S447">
        <f>SUMIF(Table1[product_category],"Bakery",Table1[Total_bill])</f>
        <v>2951.25</v>
      </c>
    </row>
    <row r="448" spans="1:19" x14ac:dyDescent="0.3">
      <c r="A448" s="2">
        <v>10447</v>
      </c>
      <c r="B448" s="4">
        <v>46078</v>
      </c>
      <c r="C448" t="s">
        <v>604</v>
      </c>
      <c r="D448" t="s">
        <v>40</v>
      </c>
      <c r="E448" t="s">
        <v>41</v>
      </c>
      <c r="F448" t="s">
        <v>158</v>
      </c>
      <c r="G448">
        <v>2</v>
      </c>
      <c r="H448" s="5">
        <v>3.25</v>
      </c>
      <c r="I448" t="s">
        <v>21</v>
      </c>
      <c r="J448" t="s">
        <v>81</v>
      </c>
      <c r="K448" t="s">
        <v>82</v>
      </c>
      <c r="L448" t="s">
        <v>2125</v>
      </c>
      <c r="M448" s="5">
        <f t="shared" si="37"/>
        <v>6.5</v>
      </c>
      <c r="N448" t="str">
        <f t="shared" si="38"/>
        <v>February</v>
      </c>
      <c r="O448" t="str">
        <f t="shared" si="39"/>
        <v>Wednesday</v>
      </c>
      <c r="P448">
        <f t="shared" si="36"/>
        <v>20</v>
      </c>
      <c r="Q448" s="2">
        <f t="shared" si="40"/>
        <v>3</v>
      </c>
      <c r="R448" s="2">
        <f t="shared" si="41"/>
        <v>2</v>
      </c>
      <c r="S448">
        <f>SUMIF(Table1[product_category],"Bakery",Table1[Total_bill])</f>
        <v>2951.25</v>
      </c>
    </row>
    <row r="449" spans="1:19" x14ac:dyDescent="0.3">
      <c r="A449" s="2">
        <v>10448</v>
      </c>
      <c r="B449" s="4">
        <v>46079</v>
      </c>
      <c r="C449" t="s">
        <v>605</v>
      </c>
      <c r="D449" t="s">
        <v>25</v>
      </c>
      <c r="E449" t="s">
        <v>26</v>
      </c>
      <c r="F449" t="s">
        <v>160</v>
      </c>
      <c r="G449">
        <v>2</v>
      </c>
      <c r="H449" s="5">
        <v>3.5</v>
      </c>
      <c r="I449" t="s">
        <v>36</v>
      </c>
      <c r="J449" t="s">
        <v>37</v>
      </c>
      <c r="K449" t="s">
        <v>62</v>
      </c>
      <c r="L449" t="s">
        <v>2123</v>
      </c>
      <c r="M449" s="5">
        <f t="shared" si="37"/>
        <v>7</v>
      </c>
      <c r="N449" t="str">
        <f t="shared" si="38"/>
        <v>February</v>
      </c>
      <c r="O449" t="str">
        <f t="shared" si="39"/>
        <v>Thursday</v>
      </c>
      <c r="P449">
        <f t="shared" si="36"/>
        <v>15</v>
      </c>
      <c r="Q449" s="2">
        <f t="shared" si="40"/>
        <v>4</v>
      </c>
      <c r="R449" s="2">
        <f t="shared" si="41"/>
        <v>2</v>
      </c>
      <c r="S449">
        <f>SUMIF(Table1[product_category],"Bakery",Table1[Total_bill])</f>
        <v>2951.25</v>
      </c>
    </row>
    <row r="450" spans="1:19" x14ac:dyDescent="0.3">
      <c r="A450" s="2">
        <v>10449</v>
      </c>
      <c r="B450" s="4">
        <v>46080</v>
      </c>
      <c r="C450" t="s">
        <v>606</v>
      </c>
      <c r="D450" t="s">
        <v>18</v>
      </c>
      <c r="E450" t="s">
        <v>19</v>
      </c>
      <c r="F450" t="s">
        <v>162</v>
      </c>
      <c r="G450">
        <v>3</v>
      </c>
      <c r="H450" s="5">
        <v>11</v>
      </c>
      <c r="I450" t="s">
        <v>98</v>
      </c>
      <c r="J450" t="s">
        <v>98</v>
      </c>
      <c r="K450" t="s">
        <v>215</v>
      </c>
      <c r="L450" t="s">
        <v>2125</v>
      </c>
      <c r="M450" s="5">
        <f t="shared" si="37"/>
        <v>33</v>
      </c>
      <c r="N450" t="str">
        <f t="shared" si="38"/>
        <v>February</v>
      </c>
      <c r="O450" t="str">
        <f t="shared" si="39"/>
        <v>Friday</v>
      </c>
      <c r="P450">
        <f t="shared" ref="P450:P513" si="42">HOUR(TIMEVALUE(C450))</f>
        <v>10</v>
      </c>
      <c r="Q450" s="2">
        <f t="shared" si="40"/>
        <v>5</v>
      </c>
      <c r="R450" s="2">
        <f t="shared" si="41"/>
        <v>2</v>
      </c>
      <c r="S450">
        <f>SUMIF(Table1[product_category],"Bakery",Table1[Total_bill])</f>
        <v>2951.25</v>
      </c>
    </row>
    <row r="451" spans="1:19" x14ac:dyDescent="0.3">
      <c r="A451" s="2">
        <v>10450</v>
      </c>
      <c r="B451" s="4">
        <v>46081</v>
      </c>
      <c r="C451" t="s">
        <v>607</v>
      </c>
      <c r="D451" t="s">
        <v>25</v>
      </c>
      <c r="E451" t="s">
        <v>26</v>
      </c>
      <c r="F451" t="s">
        <v>164</v>
      </c>
      <c r="G451">
        <v>2</v>
      </c>
      <c r="H451" s="5">
        <v>4.5</v>
      </c>
      <c r="I451" t="s">
        <v>89</v>
      </c>
      <c r="J451" t="s">
        <v>261</v>
      </c>
      <c r="K451" t="s">
        <v>261</v>
      </c>
      <c r="L451" t="s">
        <v>2123</v>
      </c>
      <c r="M451" s="5">
        <f t="shared" ref="M451:M514" si="43">G451*H451</f>
        <v>9</v>
      </c>
      <c r="N451" t="str">
        <f t="shared" ref="N451:N514" si="44">TEXT(B451,"mmmm")</f>
        <v>February</v>
      </c>
      <c r="O451" t="str">
        <f t="shared" ref="O451:O514" si="45">TEXT(B451,"dddd")</f>
        <v>Saturday</v>
      </c>
      <c r="P451">
        <f t="shared" si="42"/>
        <v>7</v>
      </c>
      <c r="Q451" s="2">
        <f t="shared" ref="Q451:Q514" si="46">WEEKDAY(B451,2)</f>
        <v>6</v>
      </c>
      <c r="R451" s="2">
        <f t="shared" ref="R451:R514" si="47">MONTH(B451)</f>
        <v>2</v>
      </c>
      <c r="S451">
        <f>SUMIF(Table1[product_category],"Bakery",Table1[Total_bill])</f>
        <v>2951.25</v>
      </c>
    </row>
    <row r="452" spans="1:19" x14ac:dyDescent="0.3">
      <c r="A452" s="2">
        <v>10451</v>
      </c>
      <c r="B452" s="4">
        <v>46082</v>
      </c>
      <c r="C452" t="s">
        <v>608</v>
      </c>
      <c r="D452" t="s">
        <v>18</v>
      </c>
      <c r="E452" t="s">
        <v>19</v>
      </c>
      <c r="F452" t="s">
        <v>166</v>
      </c>
      <c r="G452">
        <v>3</v>
      </c>
      <c r="H452" s="5">
        <v>2.5</v>
      </c>
      <c r="I452" t="s">
        <v>21</v>
      </c>
      <c r="J452" t="s">
        <v>47</v>
      </c>
      <c r="K452" t="s">
        <v>48</v>
      </c>
      <c r="L452" t="s">
        <v>2125</v>
      </c>
      <c r="M452" s="5">
        <f t="shared" si="43"/>
        <v>7.5</v>
      </c>
      <c r="N452" t="str">
        <f t="shared" si="44"/>
        <v>March</v>
      </c>
      <c r="O452" t="str">
        <f t="shared" si="45"/>
        <v>Sunday</v>
      </c>
      <c r="P452">
        <f t="shared" si="42"/>
        <v>15</v>
      </c>
      <c r="Q452" s="2">
        <f t="shared" si="46"/>
        <v>7</v>
      </c>
      <c r="R452" s="2">
        <f t="shared" si="47"/>
        <v>3</v>
      </c>
      <c r="S452">
        <f>SUMIF(Table1[product_category],"Bakery",Table1[Total_bill])</f>
        <v>2951.25</v>
      </c>
    </row>
    <row r="453" spans="1:19" x14ac:dyDescent="0.3">
      <c r="A453" s="2">
        <v>10452</v>
      </c>
      <c r="B453" s="4">
        <v>46083</v>
      </c>
      <c r="C453" t="s">
        <v>609</v>
      </c>
      <c r="D453" t="s">
        <v>18</v>
      </c>
      <c r="E453" t="s">
        <v>19</v>
      </c>
      <c r="F453" t="s">
        <v>168</v>
      </c>
      <c r="G453">
        <v>4</v>
      </c>
      <c r="H453" s="5">
        <v>6</v>
      </c>
      <c r="I453" t="s">
        <v>72</v>
      </c>
      <c r="J453" t="s">
        <v>72</v>
      </c>
      <c r="K453" t="s">
        <v>138</v>
      </c>
      <c r="L453" t="s">
        <v>2125</v>
      </c>
      <c r="M453" s="5">
        <f t="shared" si="43"/>
        <v>24</v>
      </c>
      <c r="N453" t="str">
        <f t="shared" si="44"/>
        <v>March</v>
      </c>
      <c r="O453" t="str">
        <f t="shared" si="45"/>
        <v>Monday</v>
      </c>
      <c r="P453">
        <f t="shared" si="42"/>
        <v>12</v>
      </c>
      <c r="Q453" s="2">
        <f t="shared" si="46"/>
        <v>1</v>
      </c>
      <c r="R453" s="2">
        <f t="shared" si="47"/>
        <v>3</v>
      </c>
      <c r="S453">
        <f>SUMIF(Table1[product_category],"Bakery",Table1[Total_bill])</f>
        <v>2951.25</v>
      </c>
    </row>
    <row r="454" spans="1:19" x14ac:dyDescent="0.3">
      <c r="A454" s="2">
        <v>10453</v>
      </c>
      <c r="B454" s="4">
        <v>46084</v>
      </c>
      <c r="C454" t="s">
        <v>230</v>
      </c>
      <c r="D454" t="s">
        <v>40</v>
      </c>
      <c r="E454" t="s">
        <v>41</v>
      </c>
      <c r="F454" t="s">
        <v>170</v>
      </c>
      <c r="G454">
        <v>4</v>
      </c>
      <c r="H454" s="5">
        <v>3.25</v>
      </c>
      <c r="I454" t="s">
        <v>36</v>
      </c>
      <c r="J454" t="s">
        <v>211</v>
      </c>
      <c r="K454" t="s">
        <v>212</v>
      </c>
      <c r="L454" t="s">
        <v>2122</v>
      </c>
      <c r="M454" s="5">
        <f t="shared" si="43"/>
        <v>13</v>
      </c>
      <c r="N454" t="str">
        <f t="shared" si="44"/>
        <v>March</v>
      </c>
      <c r="O454" t="str">
        <f t="shared" si="45"/>
        <v>Tuesday</v>
      </c>
      <c r="P454">
        <f t="shared" si="42"/>
        <v>10</v>
      </c>
      <c r="Q454" s="2">
        <f t="shared" si="46"/>
        <v>2</v>
      </c>
      <c r="R454" s="2">
        <f t="shared" si="47"/>
        <v>3</v>
      </c>
      <c r="S454">
        <f>SUMIF(Table1[product_category],"Bakery",Table1[Total_bill])</f>
        <v>2951.25</v>
      </c>
    </row>
    <row r="455" spans="1:19" x14ac:dyDescent="0.3">
      <c r="A455" s="2">
        <v>10454</v>
      </c>
      <c r="B455" s="4">
        <v>46085</v>
      </c>
      <c r="C455" t="s">
        <v>610</v>
      </c>
      <c r="D455" t="s">
        <v>18</v>
      </c>
      <c r="E455" t="s">
        <v>19</v>
      </c>
      <c r="F455" t="s">
        <v>172</v>
      </c>
      <c r="G455">
        <v>1</v>
      </c>
      <c r="H455" s="5">
        <v>4.5</v>
      </c>
      <c r="I455" t="s">
        <v>32</v>
      </c>
      <c r="J455" t="s">
        <v>94</v>
      </c>
      <c r="K455" t="s">
        <v>95</v>
      </c>
      <c r="L455" t="s">
        <v>2123</v>
      </c>
      <c r="M455" s="5">
        <f t="shared" si="43"/>
        <v>4.5</v>
      </c>
      <c r="N455" t="str">
        <f t="shared" si="44"/>
        <v>March</v>
      </c>
      <c r="O455" t="str">
        <f t="shared" si="45"/>
        <v>Wednesday</v>
      </c>
      <c r="P455">
        <f t="shared" si="42"/>
        <v>18</v>
      </c>
      <c r="Q455" s="2">
        <f t="shared" si="46"/>
        <v>3</v>
      </c>
      <c r="R455" s="2">
        <f t="shared" si="47"/>
        <v>3</v>
      </c>
      <c r="S455">
        <f>SUMIF(Table1[product_category],"Bakery",Table1[Total_bill])</f>
        <v>2951.25</v>
      </c>
    </row>
    <row r="456" spans="1:19" x14ac:dyDescent="0.3">
      <c r="A456" s="2">
        <v>10455</v>
      </c>
      <c r="B456" s="4">
        <v>46086</v>
      </c>
      <c r="C456" t="s">
        <v>611</v>
      </c>
      <c r="D456" t="s">
        <v>25</v>
      </c>
      <c r="E456" t="s">
        <v>26</v>
      </c>
      <c r="F456" t="s">
        <v>174</v>
      </c>
      <c r="G456">
        <v>2</v>
      </c>
      <c r="H456" s="5">
        <v>2.25</v>
      </c>
      <c r="I456" t="s">
        <v>32</v>
      </c>
      <c r="J456" t="s">
        <v>43</v>
      </c>
      <c r="K456" t="s">
        <v>44</v>
      </c>
      <c r="L456" t="s">
        <v>2124</v>
      </c>
      <c r="M456" s="5">
        <f t="shared" si="43"/>
        <v>4.5</v>
      </c>
      <c r="N456" t="str">
        <f t="shared" si="44"/>
        <v>March</v>
      </c>
      <c r="O456" t="str">
        <f t="shared" si="45"/>
        <v>Thursday</v>
      </c>
      <c r="P456">
        <f t="shared" si="42"/>
        <v>7</v>
      </c>
      <c r="Q456" s="2">
        <f t="shared" si="46"/>
        <v>4</v>
      </c>
      <c r="R456" s="2">
        <f t="shared" si="47"/>
        <v>3</v>
      </c>
      <c r="S456">
        <f>SUMIF(Table1[product_category],"Bakery",Table1[Total_bill])</f>
        <v>2951.25</v>
      </c>
    </row>
    <row r="457" spans="1:19" x14ac:dyDescent="0.3">
      <c r="A457" s="2">
        <v>10456</v>
      </c>
      <c r="B457" s="4">
        <v>46087</v>
      </c>
      <c r="C457" t="s">
        <v>612</v>
      </c>
      <c r="D457" t="s">
        <v>18</v>
      </c>
      <c r="E457" t="s">
        <v>19</v>
      </c>
      <c r="F457" t="s">
        <v>176</v>
      </c>
      <c r="G457">
        <v>2</v>
      </c>
      <c r="H457" s="5">
        <v>4.25</v>
      </c>
      <c r="I457" t="s">
        <v>32</v>
      </c>
      <c r="J457" t="s">
        <v>202</v>
      </c>
      <c r="K457" t="s">
        <v>202</v>
      </c>
      <c r="L457" t="s">
        <v>2124</v>
      </c>
      <c r="M457" s="5">
        <f t="shared" si="43"/>
        <v>8.5</v>
      </c>
      <c r="N457" t="str">
        <f t="shared" si="44"/>
        <v>March</v>
      </c>
      <c r="O457" t="str">
        <f t="shared" si="45"/>
        <v>Friday</v>
      </c>
      <c r="P457">
        <f t="shared" si="42"/>
        <v>11</v>
      </c>
      <c r="Q457" s="2">
        <f t="shared" si="46"/>
        <v>5</v>
      </c>
      <c r="R457" s="2">
        <f t="shared" si="47"/>
        <v>3</v>
      </c>
      <c r="S457">
        <f>SUMIF(Table1[product_category],"Bakery",Table1[Total_bill])</f>
        <v>2951.25</v>
      </c>
    </row>
    <row r="458" spans="1:19" x14ac:dyDescent="0.3">
      <c r="A458" s="2">
        <v>10457</v>
      </c>
      <c r="B458" s="4">
        <v>46088</v>
      </c>
      <c r="C458" t="s">
        <v>613</v>
      </c>
      <c r="D458" t="s">
        <v>25</v>
      </c>
      <c r="E458" t="s">
        <v>26</v>
      </c>
      <c r="F458" t="s">
        <v>178</v>
      </c>
      <c r="G458">
        <v>4</v>
      </c>
      <c r="H458" s="5">
        <v>5.5</v>
      </c>
      <c r="I458" t="s">
        <v>72</v>
      </c>
      <c r="J458" t="s">
        <v>72</v>
      </c>
      <c r="K458" t="s">
        <v>141</v>
      </c>
      <c r="L458" t="s">
        <v>2125</v>
      </c>
      <c r="M458" s="5">
        <f t="shared" si="43"/>
        <v>22</v>
      </c>
      <c r="N458" t="str">
        <f t="shared" si="44"/>
        <v>March</v>
      </c>
      <c r="O458" t="str">
        <f t="shared" si="45"/>
        <v>Saturday</v>
      </c>
      <c r="P458">
        <f t="shared" si="42"/>
        <v>6</v>
      </c>
      <c r="Q458" s="2">
        <f t="shared" si="46"/>
        <v>6</v>
      </c>
      <c r="R458" s="2">
        <f t="shared" si="47"/>
        <v>3</v>
      </c>
      <c r="S458">
        <f>SUMIF(Table1[product_category],"Bakery",Table1[Total_bill])</f>
        <v>2951.25</v>
      </c>
    </row>
    <row r="459" spans="1:19" x14ac:dyDescent="0.3">
      <c r="A459" s="2">
        <v>10458</v>
      </c>
      <c r="B459" s="4">
        <v>46089</v>
      </c>
      <c r="C459" t="s">
        <v>614</v>
      </c>
      <c r="D459" t="s">
        <v>18</v>
      </c>
      <c r="E459" t="s">
        <v>19</v>
      </c>
      <c r="F459" t="s">
        <v>180</v>
      </c>
      <c r="G459">
        <v>1</v>
      </c>
      <c r="H459" s="5">
        <v>11</v>
      </c>
      <c r="I459" t="s">
        <v>98</v>
      </c>
      <c r="J459" t="s">
        <v>98</v>
      </c>
      <c r="K459" t="s">
        <v>215</v>
      </c>
      <c r="L459" t="s">
        <v>2125</v>
      </c>
      <c r="M459" s="5">
        <f t="shared" si="43"/>
        <v>11</v>
      </c>
      <c r="N459" t="str">
        <f t="shared" si="44"/>
        <v>March</v>
      </c>
      <c r="O459" t="str">
        <f t="shared" si="45"/>
        <v>Sunday</v>
      </c>
      <c r="P459">
        <f t="shared" si="42"/>
        <v>11</v>
      </c>
      <c r="Q459" s="2">
        <f t="shared" si="46"/>
        <v>7</v>
      </c>
      <c r="R459" s="2">
        <f t="shared" si="47"/>
        <v>3</v>
      </c>
      <c r="S459">
        <f>SUMIF(Table1[product_category],"Bakery",Table1[Total_bill])</f>
        <v>2951.25</v>
      </c>
    </row>
    <row r="460" spans="1:19" x14ac:dyDescent="0.3">
      <c r="A460" s="2">
        <v>10459</v>
      </c>
      <c r="B460" s="4">
        <v>46090</v>
      </c>
      <c r="C460" t="s">
        <v>615</v>
      </c>
      <c r="D460" t="s">
        <v>40</v>
      </c>
      <c r="E460" t="s">
        <v>41</v>
      </c>
      <c r="F460" t="s">
        <v>184</v>
      </c>
      <c r="G460">
        <v>3</v>
      </c>
      <c r="H460" s="5">
        <v>9.5</v>
      </c>
      <c r="I460" t="s">
        <v>28</v>
      </c>
      <c r="J460" t="s">
        <v>28</v>
      </c>
      <c r="K460" t="s">
        <v>29</v>
      </c>
      <c r="L460" t="s">
        <v>2125</v>
      </c>
      <c r="M460" s="5">
        <f t="shared" si="43"/>
        <v>28.5</v>
      </c>
      <c r="N460" t="str">
        <f t="shared" si="44"/>
        <v>March</v>
      </c>
      <c r="O460" t="str">
        <f t="shared" si="45"/>
        <v>Monday</v>
      </c>
      <c r="P460">
        <f t="shared" si="42"/>
        <v>6</v>
      </c>
      <c r="Q460" s="2">
        <f t="shared" si="46"/>
        <v>1</v>
      </c>
      <c r="R460" s="2">
        <f t="shared" si="47"/>
        <v>3</v>
      </c>
      <c r="S460">
        <f>SUMIF(Table1[product_category],"Bakery",Table1[Total_bill])</f>
        <v>2951.25</v>
      </c>
    </row>
    <row r="461" spans="1:19" x14ac:dyDescent="0.3">
      <c r="A461" s="2">
        <v>10460</v>
      </c>
      <c r="B461" s="4">
        <v>46091</v>
      </c>
      <c r="C461" t="s">
        <v>616</v>
      </c>
      <c r="D461" t="s">
        <v>18</v>
      </c>
      <c r="E461" t="s">
        <v>19</v>
      </c>
      <c r="F461" t="s">
        <v>186</v>
      </c>
      <c r="G461">
        <v>2</v>
      </c>
      <c r="H461" s="5">
        <v>13</v>
      </c>
      <c r="I461" t="s">
        <v>98</v>
      </c>
      <c r="J461" t="s">
        <v>98</v>
      </c>
      <c r="K461" t="s">
        <v>95</v>
      </c>
      <c r="L461" t="s">
        <v>2125</v>
      </c>
      <c r="M461" s="5">
        <f t="shared" si="43"/>
        <v>26</v>
      </c>
      <c r="N461" t="str">
        <f t="shared" si="44"/>
        <v>March</v>
      </c>
      <c r="O461" t="str">
        <f t="shared" si="45"/>
        <v>Tuesday</v>
      </c>
      <c r="P461">
        <f t="shared" si="42"/>
        <v>7</v>
      </c>
      <c r="Q461" s="2">
        <f t="shared" si="46"/>
        <v>2</v>
      </c>
      <c r="R461" s="2">
        <f t="shared" si="47"/>
        <v>3</v>
      </c>
      <c r="S461">
        <f>SUMIF(Table1[product_category],"Bakery",Table1[Total_bill])</f>
        <v>2951.25</v>
      </c>
    </row>
    <row r="462" spans="1:19" x14ac:dyDescent="0.3">
      <c r="A462" s="2">
        <v>10461</v>
      </c>
      <c r="B462" s="4">
        <v>46092</v>
      </c>
      <c r="C462" t="s">
        <v>617</v>
      </c>
      <c r="D462" t="s">
        <v>18</v>
      </c>
      <c r="E462" t="s">
        <v>19</v>
      </c>
      <c r="F462" t="s">
        <v>188</v>
      </c>
      <c r="G462">
        <v>2</v>
      </c>
      <c r="H462" s="5">
        <v>4.25</v>
      </c>
      <c r="I462" t="s">
        <v>32</v>
      </c>
      <c r="J462" t="s">
        <v>202</v>
      </c>
      <c r="K462" t="s">
        <v>202</v>
      </c>
      <c r="L462" t="s">
        <v>2124</v>
      </c>
      <c r="M462" s="5">
        <f t="shared" si="43"/>
        <v>8.5</v>
      </c>
      <c r="N462" t="str">
        <f t="shared" si="44"/>
        <v>March</v>
      </c>
      <c r="O462" t="str">
        <f t="shared" si="45"/>
        <v>Wednesday</v>
      </c>
      <c r="P462">
        <f t="shared" si="42"/>
        <v>7</v>
      </c>
      <c r="Q462" s="2">
        <f t="shared" si="46"/>
        <v>3</v>
      </c>
      <c r="R462" s="2">
        <f t="shared" si="47"/>
        <v>3</v>
      </c>
      <c r="S462">
        <f>SUMIF(Table1[product_category],"Bakery",Table1[Total_bill])</f>
        <v>2951.25</v>
      </c>
    </row>
    <row r="463" spans="1:19" x14ac:dyDescent="0.3">
      <c r="A463" s="2">
        <v>10462</v>
      </c>
      <c r="B463" s="4">
        <v>46093</v>
      </c>
      <c r="C463" t="s">
        <v>618</v>
      </c>
      <c r="D463" t="s">
        <v>40</v>
      </c>
      <c r="E463" t="s">
        <v>41</v>
      </c>
      <c r="F463" t="s">
        <v>190</v>
      </c>
      <c r="G463">
        <v>4</v>
      </c>
      <c r="H463" s="5">
        <v>2.75</v>
      </c>
      <c r="I463" t="s">
        <v>21</v>
      </c>
      <c r="J463" t="s">
        <v>22</v>
      </c>
      <c r="K463" t="s">
        <v>23</v>
      </c>
      <c r="L463" t="s">
        <v>2125</v>
      </c>
      <c r="M463" s="5">
        <f t="shared" si="43"/>
        <v>11</v>
      </c>
      <c r="N463" t="str">
        <f t="shared" si="44"/>
        <v>March</v>
      </c>
      <c r="O463" t="str">
        <f t="shared" si="45"/>
        <v>Thursday</v>
      </c>
      <c r="P463">
        <f t="shared" si="42"/>
        <v>14</v>
      </c>
      <c r="Q463" s="2">
        <f t="shared" si="46"/>
        <v>4</v>
      </c>
      <c r="R463" s="2">
        <f t="shared" si="47"/>
        <v>3</v>
      </c>
      <c r="S463">
        <f>SUMIF(Table1[product_category],"Bakery",Table1[Total_bill])</f>
        <v>2951.25</v>
      </c>
    </row>
    <row r="464" spans="1:19" x14ac:dyDescent="0.3">
      <c r="A464" s="2">
        <v>10463</v>
      </c>
      <c r="B464" s="4">
        <v>46094</v>
      </c>
      <c r="C464" t="s">
        <v>619</v>
      </c>
      <c r="D464" t="s">
        <v>40</v>
      </c>
      <c r="E464" t="s">
        <v>41</v>
      </c>
      <c r="F464" t="s">
        <v>192</v>
      </c>
      <c r="G464">
        <v>3</v>
      </c>
      <c r="H464" s="5">
        <v>3</v>
      </c>
      <c r="I464" t="s">
        <v>36</v>
      </c>
      <c r="J464" t="s">
        <v>246</v>
      </c>
      <c r="K464" t="s">
        <v>247</v>
      </c>
      <c r="L464" t="s">
        <v>2124</v>
      </c>
      <c r="M464" s="5">
        <f t="shared" si="43"/>
        <v>9</v>
      </c>
      <c r="N464" t="str">
        <f t="shared" si="44"/>
        <v>March</v>
      </c>
      <c r="O464" t="str">
        <f t="shared" si="45"/>
        <v>Friday</v>
      </c>
      <c r="P464">
        <f t="shared" si="42"/>
        <v>15</v>
      </c>
      <c r="Q464" s="2">
        <f t="shared" si="46"/>
        <v>5</v>
      </c>
      <c r="R464" s="2">
        <f t="shared" si="47"/>
        <v>3</v>
      </c>
      <c r="S464">
        <f>SUMIF(Table1[product_category],"Bakery",Table1[Total_bill])</f>
        <v>2951.25</v>
      </c>
    </row>
    <row r="465" spans="1:19" x14ac:dyDescent="0.3">
      <c r="A465" s="2">
        <v>10464</v>
      </c>
      <c r="B465" s="4">
        <v>46095</v>
      </c>
      <c r="C465" t="s">
        <v>620</v>
      </c>
      <c r="D465" t="s">
        <v>25</v>
      </c>
      <c r="E465" t="s">
        <v>26</v>
      </c>
      <c r="F465" t="s">
        <v>195</v>
      </c>
      <c r="G465">
        <v>4</v>
      </c>
      <c r="H465" s="5">
        <v>2.75</v>
      </c>
      <c r="I465" t="s">
        <v>32</v>
      </c>
      <c r="J465" t="s">
        <v>226</v>
      </c>
      <c r="K465" t="s">
        <v>273</v>
      </c>
      <c r="L465" t="s">
        <v>2122</v>
      </c>
      <c r="M465" s="5">
        <f t="shared" si="43"/>
        <v>11</v>
      </c>
      <c r="N465" t="str">
        <f t="shared" si="44"/>
        <v>March</v>
      </c>
      <c r="O465" t="str">
        <f t="shared" si="45"/>
        <v>Saturday</v>
      </c>
      <c r="P465">
        <f t="shared" si="42"/>
        <v>13</v>
      </c>
      <c r="Q465" s="2">
        <f t="shared" si="46"/>
        <v>6</v>
      </c>
      <c r="R465" s="2">
        <f t="shared" si="47"/>
        <v>3</v>
      </c>
      <c r="S465">
        <f>SUMIF(Table1[product_category],"Bakery",Table1[Total_bill])</f>
        <v>2951.25</v>
      </c>
    </row>
    <row r="466" spans="1:19" x14ac:dyDescent="0.3">
      <c r="A466" s="2">
        <v>10465</v>
      </c>
      <c r="B466" s="4">
        <v>46096</v>
      </c>
      <c r="C466" t="s">
        <v>621</v>
      </c>
      <c r="D466" t="s">
        <v>40</v>
      </c>
      <c r="E466" t="s">
        <v>41</v>
      </c>
      <c r="F466" t="s">
        <v>197</v>
      </c>
      <c r="G466">
        <v>1</v>
      </c>
      <c r="H466" s="5">
        <v>4.5</v>
      </c>
      <c r="I466" t="s">
        <v>32</v>
      </c>
      <c r="J466" t="s">
        <v>94</v>
      </c>
      <c r="K466" t="s">
        <v>95</v>
      </c>
      <c r="L466" t="s">
        <v>2123</v>
      </c>
      <c r="M466" s="5">
        <f t="shared" si="43"/>
        <v>4.5</v>
      </c>
      <c r="N466" t="str">
        <f t="shared" si="44"/>
        <v>March</v>
      </c>
      <c r="O466" t="str">
        <f t="shared" si="45"/>
        <v>Sunday</v>
      </c>
      <c r="P466">
        <f t="shared" si="42"/>
        <v>20</v>
      </c>
      <c r="Q466" s="2">
        <f t="shared" si="46"/>
        <v>7</v>
      </c>
      <c r="R466" s="2">
        <f t="shared" si="47"/>
        <v>3</v>
      </c>
      <c r="S466">
        <f>SUMIF(Table1[product_category],"Bakery",Table1[Total_bill])</f>
        <v>2951.25</v>
      </c>
    </row>
    <row r="467" spans="1:19" x14ac:dyDescent="0.3">
      <c r="A467" s="2">
        <v>10466</v>
      </c>
      <c r="B467" s="4">
        <v>46097</v>
      </c>
      <c r="C467" t="s">
        <v>622</v>
      </c>
      <c r="D467" t="s">
        <v>40</v>
      </c>
      <c r="E467" t="s">
        <v>41</v>
      </c>
      <c r="F467" t="s">
        <v>199</v>
      </c>
      <c r="G467">
        <v>3</v>
      </c>
      <c r="H467" s="5">
        <v>13</v>
      </c>
      <c r="I467" t="s">
        <v>98</v>
      </c>
      <c r="J467" t="s">
        <v>98</v>
      </c>
      <c r="K467" t="s">
        <v>95</v>
      </c>
      <c r="L467" t="s">
        <v>2125</v>
      </c>
      <c r="M467" s="5">
        <f t="shared" si="43"/>
        <v>39</v>
      </c>
      <c r="N467" t="str">
        <f t="shared" si="44"/>
        <v>March</v>
      </c>
      <c r="O467" t="str">
        <f t="shared" si="45"/>
        <v>Monday</v>
      </c>
      <c r="P467">
        <f t="shared" si="42"/>
        <v>10</v>
      </c>
      <c r="Q467" s="2">
        <f t="shared" si="46"/>
        <v>1</v>
      </c>
      <c r="R467" s="2">
        <f t="shared" si="47"/>
        <v>3</v>
      </c>
      <c r="S467">
        <f>SUMIF(Table1[product_category],"Bakery",Table1[Total_bill])</f>
        <v>2951.25</v>
      </c>
    </row>
    <row r="468" spans="1:19" x14ac:dyDescent="0.3">
      <c r="A468" s="2">
        <v>10467</v>
      </c>
      <c r="B468" s="4">
        <v>46098</v>
      </c>
      <c r="C468" t="s">
        <v>623</v>
      </c>
      <c r="D468" t="s">
        <v>18</v>
      </c>
      <c r="E468" t="s">
        <v>19</v>
      </c>
      <c r="F468" t="s">
        <v>201</v>
      </c>
      <c r="G468">
        <v>2</v>
      </c>
      <c r="H468" s="5">
        <v>2.75</v>
      </c>
      <c r="I468" t="s">
        <v>32</v>
      </c>
      <c r="J468" t="s">
        <v>226</v>
      </c>
      <c r="K468" t="s">
        <v>273</v>
      </c>
      <c r="L468" t="s">
        <v>2122</v>
      </c>
      <c r="M468" s="5">
        <f t="shared" si="43"/>
        <v>5.5</v>
      </c>
      <c r="N468" t="str">
        <f t="shared" si="44"/>
        <v>March</v>
      </c>
      <c r="O468" t="str">
        <f t="shared" si="45"/>
        <v>Tuesday</v>
      </c>
      <c r="P468">
        <f t="shared" si="42"/>
        <v>9</v>
      </c>
      <c r="Q468" s="2">
        <f t="shared" si="46"/>
        <v>2</v>
      </c>
      <c r="R468" s="2">
        <f t="shared" si="47"/>
        <v>3</v>
      </c>
      <c r="S468">
        <f>SUMIF(Table1[product_category],"Bakery",Table1[Total_bill])</f>
        <v>2951.25</v>
      </c>
    </row>
    <row r="469" spans="1:19" x14ac:dyDescent="0.3">
      <c r="A469" s="2">
        <v>10468</v>
      </c>
      <c r="B469" s="4">
        <v>46099</v>
      </c>
      <c r="C469" t="s">
        <v>624</v>
      </c>
      <c r="D469" t="s">
        <v>40</v>
      </c>
      <c r="E469" t="s">
        <v>41</v>
      </c>
      <c r="F469" t="s">
        <v>204</v>
      </c>
      <c r="G469">
        <v>1</v>
      </c>
      <c r="H469" s="5">
        <v>2.75</v>
      </c>
      <c r="I469" t="s">
        <v>21</v>
      </c>
      <c r="J469" t="s">
        <v>22</v>
      </c>
      <c r="K469" t="s">
        <v>23</v>
      </c>
      <c r="L469" t="s">
        <v>2125</v>
      </c>
      <c r="M469" s="5">
        <f t="shared" si="43"/>
        <v>2.75</v>
      </c>
      <c r="N469" t="str">
        <f t="shared" si="44"/>
        <v>March</v>
      </c>
      <c r="O469" t="str">
        <f t="shared" si="45"/>
        <v>Wednesday</v>
      </c>
      <c r="P469">
        <f t="shared" si="42"/>
        <v>17</v>
      </c>
      <c r="Q469" s="2">
        <f t="shared" si="46"/>
        <v>3</v>
      </c>
      <c r="R469" s="2">
        <f t="shared" si="47"/>
        <v>3</v>
      </c>
      <c r="S469">
        <f>SUMIF(Table1[product_category],"Bakery",Table1[Total_bill])</f>
        <v>2951.25</v>
      </c>
    </row>
    <row r="470" spans="1:19" x14ac:dyDescent="0.3">
      <c r="A470" s="2">
        <v>10469</v>
      </c>
      <c r="B470" s="4">
        <v>46100</v>
      </c>
      <c r="C470" t="s">
        <v>625</v>
      </c>
      <c r="D470" t="s">
        <v>40</v>
      </c>
      <c r="E470" t="s">
        <v>41</v>
      </c>
      <c r="F470" t="s">
        <v>206</v>
      </c>
      <c r="G470">
        <v>1</v>
      </c>
      <c r="H470" s="5">
        <v>9.5</v>
      </c>
      <c r="I470" t="s">
        <v>28</v>
      </c>
      <c r="J470" t="s">
        <v>28</v>
      </c>
      <c r="K470" t="s">
        <v>29</v>
      </c>
      <c r="L470" t="s">
        <v>2125</v>
      </c>
      <c r="M470" s="5">
        <f t="shared" si="43"/>
        <v>9.5</v>
      </c>
      <c r="N470" t="str">
        <f t="shared" si="44"/>
        <v>March</v>
      </c>
      <c r="O470" t="str">
        <f t="shared" si="45"/>
        <v>Thursday</v>
      </c>
      <c r="P470">
        <f t="shared" si="42"/>
        <v>8</v>
      </c>
      <c r="Q470" s="2">
        <f t="shared" si="46"/>
        <v>4</v>
      </c>
      <c r="R470" s="2">
        <f t="shared" si="47"/>
        <v>3</v>
      </c>
      <c r="S470">
        <f>SUMIF(Table1[product_category],"Bakery",Table1[Total_bill])</f>
        <v>2951.25</v>
      </c>
    </row>
    <row r="471" spans="1:19" x14ac:dyDescent="0.3">
      <c r="A471" s="2">
        <v>10470</v>
      </c>
      <c r="B471" s="4">
        <v>46101</v>
      </c>
      <c r="C471" t="s">
        <v>626</v>
      </c>
      <c r="D471" t="s">
        <v>40</v>
      </c>
      <c r="E471" t="s">
        <v>41</v>
      </c>
      <c r="F471" t="s">
        <v>208</v>
      </c>
      <c r="G471">
        <v>2</v>
      </c>
      <c r="H471" s="5">
        <v>2.5</v>
      </c>
      <c r="I471" t="s">
        <v>32</v>
      </c>
      <c r="J471" t="s">
        <v>226</v>
      </c>
      <c r="K471" t="s">
        <v>227</v>
      </c>
      <c r="L471" t="s">
        <v>2122</v>
      </c>
      <c r="M471" s="5">
        <f t="shared" si="43"/>
        <v>5</v>
      </c>
      <c r="N471" t="str">
        <f t="shared" si="44"/>
        <v>March</v>
      </c>
      <c r="O471" t="str">
        <f t="shared" si="45"/>
        <v>Friday</v>
      </c>
      <c r="P471">
        <f t="shared" si="42"/>
        <v>20</v>
      </c>
      <c r="Q471" s="2">
        <f t="shared" si="46"/>
        <v>5</v>
      </c>
      <c r="R471" s="2">
        <f t="shared" si="47"/>
        <v>3</v>
      </c>
      <c r="S471">
        <f>SUMIF(Table1[product_category],"Bakery",Table1[Total_bill])</f>
        <v>2951.25</v>
      </c>
    </row>
    <row r="472" spans="1:19" x14ac:dyDescent="0.3">
      <c r="A472" s="2">
        <v>10471</v>
      </c>
      <c r="B472" s="4">
        <v>46102</v>
      </c>
      <c r="C472" t="s">
        <v>627</v>
      </c>
      <c r="D472" t="s">
        <v>40</v>
      </c>
      <c r="E472" t="s">
        <v>41</v>
      </c>
      <c r="F472" t="s">
        <v>210</v>
      </c>
      <c r="G472">
        <v>2</v>
      </c>
      <c r="H472" s="5">
        <v>4.25</v>
      </c>
      <c r="I472" t="s">
        <v>36</v>
      </c>
      <c r="J472" t="s">
        <v>211</v>
      </c>
      <c r="K472" t="s">
        <v>212</v>
      </c>
      <c r="L472" t="s">
        <v>2123</v>
      </c>
      <c r="M472" s="5">
        <f t="shared" si="43"/>
        <v>8.5</v>
      </c>
      <c r="N472" t="str">
        <f t="shared" si="44"/>
        <v>March</v>
      </c>
      <c r="O472" t="str">
        <f t="shared" si="45"/>
        <v>Saturday</v>
      </c>
      <c r="P472">
        <f t="shared" si="42"/>
        <v>6</v>
      </c>
      <c r="Q472" s="2">
        <f t="shared" si="46"/>
        <v>6</v>
      </c>
      <c r="R472" s="2">
        <f t="shared" si="47"/>
        <v>3</v>
      </c>
      <c r="S472">
        <f>SUMIF(Table1[product_category],"Bakery",Table1[Total_bill])</f>
        <v>2951.25</v>
      </c>
    </row>
    <row r="473" spans="1:19" x14ac:dyDescent="0.3">
      <c r="A473" s="2">
        <v>10472</v>
      </c>
      <c r="B473" s="4">
        <v>46103</v>
      </c>
      <c r="C473" t="s">
        <v>628</v>
      </c>
      <c r="D473" t="s">
        <v>40</v>
      </c>
      <c r="E473" t="s">
        <v>41</v>
      </c>
      <c r="F473" t="s">
        <v>214</v>
      </c>
      <c r="G473">
        <v>3</v>
      </c>
      <c r="H473" s="5">
        <v>9.5</v>
      </c>
      <c r="I473" t="s">
        <v>28</v>
      </c>
      <c r="J473" t="s">
        <v>28</v>
      </c>
      <c r="K473" t="s">
        <v>29</v>
      </c>
      <c r="L473" t="s">
        <v>2125</v>
      </c>
      <c r="M473" s="5">
        <f t="shared" si="43"/>
        <v>28.5</v>
      </c>
      <c r="N473" t="str">
        <f t="shared" si="44"/>
        <v>March</v>
      </c>
      <c r="O473" t="str">
        <f t="shared" si="45"/>
        <v>Sunday</v>
      </c>
      <c r="P473">
        <f t="shared" si="42"/>
        <v>20</v>
      </c>
      <c r="Q473" s="2">
        <f t="shared" si="46"/>
        <v>7</v>
      </c>
      <c r="R473" s="2">
        <f t="shared" si="47"/>
        <v>3</v>
      </c>
      <c r="S473">
        <f>SUMIF(Table1[product_category],"Bakery",Table1[Total_bill])</f>
        <v>2951.25</v>
      </c>
    </row>
    <row r="474" spans="1:19" x14ac:dyDescent="0.3">
      <c r="A474" s="2">
        <v>10473</v>
      </c>
      <c r="B474" s="4">
        <v>46104</v>
      </c>
      <c r="C474" t="s">
        <v>629</v>
      </c>
      <c r="D474" t="s">
        <v>25</v>
      </c>
      <c r="E474" t="s">
        <v>26</v>
      </c>
      <c r="F474" t="s">
        <v>217</v>
      </c>
      <c r="G474">
        <v>3</v>
      </c>
      <c r="H474" s="5">
        <v>4.5</v>
      </c>
      <c r="I474" t="s">
        <v>32</v>
      </c>
      <c r="J474" t="s">
        <v>33</v>
      </c>
      <c r="K474" t="s">
        <v>33</v>
      </c>
      <c r="L474" t="s">
        <v>2123</v>
      </c>
      <c r="M474" s="5">
        <f t="shared" si="43"/>
        <v>13.5</v>
      </c>
      <c r="N474" t="str">
        <f t="shared" si="44"/>
        <v>March</v>
      </c>
      <c r="O474" t="str">
        <f t="shared" si="45"/>
        <v>Monday</v>
      </c>
      <c r="P474">
        <f t="shared" si="42"/>
        <v>6</v>
      </c>
      <c r="Q474" s="2">
        <f t="shared" si="46"/>
        <v>1</v>
      </c>
      <c r="R474" s="2">
        <f t="shared" si="47"/>
        <v>3</v>
      </c>
      <c r="S474">
        <f>SUMIF(Table1[product_category],"Bakery",Table1[Total_bill])</f>
        <v>2951.25</v>
      </c>
    </row>
    <row r="475" spans="1:19" x14ac:dyDescent="0.3">
      <c r="A475" s="2">
        <v>10474</v>
      </c>
      <c r="B475" s="4">
        <v>46105</v>
      </c>
      <c r="C475" t="s">
        <v>630</v>
      </c>
      <c r="D475" t="s">
        <v>25</v>
      </c>
      <c r="E475" t="s">
        <v>26</v>
      </c>
      <c r="F475" t="s">
        <v>219</v>
      </c>
      <c r="G475">
        <v>4</v>
      </c>
      <c r="H475" s="5">
        <v>4.25</v>
      </c>
      <c r="I475" t="s">
        <v>32</v>
      </c>
      <c r="J475" t="s">
        <v>69</v>
      </c>
      <c r="K475" t="s">
        <v>69</v>
      </c>
      <c r="L475" t="s">
        <v>2124</v>
      </c>
      <c r="M475" s="5">
        <f t="shared" si="43"/>
        <v>17</v>
      </c>
      <c r="N475" t="str">
        <f t="shared" si="44"/>
        <v>March</v>
      </c>
      <c r="O475" t="str">
        <f t="shared" si="45"/>
        <v>Tuesday</v>
      </c>
      <c r="P475">
        <f t="shared" si="42"/>
        <v>18</v>
      </c>
      <c r="Q475" s="2">
        <f t="shared" si="46"/>
        <v>2</v>
      </c>
      <c r="R475" s="2">
        <f t="shared" si="47"/>
        <v>3</v>
      </c>
      <c r="S475">
        <f>SUMIF(Table1[product_category],"Bakery",Table1[Total_bill])</f>
        <v>2951.25</v>
      </c>
    </row>
    <row r="476" spans="1:19" x14ac:dyDescent="0.3">
      <c r="A476" s="2">
        <v>10475</v>
      </c>
      <c r="B476" s="4">
        <v>46106</v>
      </c>
      <c r="C476" t="s">
        <v>631</v>
      </c>
      <c r="D476" t="s">
        <v>40</v>
      </c>
      <c r="E476" t="s">
        <v>41</v>
      </c>
      <c r="F476" t="s">
        <v>221</v>
      </c>
      <c r="G476">
        <v>4</v>
      </c>
      <c r="H476" s="5">
        <v>14</v>
      </c>
      <c r="I476" t="s">
        <v>98</v>
      </c>
      <c r="J476" t="s">
        <v>98</v>
      </c>
      <c r="K476" t="s">
        <v>129</v>
      </c>
      <c r="L476" t="s">
        <v>2125</v>
      </c>
      <c r="M476" s="5">
        <f t="shared" si="43"/>
        <v>56</v>
      </c>
      <c r="N476" t="str">
        <f t="shared" si="44"/>
        <v>March</v>
      </c>
      <c r="O476" t="str">
        <f t="shared" si="45"/>
        <v>Wednesday</v>
      </c>
      <c r="P476">
        <f t="shared" si="42"/>
        <v>12</v>
      </c>
      <c r="Q476" s="2">
        <f t="shared" si="46"/>
        <v>3</v>
      </c>
      <c r="R476" s="2">
        <f t="shared" si="47"/>
        <v>3</v>
      </c>
      <c r="S476">
        <f>SUMIF(Table1[product_category],"Bakery",Table1[Total_bill])</f>
        <v>2951.25</v>
      </c>
    </row>
    <row r="477" spans="1:19" x14ac:dyDescent="0.3">
      <c r="A477" s="2">
        <v>10476</v>
      </c>
      <c r="B477" s="4">
        <v>46107</v>
      </c>
      <c r="C477" t="s">
        <v>632</v>
      </c>
      <c r="D477" t="s">
        <v>40</v>
      </c>
      <c r="E477" t="s">
        <v>41</v>
      </c>
      <c r="F477" t="s">
        <v>223</v>
      </c>
      <c r="G477">
        <v>2</v>
      </c>
      <c r="H477" s="5">
        <v>13</v>
      </c>
      <c r="I477" t="s">
        <v>98</v>
      </c>
      <c r="J477" t="s">
        <v>98</v>
      </c>
      <c r="K477" t="s">
        <v>95</v>
      </c>
      <c r="L477" t="s">
        <v>2125</v>
      </c>
      <c r="M477" s="5">
        <f t="shared" si="43"/>
        <v>26</v>
      </c>
      <c r="N477" t="str">
        <f t="shared" si="44"/>
        <v>March</v>
      </c>
      <c r="O477" t="str">
        <f t="shared" si="45"/>
        <v>Thursday</v>
      </c>
      <c r="P477">
        <f t="shared" si="42"/>
        <v>20</v>
      </c>
      <c r="Q477" s="2">
        <f t="shared" si="46"/>
        <v>4</v>
      </c>
      <c r="R477" s="2">
        <f t="shared" si="47"/>
        <v>3</v>
      </c>
      <c r="S477">
        <f>SUMIF(Table1[product_category],"Bakery",Table1[Total_bill])</f>
        <v>2951.25</v>
      </c>
    </row>
    <row r="478" spans="1:19" x14ac:dyDescent="0.3">
      <c r="A478" s="2">
        <v>10477</v>
      </c>
      <c r="B478" s="4">
        <v>46108</v>
      </c>
      <c r="C478" t="s">
        <v>633</v>
      </c>
      <c r="D478" t="s">
        <v>40</v>
      </c>
      <c r="E478" t="s">
        <v>41</v>
      </c>
      <c r="F478" t="s">
        <v>225</v>
      </c>
      <c r="G478">
        <v>3</v>
      </c>
      <c r="H478" s="5">
        <v>4.5</v>
      </c>
      <c r="I478" t="s">
        <v>32</v>
      </c>
      <c r="J478" t="s">
        <v>33</v>
      </c>
      <c r="K478" t="s">
        <v>33</v>
      </c>
      <c r="L478" t="s">
        <v>2123</v>
      </c>
      <c r="M478" s="5">
        <f t="shared" si="43"/>
        <v>13.5</v>
      </c>
      <c r="N478" t="str">
        <f t="shared" si="44"/>
        <v>March</v>
      </c>
      <c r="O478" t="str">
        <f t="shared" si="45"/>
        <v>Friday</v>
      </c>
      <c r="P478">
        <f t="shared" si="42"/>
        <v>7</v>
      </c>
      <c r="Q478" s="2">
        <f t="shared" si="46"/>
        <v>5</v>
      </c>
      <c r="R478" s="2">
        <f t="shared" si="47"/>
        <v>3</v>
      </c>
      <c r="S478">
        <f>SUMIF(Table1[product_category],"Bakery",Table1[Total_bill])</f>
        <v>2951.25</v>
      </c>
    </row>
    <row r="479" spans="1:19" x14ac:dyDescent="0.3">
      <c r="A479" s="2">
        <v>10478</v>
      </c>
      <c r="B479" s="4">
        <v>46109</v>
      </c>
      <c r="C479" t="s">
        <v>634</v>
      </c>
      <c r="D479" t="s">
        <v>25</v>
      </c>
      <c r="E479" t="s">
        <v>26</v>
      </c>
      <c r="F479" t="s">
        <v>229</v>
      </c>
      <c r="G479">
        <v>2</v>
      </c>
      <c r="H479" s="5">
        <v>2.75</v>
      </c>
      <c r="I479" t="s">
        <v>21</v>
      </c>
      <c r="J479" t="s">
        <v>22</v>
      </c>
      <c r="K479" t="s">
        <v>23</v>
      </c>
      <c r="L479" t="s">
        <v>2125</v>
      </c>
      <c r="M479" s="5">
        <f t="shared" si="43"/>
        <v>5.5</v>
      </c>
      <c r="N479" t="str">
        <f t="shared" si="44"/>
        <v>March</v>
      </c>
      <c r="O479" t="str">
        <f t="shared" si="45"/>
        <v>Saturday</v>
      </c>
      <c r="P479">
        <f t="shared" si="42"/>
        <v>12</v>
      </c>
      <c r="Q479" s="2">
        <f t="shared" si="46"/>
        <v>6</v>
      </c>
      <c r="R479" s="2">
        <f t="shared" si="47"/>
        <v>3</v>
      </c>
      <c r="S479">
        <f>SUMIF(Table1[product_category],"Bakery",Table1[Total_bill])</f>
        <v>2951.25</v>
      </c>
    </row>
    <row r="480" spans="1:19" x14ac:dyDescent="0.3">
      <c r="A480" s="2">
        <v>10479</v>
      </c>
      <c r="B480" s="4">
        <v>46110</v>
      </c>
      <c r="C480" t="s">
        <v>635</v>
      </c>
      <c r="D480" t="s">
        <v>18</v>
      </c>
      <c r="E480" t="s">
        <v>19</v>
      </c>
      <c r="F480" t="s">
        <v>231</v>
      </c>
      <c r="G480">
        <v>3</v>
      </c>
      <c r="H480" s="5">
        <v>4.75</v>
      </c>
      <c r="I480" t="s">
        <v>32</v>
      </c>
      <c r="J480" t="s">
        <v>202</v>
      </c>
      <c r="K480" t="s">
        <v>202</v>
      </c>
      <c r="L480" t="s">
        <v>2123</v>
      </c>
      <c r="M480" s="5">
        <f t="shared" si="43"/>
        <v>14.25</v>
      </c>
      <c r="N480" t="str">
        <f t="shared" si="44"/>
        <v>March</v>
      </c>
      <c r="O480" t="str">
        <f t="shared" si="45"/>
        <v>Sunday</v>
      </c>
      <c r="P480">
        <f t="shared" si="42"/>
        <v>20</v>
      </c>
      <c r="Q480" s="2">
        <f t="shared" si="46"/>
        <v>7</v>
      </c>
      <c r="R480" s="2">
        <f t="shared" si="47"/>
        <v>3</v>
      </c>
      <c r="S480">
        <f>SUMIF(Table1[product_category],"Bakery",Table1[Total_bill])</f>
        <v>2951.25</v>
      </c>
    </row>
    <row r="481" spans="1:19" x14ac:dyDescent="0.3">
      <c r="A481" s="2">
        <v>10480</v>
      </c>
      <c r="B481" s="4">
        <v>46111</v>
      </c>
      <c r="C481" t="s">
        <v>480</v>
      </c>
      <c r="D481" t="s">
        <v>25</v>
      </c>
      <c r="E481" t="s">
        <v>26</v>
      </c>
      <c r="F481" t="s">
        <v>233</v>
      </c>
      <c r="G481">
        <v>4</v>
      </c>
      <c r="H481" s="5">
        <v>3.25</v>
      </c>
      <c r="I481" t="s">
        <v>21</v>
      </c>
      <c r="J481" t="s">
        <v>81</v>
      </c>
      <c r="K481" t="s">
        <v>113</v>
      </c>
      <c r="L481" t="s">
        <v>2125</v>
      </c>
      <c r="M481" s="5">
        <f t="shared" si="43"/>
        <v>13</v>
      </c>
      <c r="N481" t="str">
        <f t="shared" si="44"/>
        <v>March</v>
      </c>
      <c r="O481" t="str">
        <f t="shared" si="45"/>
        <v>Monday</v>
      </c>
      <c r="P481">
        <f t="shared" si="42"/>
        <v>12</v>
      </c>
      <c r="Q481" s="2">
        <f t="shared" si="46"/>
        <v>1</v>
      </c>
      <c r="R481" s="2">
        <f t="shared" si="47"/>
        <v>3</v>
      </c>
      <c r="S481">
        <f>SUMIF(Table1[product_category],"Bakery",Table1[Total_bill])</f>
        <v>2951.25</v>
      </c>
    </row>
    <row r="482" spans="1:19" x14ac:dyDescent="0.3">
      <c r="A482" s="2">
        <v>10481</v>
      </c>
      <c r="B482" s="4">
        <v>46112</v>
      </c>
      <c r="C482" t="s">
        <v>636</v>
      </c>
      <c r="D482" t="s">
        <v>25</v>
      </c>
      <c r="E482" t="s">
        <v>26</v>
      </c>
      <c r="F482" t="s">
        <v>20</v>
      </c>
      <c r="G482">
        <v>2</v>
      </c>
      <c r="H482" s="5">
        <v>4</v>
      </c>
      <c r="I482" t="s">
        <v>32</v>
      </c>
      <c r="J482" t="s">
        <v>122</v>
      </c>
      <c r="K482" t="s">
        <v>122</v>
      </c>
      <c r="L482" t="s">
        <v>2124</v>
      </c>
      <c r="M482" s="5">
        <f t="shared" si="43"/>
        <v>8</v>
      </c>
      <c r="N482" t="str">
        <f t="shared" si="44"/>
        <v>March</v>
      </c>
      <c r="O482" t="str">
        <f t="shared" si="45"/>
        <v>Tuesday</v>
      </c>
      <c r="P482">
        <f t="shared" si="42"/>
        <v>13</v>
      </c>
      <c r="Q482" s="2">
        <f t="shared" si="46"/>
        <v>2</v>
      </c>
      <c r="R482" s="2">
        <f t="shared" si="47"/>
        <v>3</v>
      </c>
      <c r="S482">
        <f>SUMIF(Table1[product_category],"Bakery",Table1[Total_bill])</f>
        <v>2951.25</v>
      </c>
    </row>
    <row r="483" spans="1:19" x14ac:dyDescent="0.3">
      <c r="A483" s="2">
        <v>10482</v>
      </c>
      <c r="B483" s="4">
        <v>46113</v>
      </c>
      <c r="C483" t="s">
        <v>637</v>
      </c>
      <c r="D483" t="s">
        <v>18</v>
      </c>
      <c r="E483" t="s">
        <v>19</v>
      </c>
      <c r="F483" t="s">
        <v>27</v>
      </c>
      <c r="G483">
        <v>4</v>
      </c>
      <c r="H483" s="5">
        <v>14</v>
      </c>
      <c r="I483" t="s">
        <v>101</v>
      </c>
      <c r="J483" t="s">
        <v>102</v>
      </c>
      <c r="K483" t="s">
        <v>193</v>
      </c>
      <c r="L483" t="s">
        <v>2125</v>
      </c>
      <c r="M483" s="5">
        <f t="shared" si="43"/>
        <v>56</v>
      </c>
      <c r="N483" t="str">
        <f t="shared" si="44"/>
        <v>April</v>
      </c>
      <c r="O483" t="str">
        <f t="shared" si="45"/>
        <v>Wednesday</v>
      </c>
      <c r="P483">
        <f t="shared" si="42"/>
        <v>14</v>
      </c>
      <c r="Q483" s="2">
        <f t="shared" si="46"/>
        <v>3</v>
      </c>
      <c r="R483" s="2">
        <f t="shared" si="47"/>
        <v>4</v>
      </c>
      <c r="S483">
        <f>SUMIF(Table1[product_category],"Bakery",Table1[Total_bill])</f>
        <v>2951.25</v>
      </c>
    </row>
    <row r="484" spans="1:19" x14ac:dyDescent="0.3">
      <c r="A484" s="2">
        <v>10483</v>
      </c>
      <c r="B484" s="4">
        <v>46114</v>
      </c>
      <c r="C484" t="s">
        <v>638</v>
      </c>
      <c r="D484" t="s">
        <v>40</v>
      </c>
      <c r="E484" t="s">
        <v>41</v>
      </c>
      <c r="F484" t="s">
        <v>31</v>
      </c>
      <c r="G484">
        <v>1</v>
      </c>
      <c r="H484" s="5">
        <v>8</v>
      </c>
      <c r="I484" t="s">
        <v>28</v>
      </c>
      <c r="J484" t="s">
        <v>28</v>
      </c>
      <c r="K484" t="s">
        <v>76</v>
      </c>
      <c r="L484" t="s">
        <v>2125</v>
      </c>
      <c r="M484" s="5">
        <f t="shared" si="43"/>
        <v>8</v>
      </c>
      <c r="N484" t="str">
        <f t="shared" si="44"/>
        <v>April</v>
      </c>
      <c r="O484" t="str">
        <f t="shared" si="45"/>
        <v>Thursday</v>
      </c>
      <c r="P484">
        <f t="shared" si="42"/>
        <v>11</v>
      </c>
      <c r="Q484" s="2">
        <f t="shared" si="46"/>
        <v>4</v>
      </c>
      <c r="R484" s="2">
        <f t="shared" si="47"/>
        <v>4</v>
      </c>
      <c r="S484">
        <f>SUMIF(Table1[product_category],"Bakery",Table1[Total_bill])</f>
        <v>2951.25</v>
      </c>
    </row>
    <row r="485" spans="1:19" x14ac:dyDescent="0.3">
      <c r="A485" s="2">
        <v>10484</v>
      </c>
      <c r="B485" s="4">
        <v>46115</v>
      </c>
      <c r="C485" t="s">
        <v>639</v>
      </c>
      <c r="D485" t="s">
        <v>40</v>
      </c>
      <c r="E485" t="s">
        <v>41</v>
      </c>
      <c r="F485" t="s">
        <v>35</v>
      </c>
      <c r="G485">
        <v>3</v>
      </c>
      <c r="H485" s="5">
        <v>3.5</v>
      </c>
      <c r="I485" t="s">
        <v>89</v>
      </c>
      <c r="J485" t="s">
        <v>261</v>
      </c>
      <c r="K485" t="s">
        <v>261</v>
      </c>
      <c r="L485" t="s">
        <v>2122</v>
      </c>
      <c r="M485" s="5">
        <f t="shared" si="43"/>
        <v>10.5</v>
      </c>
      <c r="N485" t="str">
        <f t="shared" si="44"/>
        <v>April</v>
      </c>
      <c r="O485" t="str">
        <f t="shared" si="45"/>
        <v>Friday</v>
      </c>
      <c r="P485">
        <f t="shared" si="42"/>
        <v>13</v>
      </c>
      <c r="Q485" s="2">
        <f t="shared" si="46"/>
        <v>5</v>
      </c>
      <c r="R485" s="2">
        <f t="shared" si="47"/>
        <v>4</v>
      </c>
      <c r="S485">
        <f>SUMIF(Table1[product_category],"Bakery",Table1[Total_bill])</f>
        <v>2951.25</v>
      </c>
    </row>
    <row r="486" spans="1:19" x14ac:dyDescent="0.3">
      <c r="A486" s="2">
        <v>10485</v>
      </c>
      <c r="B486" s="4">
        <v>46116</v>
      </c>
      <c r="C486" t="s">
        <v>640</v>
      </c>
      <c r="D486" t="s">
        <v>25</v>
      </c>
      <c r="E486" t="s">
        <v>26</v>
      </c>
      <c r="F486" t="s">
        <v>42</v>
      </c>
      <c r="G486">
        <v>2</v>
      </c>
      <c r="H486" s="5">
        <v>8</v>
      </c>
      <c r="I486" t="s">
        <v>28</v>
      </c>
      <c r="J486" t="s">
        <v>28</v>
      </c>
      <c r="K486" t="s">
        <v>76</v>
      </c>
      <c r="L486" t="s">
        <v>2125</v>
      </c>
      <c r="M486" s="5">
        <f t="shared" si="43"/>
        <v>16</v>
      </c>
      <c r="N486" t="str">
        <f t="shared" si="44"/>
        <v>April</v>
      </c>
      <c r="O486" t="str">
        <f t="shared" si="45"/>
        <v>Saturday</v>
      </c>
      <c r="P486">
        <f t="shared" si="42"/>
        <v>13</v>
      </c>
      <c r="Q486" s="2">
        <f t="shared" si="46"/>
        <v>6</v>
      </c>
      <c r="R486" s="2">
        <f t="shared" si="47"/>
        <v>4</v>
      </c>
      <c r="S486">
        <f>SUMIF(Table1[product_category],"Bakery",Table1[Total_bill])</f>
        <v>2951.25</v>
      </c>
    </row>
    <row r="487" spans="1:19" x14ac:dyDescent="0.3">
      <c r="A487" s="2">
        <v>10486</v>
      </c>
      <c r="B487" s="4">
        <v>46117</v>
      </c>
      <c r="C487" t="s">
        <v>641</v>
      </c>
      <c r="D487" t="s">
        <v>18</v>
      </c>
      <c r="E487" t="s">
        <v>19</v>
      </c>
      <c r="F487" t="s">
        <v>46</v>
      </c>
      <c r="G487">
        <v>2</v>
      </c>
      <c r="H487" s="5">
        <v>3.5</v>
      </c>
      <c r="I487" t="s">
        <v>89</v>
      </c>
      <c r="J487" t="s">
        <v>261</v>
      </c>
      <c r="K487" t="s">
        <v>261</v>
      </c>
      <c r="L487" t="s">
        <v>2122</v>
      </c>
      <c r="M487" s="5">
        <f t="shared" si="43"/>
        <v>7</v>
      </c>
      <c r="N487" t="str">
        <f t="shared" si="44"/>
        <v>April</v>
      </c>
      <c r="O487" t="str">
        <f t="shared" si="45"/>
        <v>Sunday</v>
      </c>
      <c r="P487">
        <f t="shared" si="42"/>
        <v>18</v>
      </c>
      <c r="Q487" s="2">
        <f t="shared" si="46"/>
        <v>7</v>
      </c>
      <c r="R487" s="2">
        <f t="shared" si="47"/>
        <v>4</v>
      </c>
      <c r="S487">
        <f>SUMIF(Table1[product_category],"Bakery",Table1[Total_bill])</f>
        <v>2951.25</v>
      </c>
    </row>
    <row r="488" spans="1:19" x14ac:dyDescent="0.3">
      <c r="A488" s="2">
        <v>10487</v>
      </c>
      <c r="B488" s="4">
        <v>46118</v>
      </c>
      <c r="C488" t="s">
        <v>642</v>
      </c>
      <c r="D488" t="s">
        <v>40</v>
      </c>
      <c r="E488" t="s">
        <v>41</v>
      </c>
      <c r="F488" t="s">
        <v>50</v>
      </c>
      <c r="G488">
        <v>2</v>
      </c>
      <c r="H488" s="5">
        <v>4.25</v>
      </c>
      <c r="I488" t="s">
        <v>32</v>
      </c>
      <c r="J488" t="s">
        <v>202</v>
      </c>
      <c r="K488" t="s">
        <v>202</v>
      </c>
      <c r="L488" t="s">
        <v>2124</v>
      </c>
      <c r="M488" s="5">
        <f t="shared" si="43"/>
        <v>8.5</v>
      </c>
      <c r="N488" t="str">
        <f t="shared" si="44"/>
        <v>April</v>
      </c>
      <c r="O488" t="str">
        <f t="shared" si="45"/>
        <v>Monday</v>
      </c>
      <c r="P488">
        <f t="shared" si="42"/>
        <v>6</v>
      </c>
      <c r="Q488" s="2">
        <f t="shared" si="46"/>
        <v>1</v>
      </c>
      <c r="R488" s="2">
        <f t="shared" si="47"/>
        <v>4</v>
      </c>
      <c r="S488">
        <f>SUMIF(Table1[product_category],"Bakery",Table1[Total_bill])</f>
        <v>2951.25</v>
      </c>
    </row>
    <row r="489" spans="1:19" x14ac:dyDescent="0.3">
      <c r="A489" s="2">
        <v>10488</v>
      </c>
      <c r="B489" s="4">
        <v>46119</v>
      </c>
      <c r="C489" t="s">
        <v>643</v>
      </c>
      <c r="D489" t="s">
        <v>40</v>
      </c>
      <c r="E489" t="s">
        <v>41</v>
      </c>
      <c r="F489" t="s">
        <v>54</v>
      </c>
      <c r="G489">
        <v>1</v>
      </c>
      <c r="H489" s="5">
        <v>5.5</v>
      </c>
      <c r="I489" t="s">
        <v>72</v>
      </c>
      <c r="J489" t="s">
        <v>72</v>
      </c>
      <c r="K489" t="s">
        <v>141</v>
      </c>
      <c r="L489" t="s">
        <v>2125</v>
      </c>
      <c r="M489" s="5">
        <f t="shared" si="43"/>
        <v>5.5</v>
      </c>
      <c r="N489" t="str">
        <f t="shared" si="44"/>
        <v>April</v>
      </c>
      <c r="O489" t="str">
        <f t="shared" si="45"/>
        <v>Tuesday</v>
      </c>
      <c r="P489">
        <f t="shared" si="42"/>
        <v>9</v>
      </c>
      <c r="Q489" s="2">
        <f t="shared" si="46"/>
        <v>2</v>
      </c>
      <c r="R489" s="2">
        <f t="shared" si="47"/>
        <v>4</v>
      </c>
      <c r="S489">
        <f>SUMIF(Table1[product_category],"Bakery",Table1[Total_bill])</f>
        <v>2951.25</v>
      </c>
    </row>
    <row r="490" spans="1:19" x14ac:dyDescent="0.3">
      <c r="A490" s="2">
        <v>10489</v>
      </c>
      <c r="B490" s="4">
        <v>46120</v>
      </c>
      <c r="C490" t="s">
        <v>644</v>
      </c>
      <c r="D490" t="s">
        <v>18</v>
      </c>
      <c r="E490" t="s">
        <v>19</v>
      </c>
      <c r="F490" t="s">
        <v>57</v>
      </c>
      <c r="G490">
        <v>2</v>
      </c>
      <c r="H490" s="5">
        <v>6</v>
      </c>
      <c r="I490" t="s">
        <v>72</v>
      </c>
      <c r="J490" t="s">
        <v>72</v>
      </c>
      <c r="K490" t="s">
        <v>138</v>
      </c>
      <c r="L490" t="s">
        <v>2125</v>
      </c>
      <c r="M490" s="5">
        <f t="shared" si="43"/>
        <v>12</v>
      </c>
      <c r="N490" t="str">
        <f t="shared" si="44"/>
        <v>April</v>
      </c>
      <c r="O490" t="str">
        <f t="shared" si="45"/>
        <v>Wednesday</v>
      </c>
      <c r="P490">
        <f t="shared" si="42"/>
        <v>20</v>
      </c>
      <c r="Q490" s="2">
        <f t="shared" si="46"/>
        <v>3</v>
      </c>
      <c r="R490" s="2">
        <f t="shared" si="47"/>
        <v>4</v>
      </c>
      <c r="S490">
        <f>SUMIF(Table1[product_category],"Bakery",Table1[Total_bill])</f>
        <v>2951.25</v>
      </c>
    </row>
    <row r="491" spans="1:19" x14ac:dyDescent="0.3">
      <c r="A491" s="2">
        <v>10490</v>
      </c>
      <c r="B491" s="4">
        <v>46121</v>
      </c>
      <c r="C491" t="s">
        <v>645</v>
      </c>
      <c r="D491" t="s">
        <v>40</v>
      </c>
      <c r="E491" t="s">
        <v>41</v>
      </c>
      <c r="F491" t="s">
        <v>61</v>
      </c>
      <c r="G491">
        <v>3</v>
      </c>
      <c r="H491" s="5">
        <v>2.25</v>
      </c>
      <c r="I491" t="s">
        <v>32</v>
      </c>
      <c r="J491" t="s">
        <v>43</v>
      </c>
      <c r="K491" t="s">
        <v>44</v>
      </c>
      <c r="L491" t="s">
        <v>2124</v>
      </c>
      <c r="M491" s="5">
        <f t="shared" si="43"/>
        <v>6.75</v>
      </c>
      <c r="N491" t="str">
        <f t="shared" si="44"/>
        <v>April</v>
      </c>
      <c r="O491" t="str">
        <f t="shared" si="45"/>
        <v>Thursday</v>
      </c>
      <c r="P491">
        <f t="shared" si="42"/>
        <v>18</v>
      </c>
      <c r="Q491" s="2">
        <f t="shared" si="46"/>
        <v>4</v>
      </c>
      <c r="R491" s="2">
        <f t="shared" si="47"/>
        <v>4</v>
      </c>
      <c r="S491">
        <f>SUMIF(Table1[product_category],"Bakery",Table1[Total_bill])</f>
        <v>2951.25</v>
      </c>
    </row>
    <row r="492" spans="1:19" x14ac:dyDescent="0.3">
      <c r="A492" s="2">
        <v>10491</v>
      </c>
      <c r="B492" s="4">
        <v>46122</v>
      </c>
      <c r="C492" t="s">
        <v>646</v>
      </c>
      <c r="D492" t="s">
        <v>40</v>
      </c>
      <c r="E492" t="s">
        <v>41</v>
      </c>
      <c r="F492" t="s">
        <v>64</v>
      </c>
      <c r="G492">
        <v>3</v>
      </c>
      <c r="H492" s="5">
        <v>14</v>
      </c>
      <c r="I492" t="s">
        <v>98</v>
      </c>
      <c r="J492" t="s">
        <v>98</v>
      </c>
      <c r="K492" t="s">
        <v>129</v>
      </c>
      <c r="L492" t="s">
        <v>2125</v>
      </c>
      <c r="M492" s="5">
        <f t="shared" si="43"/>
        <v>42</v>
      </c>
      <c r="N492" t="str">
        <f t="shared" si="44"/>
        <v>April</v>
      </c>
      <c r="O492" t="str">
        <f t="shared" si="45"/>
        <v>Friday</v>
      </c>
      <c r="P492">
        <f t="shared" si="42"/>
        <v>11</v>
      </c>
      <c r="Q492" s="2">
        <f t="shared" si="46"/>
        <v>5</v>
      </c>
      <c r="R492" s="2">
        <f t="shared" si="47"/>
        <v>4</v>
      </c>
      <c r="S492">
        <f>SUMIF(Table1[product_category],"Bakery",Table1[Total_bill])</f>
        <v>2951.25</v>
      </c>
    </row>
    <row r="493" spans="1:19" x14ac:dyDescent="0.3">
      <c r="A493" s="2">
        <v>10492</v>
      </c>
      <c r="B493" s="4">
        <v>46123</v>
      </c>
      <c r="C493" t="s">
        <v>647</v>
      </c>
      <c r="D493" t="s">
        <v>18</v>
      </c>
      <c r="E493" t="s">
        <v>19</v>
      </c>
      <c r="F493" t="s">
        <v>66</v>
      </c>
      <c r="G493">
        <v>3</v>
      </c>
      <c r="H493" s="5">
        <v>4.75</v>
      </c>
      <c r="I493" t="s">
        <v>32</v>
      </c>
      <c r="J493" t="s">
        <v>122</v>
      </c>
      <c r="K493" t="s">
        <v>122</v>
      </c>
      <c r="L493" t="s">
        <v>2123</v>
      </c>
      <c r="M493" s="5">
        <f t="shared" si="43"/>
        <v>14.25</v>
      </c>
      <c r="N493" t="str">
        <f t="shared" si="44"/>
        <v>April</v>
      </c>
      <c r="O493" t="str">
        <f t="shared" si="45"/>
        <v>Saturday</v>
      </c>
      <c r="P493">
        <f t="shared" si="42"/>
        <v>13</v>
      </c>
      <c r="Q493" s="2">
        <f t="shared" si="46"/>
        <v>6</v>
      </c>
      <c r="R493" s="2">
        <f t="shared" si="47"/>
        <v>4</v>
      </c>
      <c r="S493">
        <f>SUMIF(Table1[product_category],"Bakery",Table1[Total_bill])</f>
        <v>2951.25</v>
      </c>
    </row>
    <row r="494" spans="1:19" x14ac:dyDescent="0.3">
      <c r="A494" s="2">
        <v>10493</v>
      </c>
      <c r="B494" s="4">
        <v>46124</v>
      </c>
      <c r="C494" t="s">
        <v>648</v>
      </c>
      <c r="D494" t="s">
        <v>40</v>
      </c>
      <c r="E494" t="s">
        <v>41</v>
      </c>
      <c r="F494" t="s">
        <v>68</v>
      </c>
      <c r="G494">
        <v>2</v>
      </c>
      <c r="H494" s="5">
        <v>3.25</v>
      </c>
      <c r="I494" t="s">
        <v>21</v>
      </c>
      <c r="J494" t="s">
        <v>81</v>
      </c>
      <c r="K494" t="s">
        <v>82</v>
      </c>
      <c r="L494" t="s">
        <v>2125</v>
      </c>
      <c r="M494" s="5">
        <f t="shared" si="43"/>
        <v>6.5</v>
      </c>
      <c r="N494" t="str">
        <f t="shared" si="44"/>
        <v>April</v>
      </c>
      <c r="O494" t="str">
        <f t="shared" si="45"/>
        <v>Sunday</v>
      </c>
      <c r="P494">
        <f t="shared" si="42"/>
        <v>9</v>
      </c>
      <c r="Q494" s="2">
        <f t="shared" si="46"/>
        <v>7</v>
      </c>
      <c r="R494" s="2">
        <f t="shared" si="47"/>
        <v>4</v>
      </c>
      <c r="S494">
        <f>SUMIF(Table1[product_category],"Bakery",Table1[Total_bill])</f>
        <v>2951.25</v>
      </c>
    </row>
    <row r="495" spans="1:19" x14ac:dyDescent="0.3">
      <c r="A495" s="2">
        <v>10494</v>
      </c>
      <c r="B495" s="4">
        <v>46125</v>
      </c>
      <c r="C495" t="s">
        <v>649</v>
      </c>
      <c r="D495" t="s">
        <v>18</v>
      </c>
      <c r="E495" t="s">
        <v>19</v>
      </c>
      <c r="F495" t="s">
        <v>71</v>
      </c>
      <c r="G495">
        <v>2</v>
      </c>
      <c r="H495" s="5">
        <v>6</v>
      </c>
      <c r="I495" t="s">
        <v>72</v>
      </c>
      <c r="J495" t="s">
        <v>72</v>
      </c>
      <c r="K495" t="s">
        <v>138</v>
      </c>
      <c r="L495" t="s">
        <v>2125</v>
      </c>
      <c r="M495" s="5">
        <f t="shared" si="43"/>
        <v>12</v>
      </c>
      <c r="N495" t="str">
        <f t="shared" si="44"/>
        <v>April</v>
      </c>
      <c r="O495" t="str">
        <f t="shared" si="45"/>
        <v>Monday</v>
      </c>
      <c r="P495">
        <f t="shared" si="42"/>
        <v>8</v>
      </c>
      <c r="Q495" s="2">
        <f t="shared" si="46"/>
        <v>1</v>
      </c>
      <c r="R495" s="2">
        <f t="shared" si="47"/>
        <v>4</v>
      </c>
      <c r="S495">
        <f>SUMIF(Table1[product_category],"Bakery",Table1[Total_bill])</f>
        <v>2951.25</v>
      </c>
    </row>
    <row r="496" spans="1:19" x14ac:dyDescent="0.3">
      <c r="A496" s="2">
        <v>10495</v>
      </c>
      <c r="B496" s="4">
        <v>46126</v>
      </c>
      <c r="C496" t="s">
        <v>650</v>
      </c>
      <c r="D496" t="s">
        <v>40</v>
      </c>
      <c r="E496" t="s">
        <v>41</v>
      </c>
      <c r="F496" t="s">
        <v>75</v>
      </c>
      <c r="G496">
        <v>1</v>
      </c>
      <c r="H496" s="5">
        <v>2.25</v>
      </c>
      <c r="I496" t="s">
        <v>21</v>
      </c>
      <c r="J496" t="s">
        <v>58</v>
      </c>
      <c r="K496" t="s">
        <v>59</v>
      </c>
      <c r="L496" t="s">
        <v>2125</v>
      </c>
      <c r="M496" s="5">
        <f t="shared" si="43"/>
        <v>2.25</v>
      </c>
      <c r="N496" t="str">
        <f t="shared" si="44"/>
        <v>April</v>
      </c>
      <c r="O496" t="str">
        <f t="shared" si="45"/>
        <v>Tuesday</v>
      </c>
      <c r="P496">
        <f t="shared" si="42"/>
        <v>11</v>
      </c>
      <c r="Q496" s="2">
        <f t="shared" si="46"/>
        <v>2</v>
      </c>
      <c r="R496" s="2">
        <f t="shared" si="47"/>
        <v>4</v>
      </c>
      <c r="S496">
        <f>SUMIF(Table1[product_category],"Bakery",Table1[Total_bill])</f>
        <v>2951.25</v>
      </c>
    </row>
    <row r="497" spans="1:19" x14ac:dyDescent="0.3">
      <c r="A497" s="2">
        <v>10496</v>
      </c>
      <c r="B497" s="4">
        <v>46127</v>
      </c>
      <c r="C497" t="s">
        <v>651</v>
      </c>
      <c r="D497" t="s">
        <v>18</v>
      </c>
      <c r="E497" t="s">
        <v>19</v>
      </c>
      <c r="F497" t="s">
        <v>78</v>
      </c>
      <c r="G497">
        <v>1</v>
      </c>
      <c r="H497" s="5">
        <v>4.25</v>
      </c>
      <c r="I497" t="s">
        <v>36</v>
      </c>
      <c r="J497" t="s">
        <v>211</v>
      </c>
      <c r="K497" t="s">
        <v>239</v>
      </c>
      <c r="L497" t="s">
        <v>2123</v>
      </c>
      <c r="M497" s="5">
        <f t="shared" si="43"/>
        <v>4.25</v>
      </c>
      <c r="N497" t="str">
        <f t="shared" si="44"/>
        <v>April</v>
      </c>
      <c r="O497" t="str">
        <f t="shared" si="45"/>
        <v>Wednesday</v>
      </c>
      <c r="P497">
        <f t="shared" si="42"/>
        <v>10</v>
      </c>
      <c r="Q497" s="2">
        <f t="shared" si="46"/>
        <v>3</v>
      </c>
      <c r="R497" s="2">
        <f t="shared" si="47"/>
        <v>4</v>
      </c>
      <c r="S497">
        <f>SUMIF(Table1[product_category],"Bakery",Table1[Total_bill])</f>
        <v>2951.25</v>
      </c>
    </row>
    <row r="498" spans="1:19" x14ac:dyDescent="0.3">
      <c r="A498" s="2">
        <v>10497</v>
      </c>
      <c r="B498" s="4">
        <v>46128</v>
      </c>
      <c r="C498" t="s">
        <v>652</v>
      </c>
      <c r="D498" t="s">
        <v>40</v>
      </c>
      <c r="E498" t="s">
        <v>41</v>
      </c>
      <c r="F498" t="s">
        <v>80</v>
      </c>
      <c r="G498">
        <v>1</v>
      </c>
      <c r="H498" s="5">
        <v>3</v>
      </c>
      <c r="I498" t="s">
        <v>21</v>
      </c>
      <c r="J498" t="s">
        <v>181</v>
      </c>
      <c r="K498" t="s">
        <v>182</v>
      </c>
      <c r="L498" t="s">
        <v>2125</v>
      </c>
      <c r="M498" s="5">
        <f t="shared" si="43"/>
        <v>3</v>
      </c>
      <c r="N498" t="str">
        <f t="shared" si="44"/>
        <v>April</v>
      </c>
      <c r="O498" t="str">
        <f t="shared" si="45"/>
        <v>Thursday</v>
      </c>
      <c r="P498">
        <f t="shared" si="42"/>
        <v>13</v>
      </c>
      <c r="Q498" s="2">
        <f t="shared" si="46"/>
        <v>4</v>
      </c>
      <c r="R498" s="2">
        <f t="shared" si="47"/>
        <v>4</v>
      </c>
      <c r="S498">
        <f>SUMIF(Table1[product_category],"Bakery",Table1[Total_bill])</f>
        <v>2951.25</v>
      </c>
    </row>
    <row r="499" spans="1:19" x14ac:dyDescent="0.3">
      <c r="A499" s="2">
        <v>10498</v>
      </c>
      <c r="B499" s="4">
        <v>46129</v>
      </c>
      <c r="C499" t="s">
        <v>653</v>
      </c>
      <c r="D499" t="s">
        <v>25</v>
      </c>
      <c r="E499" t="s">
        <v>26</v>
      </c>
      <c r="F499" t="s">
        <v>84</v>
      </c>
      <c r="G499">
        <v>2</v>
      </c>
      <c r="H499" s="5">
        <v>3.25</v>
      </c>
      <c r="I499" t="s">
        <v>21</v>
      </c>
      <c r="J499" t="s">
        <v>81</v>
      </c>
      <c r="K499" t="s">
        <v>113</v>
      </c>
      <c r="L499" t="s">
        <v>2125</v>
      </c>
      <c r="M499" s="5">
        <f t="shared" si="43"/>
        <v>6.5</v>
      </c>
      <c r="N499" t="str">
        <f t="shared" si="44"/>
        <v>April</v>
      </c>
      <c r="O499" t="str">
        <f t="shared" si="45"/>
        <v>Friday</v>
      </c>
      <c r="P499">
        <f t="shared" si="42"/>
        <v>7</v>
      </c>
      <c r="Q499" s="2">
        <f t="shared" si="46"/>
        <v>5</v>
      </c>
      <c r="R499" s="2">
        <f t="shared" si="47"/>
        <v>4</v>
      </c>
      <c r="S499">
        <f>SUMIF(Table1[product_category],"Bakery",Table1[Total_bill])</f>
        <v>2951.25</v>
      </c>
    </row>
    <row r="500" spans="1:19" x14ac:dyDescent="0.3">
      <c r="A500" s="2">
        <v>10499</v>
      </c>
      <c r="B500" s="4">
        <v>46130</v>
      </c>
      <c r="C500" t="s">
        <v>654</v>
      </c>
      <c r="D500" t="s">
        <v>18</v>
      </c>
      <c r="E500" t="s">
        <v>19</v>
      </c>
      <c r="F500" t="s">
        <v>86</v>
      </c>
      <c r="G500">
        <v>4</v>
      </c>
      <c r="H500" s="5">
        <v>13</v>
      </c>
      <c r="I500" t="s">
        <v>98</v>
      </c>
      <c r="J500" t="s">
        <v>98</v>
      </c>
      <c r="K500" t="s">
        <v>95</v>
      </c>
      <c r="L500" t="s">
        <v>2125</v>
      </c>
      <c r="M500" s="5">
        <f t="shared" si="43"/>
        <v>52</v>
      </c>
      <c r="N500" t="str">
        <f t="shared" si="44"/>
        <v>April</v>
      </c>
      <c r="O500" t="str">
        <f t="shared" si="45"/>
        <v>Saturday</v>
      </c>
      <c r="P500">
        <f t="shared" si="42"/>
        <v>20</v>
      </c>
      <c r="Q500" s="2">
        <f t="shared" si="46"/>
        <v>6</v>
      </c>
      <c r="R500" s="2">
        <f t="shared" si="47"/>
        <v>4</v>
      </c>
      <c r="S500">
        <f>SUMIF(Table1[product_category],"Bakery",Table1[Total_bill])</f>
        <v>2951.25</v>
      </c>
    </row>
    <row r="501" spans="1:19" x14ac:dyDescent="0.3">
      <c r="A501" s="2">
        <v>10500</v>
      </c>
      <c r="B501" s="4">
        <v>46131</v>
      </c>
      <c r="C501" t="s">
        <v>655</v>
      </c>
      <c r="D501" t="s">
        <v>40</v>
      </c>
      <c r="E501" t="s">
        <v>41</v>
      </c>
      <c r="F501" t="s">
        <v>88</v>
      </c>
      <c r="G501">
        <v>4</v>
      </c>
      <c r="H501" s="5">
        <v>5</v>
      </c>
      <c r="I501" t="s">
        <v>89</v>
      </c>
      <c r="J501" t="s">
        <v>90</v>
      </c>
      <c r="K501" t="s">
        <v>91</v>
      </c>
      <c r="L501" t="s">
        <v>2123</v>
      </c>
      <c r="M501" s="5">
        <f t="shared" si="43"/>
        <v>20</v>
      </c>
      <c r="N501" t="str">
        <f t="shared" si="44"/>
        <v>April</v>
      </c>
      <c r="O501" t="str">
        <f t="shared" si="45"/>
        <v>Sunday</v>
      </c>
      <c r="P501">
        <f t="shared" si="42"/>
        <v>20</v>
      </c>
      <c r="Q501" s="2">
        <f t="shared" si="46"/>
        <v>7</v>
      </c>
      <c r="R501" s="2">
        <f t="shared" si="47"/>
        <v>4</v>
      </c>
      <c r="S501">
        <f>SUMIF(Table1[product_category],"Bakery",Table1[Total_bill])</f>
        <v>2951.25</v>
      </c>
    </row>
    <row r="502" spans="1:19" x14ac:dyDescent="0.3">
      <c r="A502" s="2">
        <v>10501</v>
      </c>
      <c r="B502" s="4">
        <v>46132</v>
      </c>
      <c r="C502" t="s">
        <v>656</v>
      </c>
      <c r="D502" t="s">
        <v>40</v>
      </c>
      <c r="E502" t="s">
        <v>41</v>
      </c>
      <c r="F502" t="s">
        <v>93</v>
      </c>
      <c r="G502">
        <v>1</v>
      </c>
      <c r="H502" s="5">
        <v>9.5</v>
      </c>
      <c r="I502" t="s">
        <v>28</v>
      </c>
      <c r="J502" t="s">
        <v>28</v>
      </c>
      <c r="K502" t="s">
        <v>29</v>
      </c>
      <c r="L502" t="s">
        <v>2125</v>
      </c>
      <c r="M502" s="5">
        <f t="shared" si="43"/>
        <v>9.5</v>
      </c>
      <c r="N502" t="str">
        <f t="shared" si="44"/>
        <v>April</v>
      </c>
      <c r="O502" t="str">
        <f t="shared" si="45"/>
        <v>Monday</v>
      </c>
      <c r="P502">
        <f t="shared" si="42"/>
        <v>14</v>
      </c>
      <c r="Q502" s="2">
        <f t="shared" si="46"/>
        <v>1</v>
      </c>
      <c r="R502" s="2">
        <f t="shared" si="47"/>
        <v>4</v>
      </c>
      <c r="S502">
        <f>SUMIF(Table1[product_category],"Bakery",Table1[Total_bill])</f>
        <v>2951.25</v>
      </c>
    </row>
    <row r="503" spans="1:19" x14ac:dyDescent="0.3">
      <c r="A503" s="2">
        <v>10502</v>
      </c>
      <c r="B503" s="4">
        <v>46133</v>
      </c>
      <c r="C503" t="s">
        <v>657</v>
      </c>
      <c r="D503" t="s">
        <v>18</v>
      </c>
      <c r="E503" t="s">
        <v>19</v>
      </c>
      <c r="F503" t="s">
        <v>97</v>
      </c>
      <c r="G503">
        <v>2</v>
      </c>
      <c r="H503" s="5">
        <v>3.5</v>
      </c>
      <c r="I503" t="s">
        <v>21</v>
      </c>
      <c r="J503" t="s">
        <v>51</v>
      </c>
      <c r="K503" t="s">
        <v>52</v>
      </c>
      <c r="L503" t="s">
        <v>2125</v>
      </c>
      <c r="M503" s="5">
        <f t="shared" si="43"/>
        <v>7</v>
      </c>
      <c r="N503" t="str">
        <f t="shared" si="44"/>
        <v>April</v>
      </c>
      <c r="O503" t="str">
        <f t="shared" si="45"/>
        <v>Tuesday</v>
      </c>
      <c r="P503">
        <f t="shared" si="42"/>
        <v>12</v>
      </c>
      <c r="Q503" s="2">
        <f t="shared" si="46"/>
        <v>2</v>
      </c>
      <c r="R503" s="2">
        <f t="shared" si="47"/>
        <v>4</v>
      </c>
      <c r="S503">
        <f>SUMIF(Table1[product_category],"Bakery",Table1[Total_bill])</f>
        <v>2951.25</v>
      </c>
    </row>
    <row r="504" spans="1:19" x14ac:dyDescent="0.3">
      <c r="A504" s="2">
        <v>10503</v>
      </c>
      <c r="B504" s="4">
        <v>46134</v>
      </c>
      <c r="C504" t="s">
        <v>658</v>
      </c>
      <c r="D504" t="s">
        <v>18</v>
      </c>
      <c r="E504" t="s">
        <v>19</v>
      </c>
      <c r="F504" t="s">
        <v>100</v>
      </c>
      <c r="G504">
        <v>4</v>
      </c>
      <c r="H504" s="5">
        <v>4.5</v>
      </c>
      <c r="I504" t="s">
        <v>89</v>
      </c>
      <c r="J504" t="s">
        <v>90</v>
      </c>
      <c r="K504" t="s">
        <v>91</v>
      </c>
      <c r="L504" t="s">
        <v>2124</v>
      </c>
      <c r="M504" s="5">
        <f t="shared" si="43"/>
        <v>18</v>
      </c>
      <c r="N504" t="str">
        <f t="shared" si="44"/>
        <v>April</v>
      </c>
      <c r="O504" t="str">
        <f t="shared" si="45"/>
        <v>Wednesday</v>
      </c>
      <c r="P504">
        <f t="shared" si="42"/>
        <v>9</v>
      </c>
      <c r="Q504" s="2">
        <f t="shared" si="46"/>
        <v>3</v>
      </c>
      <c r="R504" s="2">
        <f t="shared" si="47"/>
        <v>4</v>
      </c>
      <c r="S504">
        <f>SUMIF(Table1[product_category],"Bakery",Table1[Total_bill])</f>
        <v>2951.25</v>
      </c>
    </row>
    <row r="505" spans="1:19" x14ac:dyDescent="0.3">
      <c r="A505" s="2">
        <v>10504</v>
      </c>
      <c r="B505" s="4">
        <v>46135</v>
      </c>
      <c r="C505" t="s">
        <v>659</v>
      </c>
      <c r="D505" t="s">
        <v>40</v>
      </c>
      <c r="E505" t="s">
        <v>41</v>
      </c>
      <c r="F505" t="s">
        <v>105</v>
      </c>
      <c r="G505">
        <v>2</v>
      </c>
      <c r="H505" s="5">
        <v>3.5</v>
      </c>
      <c r="I505" t="s">
        <v>36</v>
      </c>
      <c r="J505" t="s">
        <v>37</v>
      </c>
      <c r="K505" t="s">
        <v>62</v>
      </c>
      <c r="L505" t="s">
        <v>2123</v>
      </c>
      <c r="M505" s="5">
        <f t="shared" si="43"/>
        <v>7</v>
      </c>
      <c r="N505" t="str">
        <f t="shared" si="44"/>
        <v>April</v>
      </c>
      <c r="O505" t="str">
        <f t="shared" si="45"/>
        <v>Thursday</v>
      </c>
      <c r="P505">
        <f t="shared" si="42"/>
        <v>16</v>
      </c>
      <c r="Q505" s="2">
        <f t="shared" si="46"/>
        <v>4</v>
      </c>
      <c r="R505" s="2">
        <f t="shared" si="47"/>
        <v>4</v>
      </c>
      <c r="S505">
        <f>SUMIF(Table1[product_category],"Bakery",Table1[Total_bill])</f>
        <v>2951.25</v>
      </c>
    </row>
    <row r="506" spans="1:19" x14ac:dyDescent="0.3">
      <c r="A506" s="2">
        <v>10505</v>
      </c>
      <c r="B506" s="4">
        <v>46136</v>
      </c>
      <c r="C506" t="s">
        <v>660</v>
      </c>
      <c r="D506" t="s">
        <v>40</v>
      </c>
      <c r="E506" t="s">
        <v>41</v>
      </c>
      <c r="F506" t="s">
        <v>107</v>
      </c>
      <c r="G506">
        <v>2</v>
      </c>
      <c r="H506" s="5">
        <v>14</v>
      </c>
      <c r="I506" t="s">
        <v>101</v>
      </c>
      <c r="J506" t="s">
        <v>102</v>
      </c>
      <c r="K506" t="s">
        <v>193</v>
      </c>
      <c r="L506" t="s">
        <v>2125</v>
      </c>
      <c r="M506" s="5">
        <f t="shared" si="43"/>
        <v>28</v>
      </c>
      <c r="N506" t="str">
        <f t="shared" si="44"/>
        <v>April</v>
      </c>
      <c r="O506" t="str">
        <f t="shared" si="45"/>
        <v>Friday</v>
      </c>
      <c r="P506">
        <f t="shared" si="42"/>
        <v>14</v>
      </c>
      <c r="Q506" s="2">
        <f t="shared" si="46"/>
        <v>5</v>
      </c>
      <c r="R506" s="2">
        <f t="shared" si="47"/>
        <v>4</v>
      </c>
      <c r="S506">
        <f>SUMIF(Table1[product_category],"Bakery",Table1[Total_bill])</f>
        <v>2951.25</v>
      </c>
    </row>
    <row r="507" spans="1:19" x14ac:dyDescent="0.3">
      <c r="A507" s="2">
        <v>10506</v>
      </c>
      <c r="B507" s="4">
        <v>46137</v>
      </c>
      <c r="C507" t="s">
        <v>661</v>
      </c>
      <c r="D507" t="s">
        <v>25</v>
      </c>
      <c r="E507" t="s">
        <v>26</v>
      </c>
      <c r="F507" t="s">
        <v>109</v>
      </c>
      <c r="G507">
        <v>4</v>
      </c>
      <c r="H507" s="5">
        <v>3</v>
      </c>
      <c r="I507" t="s">
        <v>21</v>
      </c>
      <c r="J507" t="s">
        <v>181</v>
      </c>
      <c r="K507" t="s">
        <v>182</v>
      </c>
      <c r="L507" t="s">
        <v>2125</v>
      </c>
      <c r="M507" s="5">
        <f t="shared" si="43"/>
        <v>12</v>
      </c>
      <c r="N507" t="str">
        <f t="shared" si="44"/>
        <v>April</v>
      </c>
      <c r="O507" t="str">
        <f t="shared" si="45"/>
        <v>Saturday</v>
      </c>
      <c r="P507">
        <f t="shared" si="42"/>
        <v>8</v>
      </c>
      <c r="Q507" s="2">
        <f t="shared" si="46"/>
        <v>6</v>
      </c>
      <c r="R507" s="2">
        <f t="shared" si="47"/>
        <v>4</v>
      </c>
      <c r="S507">
        <f>SUMIF(Table1[product_category],"Bakery",Table1[Total_bill])</f>
        <v>2951.25</v>
      </c>
    </row>
    <row r="508" spans="1:19" x14ac:dyDescent="0.3">
      <c r="A508" s="2">
        <v>10507</v>
      </c>
      <c r="B508" s="4">
        <v>46138</v>
      </c>
      <c r="C508" t="s">
        <v>662</v>
      </c>
      <c r="D508" t="s">
        <v>18</v>
      </c>
      <c r="E508" t="s">
        <v>19</v>
      </c>
      <c r="F508" t="s">
        <v>112</v>
      </c>
      <c r="G508">
        <v>3</v>
      </c>
      <c r="H508" s="5">
        <v>4.75</v>
      </c>
      <c r="I508" t="s">
        <v>32</v>
      </c>
      <c r="J508" t="s">
        <v>202</v>
      </c>
      <c r="K508" t="s">
        <v>202</v>
      </c>
      <c r="L508" t="s">
        <v>2123</v>
      </c>
      <c r="M508" s="5">
        <f t="shared" si="43"/>
        <v>14.25</v>
      </c>
      <c r="N508" t="str">
        <f t="shared" si="44"/>
        <v>April</v>
      </c>
      <c r="O508" t="str">
        <f t="shared" si="45"/>
        <v>Sunday</v>
      </c>
      <c r="P508">
        <f t="shared" si="42"/>
        <v>18</v>
      </c>
      <c r="Q508" s="2">
        <f t="shared" si="46"/>
        <v>7</v>
      </c>
      <c r="R508" s="2">
        <f t="shared" si="47"/>
        <v>4</v>
      </c>
      <c r="S508">
        <f>SUMIF(Table1[product_category],"Bakery",Table1[Total_bill])</f>
        <v>2951.25</v>
      </c>
    </row>
    <row r="509" spans="1:19" x14ac:dyDescent="0.3">
      <c r="A509" s="2">
        <v>10508</v>
      </c>
      <c r="B509" s="4">
        <v>46139</v>
      </c>
      <c r="C509" t="s">
        <v>663</v>
      </c>
      <c r="D509" t="s">
        <v>25</v>
      </c>
      <c r="E509" t="s">
        <v>26</v>
      </c>
      <c r="F509" t="s">
        <v>115</v>
      </c>
      <c r="G509">
        <v>4</v>
      </c>
      <c r="H509" s="5">
        <v>24</v>
      </c>
      <c r="I509" t="s">
        <v>101</v>
      </c>
      <c r="J509" t="s">
        <v>102</v>
      </c>
      <c r="K509" t="s">
        <v>103</v>
      </c>
      <c r="L509" t="s">
        <v>2125</v>
      </c>
      <c r="M509" s="5">
        <f t="shared" si="43"/>
        <v>96</v>
      </c>
      <c r="N509" t="str">
        <f t="shared" si="44"/>
        <v>April</v>
      </c>
      <c r="O509" t="str">
        <f t="shared" si="45"/>
        <v>Monday</v>
      </c>
      <c r="P509">
        <f t="shared" si="42"/>
        <v>16</v>
      </c>
      <c r="Q509" s="2">
        <f t="shared" si="46"/>
        <v>1</v>
      </c>
      <c r="R509" s="2">
        <f t="shared" si="47"/>
        <v>4</v>
      </c>
      <c r="S509">
        <f>SUMIF(Table1[product_category],"Bakery",Table1[Total_bill])</f>
        <v>2951.25</v>
      </c>
    </row>
    <row r="510" spans="1:19" x14ac:dyDescent="0.3">
      <c r="A510" s="2">
        <v>10509</v>
      </c>
      <c r="B510" s="4">
        <v>46140</v>
      </c>
      <c r="C510" t="s">
        <v>664</v>
      </c>
      <c r="D510" t="s">
        <v>40</v>
      </c>
      <c r="E510" t="s">
        <v>41</v>
      </c>
      <c r="F510" t="s">
        <v>117</v>
      </c>
      <c r="G510">
        <v>3</v>
      </c>
      <c r="H510" s="5">
        <v>14</v>
      </c>
      <c r="I510" t="s">
        <v>98</v>
      </c>
      <c r="J510" t="s">
        <v>98</v>
      </c>
      <c r="K510" t="s">
        <v>129</v>
      </c>
      <c r="L510" t="s">
        <v>2125</v>
      </c>
      <c r="M510" s="5">
        <f t="shared" si="43"/>
        <v>42</v>
      </c>
      <c r="N510" t="str">
        <f t="shared" si="44"/>
        <v>April</v>
      </c>
      <c r="O510" t="str">
        <f t="shared" si="45"/>
        <v>Tuesday</v>
      </c>
      <c r="P510">
        <f t="shared" si="42"/>
        <v>19</v>
      </c>
      <c r="Q510" s="2">
        <f t="shared" si="46"/>
        <v>2</v>
      </c>
      <c r="R510" s="2">
        <f t="shared" si="47"/>
        <v>4</v>
      </c>
      <c r="S510">
        <f>SUMIF(Table1[product_category],"Bakery",Table1[Total_bill])</f>
        <v>2951.25</v>
      </c>
    </row>
    <row r="511" spans="1:19" x14ac:dyDescent="0.3">
      <c r="A511" s="2">
        <v>10510</v>
      </c>
      <c r="B511" s="4">
        <v>46141</v>
      </c>
      <c r="C511" t="s">
        <v>665</v>
      </c>
      <c r="D511" t="s">
        <v>18</v>
      </c>
      <c r="E511" t="s">
        <v>19</v>
      </c>
      <c r="F511" t="s">
        <v>119</v>
      </c>
      <c r="G511">
        <v>3</v>
      </c>
      <c r="H511" s="5">
        <v>3</v>
      </c>
      <c r="I511" t="s">
        <v>32</v>
      </c>
      <c r="J511" t="s">
        <v>55</v>
      </c>
      <c r="K511" t="s">
        <v>55</v>
      </c>
      <c r="L511" t="s">
        <v>2122</v>
      </c>
      <c r="M511" s="5">
        <f t="shared" si="43"/>
        <v>9</v>
      </c>
      <c r="N511" t="str">
        <f t="shared" si="44"/>
        <v>April</v>
      </c>
      <c r="O511" t="str">
        <f t="shared" si="45"/>
        <v>Wednesday</v>
      </c>
      <c r="P511">
        <f t="shared" si="42"/>
        <v>15</v>
      </c>
      <c r="Q511" s="2">
        <f t="shared" si="46"/>
        <v>3</v>
      </c>
      <c r="R511" s="2">
        <f t="shared" si="47"/>
        <v>4</v>
      </c>
      <c r="S511">
        <f>SUMIF(Table1[product_category],"Bakery",Table1[Total_bill])</f>
        <v>2951.25</v>
      </c>
    </row>
    <row r="512" spans="1:19" x14ac:dyDescent="0.3">
      <c r="A512" s="2">
        <v>10511</v>
      </c>
      <c r="B512" s="4">
        <v>46142</v>
      </c>
      <c r="C512" t="s">
        <v>666</v>
      </c>
      <c r="D512" t="s">
        <v>25</v>
      </c>
      <c r="E512" t="s">
        <v>26</v>
      </c>
      <c r="F512" t="s">
        <v>121</v>
      </c>
      <c r="G512">
        <v>2</v>
      </c>
      <c r="H512" s="5">
        <v>3</v>
      </c>
      <c r="I512" t="s">
        <v>36</v>
      </c>
      <c r="J512" t="s">
        <v>246</v>
      </c>
      <c r="K512" t="s">
        <v>247</v>
      </c>
      <c r="L512" t="s">
        <v>2124</v>
      </c>
      <c r="M512" s="5">
        <f t="shared" si="43"/>
        <v>6</v>
      </c>
      <c r="N512" t="str">
        <f t="shared" si="44"/>
        <v>April</v>
      </c>
      <c r="O512" t="str">
        <f t="shared" si="45"/>
        <v>Thursday</v>
      </c>
      <c r="P512">
        <f t="shared" si="42"/>
        <v>13</v>
      </c>
      <c r="Q512" s="2">
        <f t="shared" si="46"/>
        <v>4</v>
      </c>
      <c r="R512" s="2">
        <f t="shared" si="47"/>
        <v>4</v>
      </c>
      <c r="S512">
        <f>SUMIF(Table1[product_category],"Bakery",Table1[Total_bill])</f>
        <v>2951.25</v>
      </c>
    </row>
    <row r="513" spans="1:19" x14ac:dyDescent="0.3">
      <c r="A513" s="2">
        <v>10512</v>
      </c>
      <c r="B513" s="4">
        <v>46143</v>
      </c>
      <c r="C513" t="s">
        <v>667</v>
      </c>
      <c r="D513" t="s">
        <v>40</v>
      </c>
      <c r="E513" t="s">
        <v>41</v>
      </c>
      <c r="F513" t="s">
        <v>124</v>
      </c>
      <c r="G513">
        <v>2</v>
      </c>
      <c r="H513" s="5">
        <v>3</v>
      </c>
      <c r="I513" t="s">
        <v>36</v>
      </c>
      <c r="J513" t="s">
        <v>37</v>
      </c>
      <c r="K513" t="s">
        <v>62</v>
      </c>
      <c r="L513" t="s">
        <v>2124</v>
      </c>
      <c r="M513" s="5">
        <f t="shared" si="43"/>
        <v>6</v>
      </c>
      <c r="N513" t="str">
        <f t="shared" si="44"/>
        <v>May</v>
      </c>
      <c r="O513" t="str">
        <f t="shared" si="45"/>
        <v>Friday</v>
      </c>
      <c r="P513">
        <f t="shared" si="42"/>
        <v>10</v>
      </c>
      <c r="Q513" s="2">
        <f t="shared" si="46"/>
        <v>5</v>
      </c>
      <c r="R513" s="2">
        <f t="shared" si="47"/>
        <v>5</v>
      </c>
      <c r="S513">
        <f>SUMIF(Table1[product_category],"Bakery",Table1[Total_bill])</f>
        <v>2951.25</v>
      </c>
    </row>
    <row r="514" spans="1:19" x14ac:dyDescent="0.3">
      <c r="A514" s="2">
        <v>10513</v>
      </c>
      <c r="B514" s="4">
        <v>46144</v>
      </c>
      <c r="C514" t="s">
        <v>668</v>
      </c>
      <c r="D514" t="s">
        <v>40</v>
      </c>
      <c r="E514" t="s">
        <v>41</v>
      </c>
      <c r="F514" t="s">
        <v>126</v>
      </c>
      <c r="G514">
        <v>2</v>
      </c>
      <c r="H514" s="5">
        <v>4</v>
      </c>
      <c r="I514" t="s">
        <v>89</v>
      </c>
      <c r="J514" t="s">
        <v>90</v>
      </c>
      <c r="K514" t="s">
        <v>91</v>
      </c>
      <c r="L514" t="s">
        <v>2122</v>
      </c>
      <c r="M514" s="5">
        <f t="shared" si="43"/>
        <v>8</v>
      </c>
      <c r="N514" t="str">
        <f t="shared" si="44"/>
        <v>May</v>
      </c>
      <c r="O514" t="str">
        <f t="shared" si="45"/>
        <v>Saturday</v>
      </c>
      <c r="P514">
        <f t="shared" ref="P514:P577" si="48">HOUR(TIMEVALUE(C514))</f>
        <v>19</v>
      </c>
      <c r="Q514" s="2">
        <f t="shared" si="46"/>
        <v>6</v>
      </c>
      <c r="R514" s="2">
        <f t="shared" si="47"/>
        <v>5</v>
      </c>
      <c r="S514">
        <f>SUMIF(Table1[product_category],"Bakery",Table1[Total_bill])</f>
        <v>2951.25</v>
      </c>
    </row>
    <row r="515" spans="1:19" x14ac:dyDescent="0.3">
      <c r="A515" s="2">
        <v>10514</v>
      </c>
      <c r="B515" s="4">
        <v>46145</v>
      </c>
      <c r="C515" t="s">
        <v>669</v>
      </c>
      <c r="D515" t="s">
        <v>40</v>
      </c>
      <c r="E515" t="s">
        <v>41</v>
      </c>
      <c r="F515" t="s">
        <v>128</v>
      </c>
      <c r="G515">
        <v>2</v>
      </c>
      <c r="H515" s="5">
        <v>2.75</v>
      </c>
      <c r="I515" t="s">
        <v>32</v>
      </c>
      <c r="J515" t="s">
        <v>43</v>
      </c>
      <c r="K515" t="s">
        <v>44</v>
      </c>
      <c r="L515" t="s">
        <v>2123</v>
      </c>
      <c r="M515" s="5">
        <f t="shared" ref="M515:M578" si="49">G515*H515</f>
        <v>5.5</v>
      </c>
      <c r="N515" t="str">
        <f t="shared" ref="N515:N578" si="50">TEXT(B515,"mmmm")</f>
        <v>May</v>
      </c>
      <c r="O515" t="str">
        <f t="shared" ref="O515:O578" si="51">TEXT(B515,"dddd")</f>
        <v>Sunday</v>
      </c>
      <c r="P515">
        <f t="shared" si="48"/>
        <v>17</v>
      </c>
      <c r="Q515" s="2">
        <f t="shared" ref="Q515:Q578" si="52">WEEKDAY(B515,2)</f>
        <v>7</v>
      </c>
      <c r="R515" s="2">
        <f t="shared" ref="R515:R578" si="53">MONTH(B515)</f>
        <v>5</v>
      </c>
      <c r="S515">
        <f>SUMIF(Table1[product_category],"Bakery",Table1[Total_bill])</f>
        <v>2951.25</v>
      </c>
    </row>
    <row r="516" spans="1:19" x14ac:dyDescent="0.3">
      <c r="A516" s="2">
        <v>10515</v>
      </c>
      <c r="B516" s="4">
        <v>46146</v>
      </c>
      <c r="C516" t="s">
        <v>670</v>
      </c>
      <c r="D516" t="s">
        <v>18</v>
      </c>
      <c r="E516" t="s">
        <v>19</v>
      </c>
      <c r="F516" t="s">
        <v>131</v>
      </c>
      <c r="G516">
        <v>1</v>
      </c>
      <c r="H516" s="5">
        <v>4.75</v>
      </c>
      <c r="I516" t="s">
        <v>32</v>
      </c>
      <c r="J516" t="s">
        <v>69</v>
      </c>
      <c r="K516" t="s">
        <v>69</v>
      </c>
      <c r="L516" t="s">
        <v>2123</v>
      </c>
      <c r="M516" s="5">
        <f t="shared" si="49"/>
        <v>4.75</v>
      </c>
      <c r="N516" t="str">
        <f t="shared" si="50"/>
        <v>May</v>
      </c>
      <c r="O516" t="str">
        <f t="shared" si="51"/>
        <v>Monday</v>
      </c>
      <c r="P516">
        <f t="shared" si="48"/>
        <v>6</v>
      </c>
      <c r="Q516" s="2">
        <f t="shared" si="52"/>
        <v>1</v>
      </c>
      <c r="R516" s="2">
        <f t="shared" si="53"/>
        <v>5</v>
      </c>
      <c r="S516">
        <f>SUMIF(Table1[product_category],"Bakery",Table1[Total_bill])</f>
        <v>2951.25</v>
      </c>
    </row>
    <row r="517" spans="1:19" x14ac:dyDescent="0.3">
      <c r="A517" s="2">
        <v>10516</v>
      </c>
      <c r="B517" s="4">
        <v>46147</v>
      </c>
      <c r="C517" t="s">
        <v>671</v>
      </c>
      <c r="D517" t="s">
        <v>40</v>
      </c>
      <c r="E517" t="s">
        <v>41</v>
      </c>
      <c r="F517" t="s">
        <v>133</v>
      </c>
      <c r="G517">
        <v>1</v>
      </c>
      <c r="H517" s="5">
        <v>3</v>
      </c>
      <c r="I517" t="s">
        <v>36</v>
      </c>
      <c r="J517" t="s">
        <v>37</v>
      </c>
      <c r="K517" t="s">
        <v>38</v>
      </c>
      <c r="L517" t="s">
        <v>2124</v>
      </c>
      <c r="M517" s="5">
        <f t="shared" si="49"/>
        <v>3</v>
      </c>
      <c r="N517" t="str">
        <f t="shared" si="50"/>
        <v>May</v>
      </c>
      <c r="O517" t="str">
        <f t="shared" si="51"/>
        <v>Tuesday</v>
      </c>
      <c r="P517">
        <f t="shared" si="48"/>
        <v>6</v>
      </c>
      <c r="Q517" s="2">
        <f t="shared" si="52"/>
        <v>2</v>
      </c>
      <c r="R517" s="2">
        <f t="shared" si="53"/>
        <v>5</v>
      </c>
      <c r="S517">
        <f>SUMIF(Table1[product_category],"Bakery",Table1[Total_bill])</f>
        <v>2951.25</v>
      </c>
    </row>
    <row r="518" spans="1:19" x14ac:dyDescent="0.3">
      <c r="A518" s="2">
        <v>10517</v>
      </c>
      <c r="B518" s="4">
        <v>46148</v>
      </c>
      <c r="C518" t="s">
        <v>672</v>
      </c>
      <c r="D518" t="s">
        <v>40</v>
      </c>
      <c r="E518" t="s">
        <v>41</v>
      </c>
      <c r="F518" t="s">
        <v>135</v>
      </c>
      <c r="G518">
        <v>3</v>
      </c>
      <c r="H518" s="5">
        <v>24</v>
      </c>
      <c r="I518" t="s">
        <v>101</v>
      </c>
      <c r="J518" t="s">
        <v>102</v>
      </c>
      <c r="K518" t="s">
        <v>103</v>
      </c>
      <c r="L518" t="s">
        <v>2125</v>
      </c>
      <c r="M518" s="5">
        <f t="shared" si="49"/>
        <v>72</v>
      </c>
      <c r="N518" t="str">
        <f t="shared" si="50"/>
        <v>May</v>
      </c>
      <c r="O518" t="str">
        <f t="shared" si="51"/>
        <v>Wednesday</v>
      </c>
      <c r="P518">
        <f t="shared" si="48"/>
        <v>10</v>
      </c>
      <c r="Q518" s="2">
        <f t="shared" si="52"/>
        <v>3</v>
      </c>
      <c r="R518" s="2">
        <f t="shared" si="53"/>
        <v>5</v>
      </c>
      <c r="S518">
        <f>SUMIF(Table1[product_category],"Bakery",Table1[Total_bill])</f>
        <v>2951.25</v>
      </c>
    </row>
    <row r="519" spans="1:19" x14ac:dyDescent="0.3">
      <c r="A519" s="2">
        <v>10518</v>
      </c>
      <c r="B519" s="4">
        <v>46149</v>
      </c>
      <c r="C519" t="s">
        <v>673</v>
      </c>
      <c r="D519" t="s">
        <v>40</v>
      </c>
      <c r="E519" t="s">
        <v>41</v>
      </c>
      <c r="F519" t="s">
        <v>137</v>
      </c>
      <c r="G519">
        <v>3</v>
      </c>
      <c r="H519" s="5">
        <v>3.5</v>
      </c>
      <c r="I519" t="s">
        <v>32</v>
      </c>
      <c r="J519" t="s">
        <v>55</v>
      </c>
      <c r="K519" t="s">
        <v>55</v>
      </c>
      <c r="L519" t="s">
        <v>2124</v>
      </c>
      <c r="M519" s="5">
        <f t="shared" si="49"/>
        <v>10.5</v>
      </c>
      <c r="N519" t="str">
        <f t="shared" si="50"/>
        <v>May</v>
      </c>
      <c r="O519" t="str">
        <f t="shared" si="51"/>
        <v>Thursday</v>
      </c>
      <c r="P519">
        <f t="shared" si="48"/>
        <v>16</v>
      </c>
      <c r="Q519" s="2">
        <f t="shared" si="52"/>
        <v>4</v>
      </c>
      <c r="R519" s="2">
        <f t="shared" si="53"/>
        <v>5</v>
      </c>
      <c r="S519">
        <f>SUMIF(Table1[product_category],"Bakery",Table1[Total_bill])</f>
        <v>2951.25</v>
      </c>
    </row>
    <row r="520" spans="1:19" x14ac:dyDescent="0.3">
      <c r="A520" s="2">
        <v>10519</v>
      </c>
      <c r="B520" s="4">
        <v>46150</v>
      </c>
      <c r="C520" t="s">
        <v>674</v>
      </c>
      <c r="D520" t="s">
        <v>18</v>
      </c>
      <c r="E520" t="s">
        <v>19</v>
      </c>
      <c r="F520" t="s">
        <v>140</v>
      </c>
      <c r="G520">
        <v>1</v>
      </c>
      <c r="H520" s="5">
        <v>3.25</v>
      </c>
      <c r="I520" t="s">
        <v>21</v>
      </c>
      <c r="J520" t="s">
        <v>81</v>
      </c>
      <c r="K520" t="s">
        <v>113</v>
      </c>
      <c r="L520" t="s">
        <v>2125</v>
      </c>
      <c r="M520" s="5">
        <f t="shared" si="49"/>
        <v>3.25</v>
      </c>
      <c r="N520" t="str">
        <f t="shared" si="50"/>
        <v>May</v>
      </c>
      <c r="O520" t="str">
        <f t="shared" si="51"/>
        <v>Friday</v>
      </c>
      <c r="P520">
        <f t="shared" si="48"/>
        <v>20</v>
      </c>
      <c r="Q520" s="2">
        <f t="shared" si="52"/>
        <v>5</v>
      </c>
      <c r="R520" s="2">
        <f t="shared" si="53"/>
        <v>5</v>
      </c>
      <c r="S520">
        <f>SUMIF(Table1[product_category],"Bakery",Table1[Total_bill])</f>
        <v>2951.25</v>
      </c>
    </row>
    <row r="521" spans="1:19" x14ac:dyDescent="0.3">
      <c r="A521" s="2">
        <v>10520</v>
      </c>
      <c r="B521" s="4">
        <v>46151</v>
      </c>
      <c r="C521" t="s">
        <v>675</v>
      </c>
      <c r="D521" t="s">
        <v>25</v>
      </c>
      <c r="E521" t="s">
        <v>26</v>
      </c>
      <c r="F521" t="s">
        <v>143</v>
      </c>
      <c r="G521">
        <v>1</v>
      </c>
      <c r="H521" s="5">
        <v>3.5</v>
      </c>
      <c r="I521" t="s">
        <v>36</v>
      </c>
      <c r="J521" t="s">
        <v>246</v>
      </c>
      <c r="K521" t="s">
        <v>247</v>
      </c>
      <c r="L521" t="s">
        <v>2123</v>
      </c>
      <c r="M521" s="5">
        <f t="shared" si="49"/>
        <v>3.5</v>
      </c>
      <c r="N521" t="str">
        <f t="shared" si="50"/>
        <v>May</v>
      </c>
      <c r="O521" t="str">
        <f t="shared" si="51"/>
        <v>Saturday</v>
      </c>
      <c r="P521">
        <f t="shared" si="48"/>
        <v>7</v>
      </c>
      <c r="Q521" s="2">
        <f t="shared" si="52"/>
        <v>6</v>
      </c>
      <c r="R521" s="2">
        <f t="shared" si="53"/>
        <v>5</v>
      </c>
      <c r="S521">
        <f>SUMIF(Table1[product_category],"Bakery",Table1[Total_bill])</f>
        <v>2951.25</v>
      </c>
    </row>
    <row r="522" spans="1:19" x14ac:dyDescent="0.3">
      <c r="A522" s="2">
        <v>10521</v>
      </c>
      <c r="B522" s="4">
        <v>46152</v>
      </c>
      <c r="C522" t="s">
        <v>676</v>
      </c>
      <c r="D522" t="s">
        <v>25</v>
      </c>
      <c r="E522" t="s">
        <v>26</v>
      </c>
      <c r="F522" t="s">
        <v>146</v>
      </c>
      <c r="G522">
        <v>4</v>
      </c>
      <c r="H522" s="5">
        <v>14</v>
      </c>
      <c r="I522" t="s">
        <v>101</v>
      </c>
      <c r="J522" t="s">
        <v>102</v>
      </c>
      <c r="K522" t="s">
        <v>193</v>
      </c>
      <c r="L522" t="s">
        <v>2125</v>
      </c>
      <c r="M522" s="5">
        <f t="shared" si="49"/>
        <v>56</v>
      </c>
      <c r="N522" t="str">
        <f t="shared" si="50"/>
        <v>May</v>
      </c>
      <c r="O522" t="str">
        <f t="shared" si="51"/>
        <v>Sunday</v>
      </c>
      <c r="P522">
        <f t="shared" si="48"/>
        <v>13</v>
      </c>
      <c r="Q522" s="2">
        <f t="shared" si="52"/>
        <v>7</v>
      </c>
      <c r="R522" s="2">
        <f t="shared" si="53"/>
        <v>5</v>
      </c>
      <c r="S522">
        <f>SUMIF(Table1[product_category],"Bakery",Table1[Total_bill])</f>
        <v>2951.25</v>
      </c>
    </row>
    <row r="523" spans="1:19" x14ac:dyDescent="0.3">
      <c r="A523" s="2">
        <v>10522</v>
      </c>
      <c r="B523" s="4">
        <v>46153</v>
      </c>
      <c r="C523" t="s">
        <v>677</v>
      </c>
      <c r="D523" t="s">
        <v>18</v>
      </c>
      <c r="E523" t="s">
        <v>19</v>
      </c>
      <c r="F523" t="s">
        <v>148</v>
      </c>
      <c r="G523">
        <v>2</v>
      </c>
      <c r="H523" s="5">
        <v>4</v>
      </c>
      <c r="I523" t="s">
        <v>89</v>
      </c>
      <c r="J523" t="s">
        <v>261</v>
      </c>
      <c r="K523" t="s">
        <v>261</v>
      </c>
      <c r="L523" t="s">
        <v>2124</v>
      </c>
      <c r="M523" s="5">
        <f t="shared" si="49"/>
        <v>8</v>
      </c>
      <c r="N523" t="str">
        <f t="shared" si="50"/>
        <v>May</v>
      </c>
      <c r="O523" t="str">
        <f t="shared" si="51"/>
        <v>Monday</v>
      </c>
      <c r="P523">
        <f t="shared" si="48"/>
        <v>10</v>
      </c>
      <c r="Q523" s="2">
        <f t="shared" si="52"/>
        <v>1</v>
      </c>
      <c r="R523" s="2">
        <f t="shared" si="53"/>
        <v>5</v>
      </c>
      <c r="S523">
        <f>SUMIF(Table1[product_category],"Bakery",Table1[Total_bill])</f>
        <v>2951.25</v>
      </c>
    </row>
    <row r="524" spans="1:19" x14ac:dyDescent="0.3">
      <c r="A524" s="2">
        <v>10523</v>
      </c>
      <c r="B524" s="4">
        <v>46154</v>
      </c>
      <c r="C524" t="s">
        <v>678</v>
      </c>
      <c r="D524" t="s">
        <v>18</v>
      </c>
      <c r="E524" t="s">
        <v>19</v>
      </c>
      <c r="F524" t="s">
        <v>150</v>
      </c>
      <c r="G524">
        <v>2</v>
      </c>
      <c r="H524" s="5">
        <v>4.25</v>
      </c>
      <c r="I524" t="s">
        <v>36</v>
      </c>
      <c r="J524" t="s">
        <v>211</v>
      </c>
      <c r="K524" t="s">
        <v>239</v>
      </c>
      <c r="L524" t="s">
        <v>2123</v>
      </c>
      <c r="M524" s="5">
        <f t="shared" si="49"/>
        <v>8.5</v>
      </c>
      <c r="N524" t="str">
        <f t="shared" si="50"/>
        <v>May</v>
      </c>
      <c r="O524" t="str">
        <f t="shared" si="51"/>
        <v>Tuesday</v>
      </c>
      <c r="P524">
        <f t="shared" si="48"/>
        <v>20</v>
      </c>
      <c r="Q524" s="2">
        <f t="shared" si="52"/>
        <v>2</v>
      </c>
      <c r="R524" s="2">
        <f t="shared" si="53"/>
        <v>5</v>
      </c>
      <c r="S524">
        <f>SUMIF(Table1[product_category],"Bakery",Table1[Total_bill])</f>
        <v>2951.25</v>
      </c>
    </row>
    <row r="525" spans="1:19" x14ac:dyDescent="0.3">
      <c r="A525" s="2">
        <v>10524</v>
      </c>
      <c r="B525" s="4">
        <v>46155</v>
      </c>
      <c r="C525" t="s">
        <v>679</v>
      </c>
      <c r="D525" t="s">
        <v>25</v>
      </c>
      <c r="E525" t="s">
        <v>26</v>
      </c>
      <c r="F525" t="s">
        <v>152</v>
      </c>
      <c r="G525">
        <v>4</v>
      </c>
      <c r="H525" s="5">
        <v>3.25</v>
      </c>
      <c r="I525" t="s">
        <v>21</v>
      </c>
      <c r="J525" t="s">
        <v>81</v>
      </c>
      <c r="K525" t="s">
        <v>82</v>
      </c>
      <c r="L525" t="s">
        <v>2125</v>
      </c>
      <c r="M525" s="5">
        <f t="shared" si="49"/>
        <v>13</v>
      </c>
      <c r="N525" t="str">
        <f t="shared" si="50"/>
        <v>May</v>
      </c>
      <c r="O525" t="str">
        <f t="shared" si="51"/>
        <v>Wednesday</v>
      </c>
      <c r="P525">
        <f t="shared" si="48"/>
        <v>17</v>
      </c>
      <c r="Q525" s="2">
        <f t="shared" si="52"/>
        <v>3</v>
      </c>
      <c r="R525" s="2">
        <f t="shared" si="53"/>
        <v>5</v>
      </c>
      <c r="S525">
        <f>SUMIF(Table1[product_category],"Bakery",Table1[Total_bill])</f>
        <v>2951.25</v>
      </c>
    </row>
    <row r="526" spans="1:19" x14ac:dyDescent="0.3">
      <c r="A526" s="2">
        <v>10525</v>
      </c>
      <c r="B526" s="4">
        <v>46156</v>
      </c>
      <c r="C526" t="s">
        <v>680</v>
      </c>
      <c r="D526" t="s">
        <v>40</v>
      </c>
      <c r="E526" t="s">
        <v>41</v>
      </c>
      <c r="F526" t="s">
        <v>154</v>
      </c>
      <c r="G526">
        <v>2</v>
      </c>
      <c r="H526" s="5">
        <v>2.25</v>
      </c>
      <c r="I526" t="s">
        <v>32</v>
      </c>
      <c r="J526" t="s">
        <v>43</v>
      </c>
      <c r="K526" t="s">
        <v>44</v>
      </c>
      <c r="L526" t="s">
        <v>2124</v>
      </c>
      <c r="M526" s="5">
        <f t="shared" si="49"/>
        <v>4.5</v>
      </c>
      <c r="N526" t="str">
        <f t="shared" si="50"/>
        <v>May</v>
      </c>
      <c r="O526" t="str">
        <f t="shared" si="51"/>
        <v>Thursday</v>
      </c>
      <c r="P526">
        <f t="shared" si="48"/>
        <v>16</v>
      </c>
      <c r="Q526" s="2">
        <f t="shared" si="52"/>
        <v>4</v>
      </c>
      <c r="R526" s="2">
        <f t="shared" si="53"/>
        <v>5</v>
      </c>
      <c r="S526">
        <f>SUMIF(Table1[product_category],"Bakery",Table1[Total_bill])</f>
        <v>2951.25</v>
      </c>
    </row>
    <row r="527" spans="1:19" x14ac:dyDescent="0.3">
      <c r="A527" s="2">
        <v>10526</v>
      </c>
      <c r="B527" s="4">
        <v>46157</v>
      </c>
      <c r="C527" t="s">
        <v>681</v>
      </c>
      <c r="D527" t="s">
        <v>18</v>
      </c>
      <c r="E527" t="s">
        <v>19</v>
      </c>
      <c r="F527" t="s">
        <v>156</v>
      </c>
      <c r="G527">
        <v>4</v>
      </c>
      <c r="H527" s="5">
        <v>14</v>
      </c>
      <c r="I527" t="s">
        <v>101</v>
      </c>
      <c r="J527" t="s">
        <v>102</v>
      </c>
      <c r="K527" t="s">
        <v>193</v>
      </c>
      <c r="L527" t="s">
        <v>2125</v>
      </c>
      <c r="M527" s="5">
        <f t="shared" si="49"/>
        <v>56</v>
      </c>
      <c r="N527" t="str">
        <f t="shared" si="50"/>
        <v>May</v>
      </c>
      <c r="O527" t="str">
        <f t="shared" si="51"/>
        <v>Friday</v>
      </c>
      <c r="P527">
        <f t="shared" si="48"/>
        <v>11</v>
      </c>
      <c r="Q527" s="2">
        <f t="shared" si="52"/>
        <v>5</v>
      </c>
      <c r="R527" s="2">
        <f t="shared" si="53"/>
        <v>5</v>
      </c>
      <c r="S527">
        <f>SUMIF(Table1[product_category],"Bakery",Table1[Total_bill])</f>
        <v>2951.25</v>
      </c>
    </row>
    <row r="528" spans="1:19" x14ac:dyDescent="0.3">
      <c r="A528" s="2">
        <v>10527</v>
      </c>
      <c r="B528" s="4">
        <v>46158</v>
      </c>
      <c r="C528" t="s">
        <v>682</v>
      </c>
      <c r="D528" t="s">
        <v>40</v>
      </c>
      <c r="E528" t="s">
        <v>41</v>
      </c>
      <c r="F528" t="s">
        <v>158</v>
      </c>
      <c r="G528">
        <v>4</v>
      </c>
      <c r="H528" s="5">
        <v>14</v>
      </c>
      <c r="I528" t="s">
        <v>98</v>
      </c>
      <c r="J528" t="s">
        <v>98</v>
      </c>
      <c r="K528" t="s">
        <v>129</v>
      </c>
      <c r="L528" t="s">
        <v>2125</v>
      </c>
      <c r="M528" s="5">
        <f t="shared" si="49"/>
        <v>56</v>
      </c>
      <c r="N528" t="str">
        <f t="shared" si="50"/>
        <v>May</v>
      </c>
      <c r="O528" t="str">
        <f t="shared" si="51"/>
        <v>Saturday</v>
      </c>
      <c r="P528">
        <f t="shared" si="48"/>
        <v>10</v>
      </c>
      <c r="Q528" s="2">
        <f t="shared" si="52"/>
        <v>6</v>
      </c>
      <c r="R528" s="2">
        <f t="shared" si="53"/>
        <v>5</v>
      </c>
      <c r="S528">
        <f>SUMIF(Table1[product_category],"Bakery",Table1[Total_bill])</f>
        <v>2951.25</v>
      </c>
    </row>
    <row r="529" spans="1:19" x14ac:dyDescent="0.3">
      <c r="A529" s="2">
        <v>10528</v>
      </c>
      <c r="B529" s="4">
        <v>46159</v>
      </c>
      <c r="C529" t="s">
        <v>683</v>
      </c>
      <c r="D529" t="s">
        <v>25</v>
      </c>
      <c r="E529" t="s">
        <v>26</v>
      </c>
      <c r="F529" t="s">
        <v>160</v>
      </c>
      <c r="G529">
        <v>1</v>
      </c>
      <c r="H529" s="5">
        <v>3</v>
      </c>
      <c r="I529" t="s">
        <v>36</v>
      </c>
      <c r="J529" t="s">
        <v>37</v>
      </c>
      <c r="K529" t="s">
        <v>62</v>
      </c>
      <c r="L529" t="s">
        <v>2124</v>
      </c>
      <c r="M529" s="5">
        <f t="shared" si="49"/>
        <v>3</v>
      </c>
      <c r="N529" t="str">
        <f t="shared" si="50"/>
        <v>May</v>
      </c>
      <c r="O529" t="str">
        <f t="shared" si="51"/>
        <v>Sunday</v>
      </c>
      <c r="P529">
        <f t="shared" si="48"/>
        <v>9</v>
      </c>
      <c r="Q529" s="2">
        <f t="shared" si="52"/>
        <v>7</v>
      </c>
      <c r="R529" s="2">
        <f t="shared" si="53"/>
        <v>5</v>
      </c>
      <c r="S529">
        <f>SUMIF(Table1[product_category],"Bakery",Table1[Total_bill])</f>
        <v>2951.25</v>
      </c>
    </row>
    <row r="530" spans="1:19" x14ac:dyDescent="0.3">
      <c r="A530" s="2">
        <v>10529</v>
      </c>
      <c r="B530" s="4">
        <v>46160</v>
      </c>
      <c r="C530" t="s">
        <v>684</v>
      </c>
      <c r="D530" t="s">
        <v>40</v>
      </c>
      <c r="E530" t="s">
        <v>41</v>
      </c>
      <c r="F530" t="s">
        <v>162</v>
      </c>
      <c r="G530">
        <v>4</v>
      </c>
      <c r="H530" s="5">
        <v>3.75</v>
      </c>
      <c r="I530" t="s">
        <v>36</v>
      </c>
      <c r="J530" t="s">
        <v>211</v>
      </c>
      <c r="K530" t="s">
        <v>212</v>
      </c>
      <c r="L530" t="s">
        <v>2124</v>
      </c>
      <c r="M530" s="5">
        <f t="shared" si="49"/>
        <v>15</v>
      </c>
      <c r="N530" t="str">
        <f t="shared" si="50"/>
        <v>May</v>
      </c>
      <c r="O530" t="str">
        <f t="shared" si="51"/>
        <v>Monday</v>
      </c>
      <c r="P530">
        <f t="shared" si="48"/>
        <v>6</v>
      </c>
      <c r="Q530" s="2">
        <f t="shared" si="52"/>
        <v>1</v>
      </c>
      <c r="R530" s="2">
        <f t="shared" si="53"/>
        <v>5</v>
      </c>
      <c r="S530">
        <f>SUMIF(Table1[product_category],"Bakery",Table1[Total_bill])</f>
        <v>2951.25</v>
      </c>
    </row>
    <row r="531" spans="1:19" x14ac:dyDescent="0.3">
      <c r="A531" s="2">
        <v>10530</v>
      </c>
      <c r="B531" s="4">
        <v>46161</v>
      </c>
      <c r="C531" t="s">
        <v>685</v>
      </c>
      <c r="D531" t="s">
        <v>18</v>
      </c>
      <c r="E531" t="s">
        <v>19</v>
      </c>
      <c r="F531" t="s">
        <v>164</v>
      </c>
      <c r="G531">
        <v>3</v>
      </c>
      <c r="H531" s="5">
        <v>3.5</v>
      </c>
      <c r="I531" t="s">
        <v>32</v>
      </c>
      <c r="J531" t="s">
        <v>55</v>
      </c>
      <c r="K531" t="s">
        <v>55</v>
      </c>
      <c r="L531" t="s">
        <v>2124</v>
      </c>
      <c r="M531" s="5">
        <f t="shared" si="49"/>
        <v>10.5</v>
      </c>
      <c r="N531" t="str">
        <f t="shared" si="50"/>
        <v>May</v>
      </c>
      <c r="O531" t="str">
        <f t="shared" si="51"/>
        <v>Tuesday</v>
      </c>
      <c r="P531">
        <f t="shared" si="48"/>
        <v>17</v>
      </c>
      <c r="Q531" s="2">
        <f t="shared" si="52"/>
        <v>2</v>
      </c>
      <c r="R531" s="2">
        <f t="shared" si="53"/>
        <v>5</v>
      </c>
      <c r="S531">
        <f>SUMIF(Table1[product_category],"Bakery",Table1[Total_bill])</f>
        <v>2951.25</v>
      </c>
    </row>
    <row r="532" spans="1:19" x14ac:dyDescent="0.3">
      <c r="A532" s="2">
        <v>10531</v>
      </c>
      <c r="B532" s="4">
        <v>46162</v>
      </c>
      <c r="C532" t="s">
        <v>686</v>
      </c>
      <c r="D532" t="s">
        <v>25</v>
      </c>
      <c r="E532" t="s">
        <v>26</v>
      </c>
      <c r="F532" t="s">
        <v>166</v>
      </c>
      <c r="G532">
        <v>2</v>
      </c>
      <c r="H532" s="5">
        <v>14</v>
      </c>
      <c r="I532" t="s">
        <v>98</v>
      </c>
      <c r="J532" t="s">
        <v>98</v>
      </c>
      <c r="K532" t="s">
        <v>129</v>
      </c>
      <c r="L532" t="s">
        <v>2125</v>
      </c>
      <c r="M532" s="5">
        <f t="shared" si="49"/>
        <v>28</v>
      </c>
      <c r="N532" t="str">
        <f t="shared" si="50"/>
        <v>May</v>
      </c>
      <c r="O532" t="str">
        <f t="shared" si="51"/>
        <v>Wednesday</v>
      </c>
      <c r="P532">
        <f t="shared" si="48"/>
        <v>16</v>
      </c>
      <c r="Q532" s="2">
        <f t="shared" si="52"/>
        <v>3</v>
      </c>
      <c r="R532" s="2">
        <f t="shared" si="53"/>
        <v>5</v>
      </c>
      <c r="S532">
        <f>SUMIF(Table1[product_category],"Bakery",Table1[Total_bill])</f>
        <v>2951.25</v>
      </c>
    </row>
    <row r="533" spans="1:19" x14ac:dyDescent="0.3">
      <c r="A533" s="2">
        <v>10532</v>
      </c>
      <c r="B533" s="4">
        <v>46163</v>
      </c>
      <c r="C533" t="s">
        <v>687</v>
      </c>
      <c r="D533" t="s">
        <v>18</v>
      </c>
      <c r="E533" t="s">
        <v>19</v>
      </c>
      <c r="F533" t="s">
        <v>168</v>
      </c>
      <c r="G533">
        <v>1</v>
      </c>
      <c r="H533" s="5">
        <v>3.5</v>
      </c>
      <c r="I533" t="s">
        <v>36</v>
      </c>
      <c r="J533" t="s">
        <v>246</v>
      </c>
      <c r="K533" t="s">
        <v>247</v>
      </c>
      <c r="L533" t="s">
        <v>2123</v>
      </c>
      <c r="M533" s="5">
        <f t="shared" si="49"/>
        <v>3.5</v>
      </c>
      <c r="N533" t="str">
        <f t="shared" si="50"/>
        <v>May</v>
      </c>
      <c r="O533" t="str">
        <f t="shared" si="51"/>
        <v>Thursday</v>
      </c>
      <c r="P533">
        <f t="shared" si="48"/>
        <v>20</v>
      </c>
      <c r="Q533" s="2">
        <f t="shared" si="52"/>
        <v>4</v>
      </c>
      <c r="R533" s="2">
        <f t="shared" si="53"/>
        <v>5</v>
      </c>
      <c r="S533">
        <f>SUMIF(Table1[product_category],"Bakery",Table1[Total_bill])</f>
        <v>2951.25</v>
      </c>
    </row>
    <row r="534" spans="1:19" x14ac:dyDescent="0.3">
      <c r="A534" s="2">
        <v>10533</v>
      </c>
      <c r="B534" s="4">
        <v>46164</v>
      </c>
      <c r="C534" t="s">
        <v>688</v>
      </c>
      <c r="D534" t="s">
        <v>25</v>
      </c>
      <c r="E534" t="s">
        <v>26</v>
      </c>
      <c r="F534" t="s">
        <v>170</v>
      </c>
      <c r="G534">
        <v>1</v>
      </c>
      <c r="H534" s="5">
        <v>14</v>
      </c>
      <c r="I534" t="s">
        <v>98</v>
      </c>
      <c r="J534" t="s">
        <v>98</v>
      </c>
      <c r="K534" t="s">
        <v>129</v>
      </c>
      <c r="L534" t="s">
        <v>2125</v>
      </c>
      <c r="M534" s="5">
        <f t="shared" si="49"/>
        <v>14</v>
      </c>
      <c r="N534" t="str">
        <f t="shared" si="50"/>
        <v>May</v>
      </c>
      <c r="O534" t="str">
        <f t="shared" si="51"/>
        <v>Friday</v>
      </c>
      <c r="P534">
        <f t="shared" si="48"/>
        <v>20</v>
      </c>
      <c r="Q534" s="2">
        <f t="shared" si="52"/>
        <v>5</v>
      </c>
      <c r="R534" s="2">
        <f t="shared" si="53"/>
        <v>5</v>
      </c>
      <c r="S534">
        <f>SUMIF(Table1[product_category],"Bakery",Table1[Total_bill])</f>
        <v>2951.25</v>
      </c>
    </row>
    <row r="535" spans="1:19" x14ac:dyDescent="0.3">
      <c r="A535" s="2">
        <v>10534</v>
      </c>
      <c r="B535" s="4">
        <v>46165</v>
      </c>
      <c r="C535" t="s">
        <v>689</v>
      </c>
      <c r="D535" t="s">
        <v>18</v>
      </c>
      <c r="E535" t="s">
        <v>19</v>
      </c>
      <c r="F535" t="s">
        <v>172</v>
      </c>
      <c r="G535">
        <v>4</v>
      </c>
      <c r="H535" s="5">
        <v>3.5</v>
      </c>
      <c r="I535" t="s">
        <v>21</v>
      </c>
      <c r="J535" t="s">
        <v>51</v>
      </c>
      <c r="K535" t="s">
        <v>52</v>
      </c>
      <c r="L535" t="s">
        <v>2125</v>
      </c>
      <c r="M535" s="5">
        <f t="shared" si="49"/>
        <v>14</v>
      </c>
      <c r="N535" t="str">
        <f t="shared" si="50"/>
        <v>May</v>
      </c>
      <c r="O535" t="str">
        <f t="shared" si="51"/>
        <v>Saturday</v>
      </c>
      <c r="P535">
        <f t="shared" si="48"/>
        <v>12</v>
      </c>
      <c r="Q535" s="2">
        <f t="shared" si="52"/>
        <v>6</v>
      </c>
      <c r="R535" s="2">
        <f t="shared" si="53"/>
        <v>5</v>
      </c>
      <c r="S535">
        <f>SUMIF(Table1[product_category],"Bakery",Table1[Total_bill])</f>
        <v>2951.25</v>
      </c>
    </row>
    <row r="536" spans="1:19" x14ac:dyDescent="0.3">
      <c r="A536" s="2">
        <v>10535</v>
      </c>
      <c r="B536" s="4">
        <v>46166</v>
      </c>
      <c r="C536" t="s">
        <v>690</v>
      </c>
      <c r="D536" t="s">
        <v>25</v>
      </c>
      <c r="E536" t="s">
        <v>26</v>
      </c>
      <c r="F536" t="s">
        <v>174</v>
      </c>
      <c r="G536">
        <v>3</v>
      </c>
      <c r="H536" s="5">
        <v>2.5</v>
      </c>
      <c r="I536" t="s">
        <v>36</v>
      </c>
      <c r="J536" t="s">
        <v>37</v>
      </c>
      <c r="K536" t="s">
        <v>276</v>
      </c>
      <c r="L536" t="s">
        <v>2122</v>
      </c>
      <c r="M536" s="5">
        <f t="shared" si="49"/>
        <v>7.5</v>
      </c>
      <c r="N536" t="str">
        <f t="shared" si="50"/>
        <v>May</v>
      </c>
      <c r="O536" t="str">
        <f t="shared" si="51"/>
        <v>Sunday</v>
      </c>
      <c r="P536">
        <f t="shared" si="48"/>
        <v>15</v>
      </c>
      <c r="Q536" s="2">
        <f t="shared" si="52"/>
        <v>7</v>
      </c>
      <c r="R536" s="2">
        <f t="shared" si="53"/>
        <v>5</v>
      </c>
      <c r="S536">
        <f>SUMIF(Table1[product_category],"Bakery",Table1[Total_bill])</f>
        <v>2951.25</v>
      </c>
    </row>
    <row r="537" spans="1:19" x14ac:dyDescent="0.3">
      <c r="A537" s="2">
        <v>10536</v>
      </c>
      <c r="B537" s="4">
        <v>46167</v>
      </c>
      <c r="C537" t="s">
        <v>691</v>
      </c>
      <c r="D537" t="s">
        <v>18</v>
      </c>
      <c r="E537" t="s">
        <v>19</v>
      </c>
      <c r="F537" t="s">
        <v>176</v>
      </c>
      <c r="G537">
        <v>3</v>
      </c>
      <c r="H537" s="5">
        <v>3.75</v>
      </c>
      <c r="I537" t="s">
        <v>36</v>
      </c>
      <c r="J537" t="s">
        <v>211</v>
      </c>
      <c r="K537" t="s">
        <v>212</v>
      </c>
      <c r="L537" t="s">
        <v>2124</v>
      </c>
      <c r="M537" s="5">
        <f t="shared" si="49"/>
        <v>11.25</v>
      </c>
      <c r="N537" t="str">
        <f t="shared" si="50"/>
        <v>May</v>
      </c>
      <c r="O537" t="str">
        <f t="shared" si="51"/>
        <v>Monday</v>
      </c>
      <c r="P537">
        <f t="shared" si="48"/>
        <v>19</v>
      </c>
      <c r="Q537" s="2">
        <f t="shared" si="52"/>
        <v>1</v>
      </c>
      <c r="R537" s="2">
        <f t="shared" si="53"/>
        <v>5</v>
      </c>
      <c r="S537">
        <f>SUMIF(Table1[product_category],"Bakery",Table1[Total_bill])</f>
        <v>2951.25</v>
      </c>
    </row>
    <row r="538" spans="1:19" x14ac:dyDescent="0.3">
      <c r="A538" s="2">
        <v>10537</v>
      </c>
      <c r="B538" s="4">
        <v>46168</v>
      </c>
      <c r="C538" t="s">
        <v>692</v>
      </c>
      <c r="D538" t="s">
        <v>18</v>
      </c>
      <c r="E538" t="s">
        <v>19</v>
      </c>
      <c r="F538" t="s">
        <v>178</v>
      </c>
      <c r="G538">
        <v>4</v>
      </c>
      <c r="H538" s="5">
        <v>2.75</v>
      </c>
      <c r="I538" t="s">
        <v>32</v>
      </c>
      <c r="J538" t="s">
        <v>144</v>
      </c>
      <c r="K538" t="s">
        <v>144</v>
      </c>
      <c r="L538" t="s">
        <v>2122</v>
      </c>
      <c r="M538" s="5">
        <f t="shared" si="49"/>
        <v>11</v>
      </c>
      <c r="N538" t="str">
        <f t="shared" si="50"/>
        <v>May</v>
      </c>
      <c r="O538" t="str">
        <f t="shared" si="51"/>
        <v>Tuesday</v>
      </c>
      <c r="P538">
        <f t="shared" si="48"/>
        <v>17</v>
      </c>
      <c r="Q538" s="2">
        <f t="shared" si="52"/>
        <v>2</v>
      </c>
      <c r="R538" s="2">
        <f t="shared" si="53"/>
        <v>5</v>
      </c>
      <c r="S538">
        <f>SUMIF(Table1[product_category],"Bakery",Table1[Total_bill])</f>
        <v>2951.25</v>
      </c>
    </row>
    <row r="539" spans="1:19" x14ac:dyDescent="0.3">
      <c r="A539" s="2">
        <v>10538</v>
      </c>
      <c r="B539" s="4">
        <v>46169</v>
      </c>
      <c r="C539" t="s">
        <v>693</v>
      </c>
      <c r="D539" t="s">
        <v>18</v>
      </c>
      <c r="E539" t="s">
        <v>19</v>
      </c>
      <c r="F539" t="s">
        <v>180</v>
      </c>
      <c r="G539">
        <v>2</v>
      </c>
      <c r="H539" s="5">
        <v>4</v>
      </c>
      <c r="I539" t="s">
        <v>32</v>
      </c>
      <c r="J539" t="s">
        <v>122</v>
      </c>
      <c r="K539" t="s">
        <v>122</v>
      </c>
      <c r="L539" t="s">
        <v>2124</v>
      </c>
      <c r="M539" s="5">
        <f t="shared" si="49"/>
        <v>8</v>
      </c>
      <c r="N539" t="str">
        <f t="shared" si="50"/>
        <v>May</v>
      </c>
      <c r="O539" t="str">
        <f t="shared" si="51"/>
        <v>Wednesday</v>
      </c>
      <c r="P539">
        <f t="shared" si="48"/>
        <v>8</v>
      </c>
      <c r="Q539" s="2">
        <f t="shared" si="52"/>
        <v>3</v>
      </c>
      <c r="R539" s="2">
        <f t="shared" si="53"/>
        <v>5</v>
      </c>
      <c r="S539">
        <f>SUMIF(Table1[product_category],"Bakery",Table1[Total_bill])</f>
        <v>2951.25</v>
      </c>
    </row>
    <row r="540" spans="1:19" x14ac:dyDescent="0.3">
      <c r="A540" s="2">
        <v>10539</v>
      </c>
      <c r="B540" s="4">
        <v>46170</v>
      </c>
      <c r="C540" t="s">
        <v>694</v>
      </c>
      <c r="D540" t="s">
        <v>25</v>
      </c>
      <c r="E540" t="s">
        <v>26</v>
      </c>
      <c r="F540" t="s">
        <v>184</v>
      </c>
      <c r="G540">
        <v>2</v>
      </c>
      <c r="H540" s="5">
        <v>4.5</v>
      </c>
      <c r="I540" t="s">
        <v>89</v>
      </c>
      <c r="J540" t="s">
        <v>90</v>
      </c>
      <c r="K540" t="s">
        <v>91</v>
      </c>
      <c r="L540" t="s">
        <v>2124</v>
      </c>
      <c r="M540" s="5">
        <f t="shared" si="49"/>
        <v>9</v>
      </c>
      <c r="N540" t="str">
        <f t="shared" si="50"/>
        <v>May</v>
      </c>
      <c r="O540" t="str">
        <f t="shared" si="51"/>
        <v>Thursday</v>
      </c>
      <c r="P540">
        <f t="shared" si="48"/>
        <v>11</v>
      </c>
      <c r="Q540" s="2">
        <f t="shared" si="52"/>
        <v>4</v>
      </c>
      <c r="R540" s="2">
        <f t="shared" si="53"/>
        <v>5</v>
      </c>
      <c r="S540">
        <f>SUMIF(Table1[product_category],"Bakery",Table1[Total_bill])</f>
        <v>2951.25</v>
      </c>
    </row>
    <row r="541" spans="1:19" x14ac:dyDescent="0.3">
      <c r="A541" s="2">
        <v>10540</v>
      </c>
      <c r="B541" s="4">
        <v>46171</v>
      </c>
      <c r="C541" t="s">
        <v>695</v>
      </c>
      <c r="D541" t="s">
        <v>18</v>
      </c>
      <c r="E541" t="s">
        <v>19</v>
      </c>
      <c r="F541" t="s">
        <v>186</v>
      </c>
      <c r="G541">
        <v>4</v>
      </c>
      <c r="H541" s="5">
        <v>11</v>
      </c>
      <c r="I541" t="s">
        <v>98</v>
      </c>
      <c r="J541" t="s">
        <v>98</v>
      </c>
      <c r="K541" t="s">
        <v>215</v>
      </c>
      <c r="L541" t="s">
        <v>2125</v>
      </c>
      <c r="M541" s="5">
        <f t="shared" si="49"/>
        <v>44</v>
      </c>
      <c r="N541" t="str">
        <f t="shared" si="50"/>
        <v>May</v>
      </c>
      <c r="O541" t="str">
        <f t="shared" si="51"/>
        <v>Friday</v>
      </c>
      <c r="P541">
        <f t="shared" si="48"/>
        <v>7</v>
      </c>
      <c r="Q541" s="2">
        <f t="shared" si="52"/>
        <v>5</v>
      </c>
      <c r="R541" s="2">
        <f t="shared" si="53"/>
        <v>5</v>
      </c>
      <c r="S541">
        <f>SUMIF(Table1[product_category],"Bakery",Table1[Total_bill])</f>
        <v>2951.25</v>
      </c>
    </row>
    <row r="542" spans="1:19" x14ac:dyDescent="0.3">
      <c r="A542" s="2">
        <v>10541</v>
      </c>
      <c r="B542" s="4">
        <v>46172</v>
      </c>
      <c r="C542" t="s">
        <v>696</v>
      </c>
      <c r="D542" t="s">
        <v>25</v>
      </c>
      <c r="E542" t="s">
        <v>26</v>
      </c>
      <c r="F542" t="s">
        <v>188</v>
      </c>
      <c r="G542">
        <v>3</v>
      </c>
      <c r="H542" s="5">
        <v>5</v>
      </c>
      <c r="I542" t="s">
        <v>89</v>
      </c>
      <c r="J542" t="s">
        <v>90</v>
      </c>
      <c r="K542" t="s">
        <v>91</v>
      </c>
      <c r="L542" t="s">
        <v>2123</v>
      </c>
      <c r="M542" s="5">
        <f t="shared" si="49"/>
        <v>15</v>
      </c>
      <c r="N542" t="str">
        <f t="shared" si="50"/>
        <v>May</v>
      </c>
      <c r="O542" t="str">
        <f t="shared" si="51"/>
        <v>Saturday</v>
      </c>
      <c r="P542">
        <f t="shared" si="48"/>
        <v>20</v>
      </c>
      <c r="Q542" s="2">
        <f t="shared" si="52"/>
        <v>6</v>
      </c>
      <c r="R542" s="2">
        <f t="shared" si="53"/>
        <v>5</v>
      </c>
      <c r="S542">
        <f>SUMIF(Table1[product_category],"Bakery",Table1[Total_bill])</f>
        <v>2951.25</v>
      </c>
    </row>
    <row r="543" spans="1:19" x14ac:dyDescent="0.3">
      <c r="A543" s="2">
        <v>10542</v>
      </c>
      <c r="B543" s="4">
        <v>46173</v>
      </c>
      <c r="C543" t="s">
        <v>697</v>
      </c>
      <c r="D543" t="s">
        <v>40</v>
      </c>
      <c r="E543" t="s">
        <v>41</v>
      </c>
      <c r="F543" t="s">
        <v>190</v>
      </c>
      <c r="G543">
        <v>4</v>
      </c>
      <c r="H543" s="5">
        <v>5.5</v>
      </c>
      <c r="I543" t="s">
        <v>72</v>
      </c>
      <c r="J543" t="s">
        <v>72</v>
      </c>
      <c r="K543" t="s">
        <v>73</v>
      </c>
      <c r="L543" t="s">
        <v>2125</v>
      </c>
      <c r="M543" s="5">
        <f t="shared" si="49"/>
        <v>22</v>
      </c>
      <c r="N543" t="str">
        <f t="shared" si="50"/>
        <v>May</v>
      </c>
      <c r="O543" t="str">
        <f t="shared" si="51"/>
        <v>Sunday</v>
      </c>
      <c r="P543">
        <f t="shared" si="48"/>
        <v>13</v>
      </c>
      <c r="Q543" s="2">
        <f t="shared" si="52"/>
        <v>7</v>
      </c>
      <c r="R543" s="2">
        <f t="shared" si="53"/>
        <v>5</v>
      </c>
      <c r="S543">
        <f>SUMIF(Table1[product_category],"Bakery",Table1[Total_bill])</f>
        <v>2951.25</v>
      </c>
    </row>
    <row r="544" spans="1:19" x14ac:dyDescent="0.3">
      <c r="A544" s="2">
        <v>10543</v>
      </c>
      <c r="B544" s="4">
        <v>46174</v>
      </c>
      <c r="C544" t="s">
        <v>698</v>
      </c>
      <c r="D544" t="s">
        <v>18</v>
      </c>
      <c r="E544" t="s">
        <v>19</v>
      </c>
      <c r="F544" t="s">
        <v>192</v>
      </c>
      <c r="G544">
        <v>4</v>
      </c>
      <c r="H544" s="5">
        <v>4.5</v>
      </c>
      <c r="I544" t="s">
        <v>32</v>
      </c>
      <c r="J544" t="s">
        <v>33</v>
      </c>
      <c r="K544" t="s">
        <v>33</v>
      </c>
      <c r="L544" t="s">
        <v>2123</v>
      </c>
      <c r="M544" s="5">
        <f t="shared" si="49"/>
        <v>18</v>
      </c>
      <c r="N544" t="str">
        <f t="shared" si="50"/>
        <v>June</v>
      </c>
      <c r="O544" t="str">
        <f t="shared" si="51"/>
        <v>Monday</v>
      </c>
      <c r="P544">
        <f t="shared" si="48"/>
        <v>8</v>
      </c>
      <c r="Q544" s="2">
        <f t="shared" si="52"/>
        <v>1</v>
      </c>
      <c r="R544" s="2">
        <f t="shared" si="53"/>
        <v>6</v>
      </c>
      <c r="S544">
        <f>SUMIF(Table1[product_category],"Bakery",Table1[Total_bill])</f>
        <v>2951.25</v>
      </c>
    </row>
    <row r="545" spans="1:19" x14ac:dyDescent="0.3">
      <c r="A545" s="2">
        <v>10544</v>
      </c>
      <c r="B545" s="4">
        <v>46175</v>
      </c>
      <c r="C545" t="s">
        <v>699</v>
      </c>
      <c r="D545" t="s">
        <v>40</v>
      </c>
      <c r="E545" t="s">
        <v>41</v>
      </c>
      <c r="F545" t="s">
        <v>195</v>
      </c>
      <c r="G545">
        <v>4</v>
      </c>
      <c r="H545" s="5">
        <v>4.75</v>
      </c>
      <c r="I545" t="s">
        <v>32</v>
      </c>
      <c r="J545" t="s">
        <v>69</v>
      </c>
      <c r="K545" t="s">
        <v>69</v>
      </c>
      <c r="L545" t="s">
        <v>2123</v>
      </c>
      <c r="M545" s="5">
        <f t="shared" si="49"/>
        <v>19</v>
      </c>
      <c r="N545" t="str">
        <f t="shared" si="50"/>
        <v>June</v>
      </c>
      <c r="O545" t="str">
        <f t="shared" si="51"/>
        <v>Tuesday</v>
      </c>
      <c r="P545">
        <f t="shared" si="48"/>
        <v>14</v>
      </c>
      <c r="Q545" s="2">
        <f t="shared" si="52"/>
        <v>2</v>
      </c>
      <c r="R545" s="2">
        <f t="shared" si="53"/>
        <v>6</v>
      </c>
      <c r="S545">
        <f>SUMIF(Table1[product_category],"Bakery",Table1[Total_bill])</f>
        <v>2951.25</v>
      </c>
    </row>
    <row r="546" spans="1:19" x14ac:dyDescent="0.3">
      <c r="A546" s="2">
        <v>10545</v>
      </c>
      <c r="B546" s="4">
        <v>46176</v>
      </c>
      <c r="C546" t="s">
        <v>700</v>
      </c>
      <c r="D546" t="s">
        <v>25</v>
      </c>
      <c r="E546" t="s">
        <v>26</v>
      </c>
      <c r="F546" t="s">
        <v>197</v>
      </c>
      <c r="G546">
        <v>3</v>
      </c>
      <c r="H546" s="5">
        <v>6</v>
      </c>
      <c r="I546" t="s">
        <v>72</v>
      </c>
      <c r="J546" t="s">
        <v>72</v>
      </c>
      <c r="K546" t="s">
        <v>138</v>
      </c>
      <c r="L546" t="s">
        <v>2125</v>
      </c>
      <c r="M546" s="5">
        <f t="shared" si="49"/>
        <v>18</v>
      </c>
      <c r="N546" t="str">
        <f t="shared" si="50"/>
        <v>June</v>
      </c>
      <c r="O546" t="str">
        <f t="shared" si="51"/>
        <v>Wednesday</v>
      </c>
      <c r="P546">
        <f t="shared" si="48"/>
        <v>13</v>
      </c>
      <c r="Q546" s="2">
        <f t="shared" si="52"/>
        <v>3</v>
      </c>
      <c r="R546" s="2">
        <f t="shared" si="53"/>
        <v>6</v>
      </c>
      <c r="S546">
        <f>SUMIF(Table1[product_category],"Bakery",Table1[Total_bill])</f>
        <v>2951.25</v>
      </c>
    </row>
    <row r="547" spans="1:19" x14ac:dyDescent="0.3">
      <c r="A547" s="2">
        <v>10546</v>
      </c>
      <c r="B547" s="4">
        <v>46177</v>
      </c>
      <c r="C547" t="s">
        <v>701</v>
      </c>
      <c r="D547" t="s">
        <v>40</v>
      </c>
      <c r="E547" t="s">
        <v>41</v>
      </c>
      <c r="F547" t="s">
        <v>199</v>
      </c>
      <c r="G547">
        <v>2</v>
      </c>
      <c r="H547" s="5">
        <v>8</v>
      </c>
      <c r="I547" t="s">
        <v>28</v>
      </c>
      <c r="J547" t="s">
        <v>28</v>
      </c>
      <c r="K547" t="s">
        <v>76</v>
      </c>
      <c r="L547" t="s">
        <v>2125</v>
      </c>
      <c r="M547" s="5">
        <f t="shared" si="49"/>
        <v>16</v>
      </c>
      <c r="N547" t="str">
        <f t="shared" si="50"/>
        <v>June</v>
      </c>
      <c r="O547" t="str">
        <f t="shared" si="51"/>
        <v>Thursday</v>
      </c>
      <c r="P547">
        <f t="shared" si="48"/>
        <v>10</v>
      </c>
      <c r="Q547" s="2">
        <f t="shared" si="52"/>
        <v>4</v>
      </c>
      <c r="R547" s="2">
        <f t="shared" si="53"/>
        <v>6</v>
      </c>
      <c r="S547">
        <f>SUMIF(Table1[product_category],"Bakery",Table1[Total_bill])</f>
        <v>2951.25</v>
      </c>
    </row>
    <row r="548" spans="1:19" x14ac:dyDescent="0.3">
      <c r="A548" s="2">
        <v>10547</v>
      </c>
      <c r="B548" s="4">
        <v>46178</v>
      </c>
      <c r="C548" t="s">
        <v>702</v>
      </c>
      <c r="D548" t="s">
        <v>40</v>
      </c>
      <c r="E548" t="s">
        <v>41</v>
      </c>
      <c r="F548" t="s">
        <v>201</v>
      </c>
      <c r="G548">
        <v>1</v>
      </c>
      <c r="H548" s="5">
        <v>3.5</v>
      </c>
      <c r="I548" t="s">
        <v>32</v>
      </c>
      <c r="J548" t="s">
        <v>94</v>
      </c>
      <c r="K548" t="s">
        <v>95</v>
      </c>
      <c r="L548" t="s">
        <v>2122</v>
      </c>
      <c r="M548" s="5">
        <f t="shared" si="49"/>
        <v>3.5</v>
      </c>
      <c r="N548" t="str">
        <f t="shared" si="50"/>
        <v>June</v>
      </c>
      <c r="O548" t="str">
        <f t="shared" si="51"/>
        <v>Friday</v>
      </c>
      <c r="P548">
        <f t="shared" si="48"/>
        <v>7</v>
      </c>
      <c r="Q548" s="2">
        <f t="shared" si="52"/>
        <v>5</v>
      </c>
      <c r="R548" s="2">
        <f t="shared" si="53"/>
        <v>6</v>
      </c>
      <c r="S548">
        <f>SUMIF(Table1[product_category],"Bakery",Table1[Total_bill])</f>
        <v>2951.25</v>
      </c>
    </row>
    <row r="549" spans="1:19" x14ac:dyDescent="0.3">
      <c r="A549" s="2">
        <v>10548</v>
      </c>
      <c r="B549" s="4">
        <v>46179</v>
      </c>
      <c r="C549" t="s">
        <v>703</v>
      </c>
      <c r="D549" t="s">
        <v>40</v>
      </c>
      <c r="E549" t="s">
        <v>41</v>
      </c>
      <c r="F549" t="s">
        <v>204</v>
      </c>
      <c r="G549">
        <v>2</v>
      </c>
      <c r="H549" s="5">
        <v>2.5</v>
      </c>
      <c r="I549" t="s">
        <v>32</v>
      </c>
      <c r="J549" t="s">
        <v>226</v>
      </c>
      <c r="K549" t="s">
        <v>227</v>
      </c>
      <c r="L549" t="s">
        <v>2122</v>
      </c>
      <c r="M549" s="5">
        <f t="shared" si="49"/>
        <v>5</v>
      </c>
      <c r="N549" t="str">
        <f t="shared" si="50"/>
        <v>June</v>
      </c>
      <c r="O549" t="str">
        <f t="shared" si="51"/>
        <v>Saturday</v>
      </c>
      <c r="P549">
        <f t="shared" si="48"/>
        <v>14</v>
      </c>
      <c r="Q549" s="2">
        <f t="shared" si="52"/>
        <v>6</v>
      </c>
      <c r="R549" s="2">
        <f t="shared" si="53"/>
        <v>6</v>
      </c>
      <c r="S549">
        <f>SUMIF(Table1[product_category],"Bakery",Table1[Total_bill])</f>
        <v>2951.25</v>
      </c>
    </row>
    <row r="550" spans="1:19" x14ac:dyDescent="0.3">
      <c r="A550" s="2">
        <v>10549</v>
      </c>
      <c r="B550" s="4">
        <v>46180</v>
      </c>
      <c r="C550" t="s">
        <v>704</v>
      </c>
      <c r="D550" t="s">
        <v>40</v>
      </c>
      <c r="E550" t="s">
        <v>41</v>
      </c>
      <c r="F550" t="s">
        <v>206</v>
      </c>
      <c r="G550">
        <v>2</v>
      </c>
      <c r="H550" s="5">
        <v>3.5</v>
      </c>
      <c r="I550" t="s">
        <v>36</v>
      </c>
      <c r="J550" t="s">
        <v>37</v>
      </c>
      <c r="K550" t="s">
        <v>38</v>
      </c>
      <c r="L550" t="s">
        <v>2123</v>
      </c>
      <c r="M550" s="5">
        <f t="shared" si="49"/>
        <v>7</v>
      </c>
      <c r="N550" t="str">
        <f t="shared" si="50"/>
        <v>June</v>
      </c>
      <c r="O550" t="str">
        <f t="shared" si="51"/>
        <v>Sunday</v>
      </c>
      <c r="P550">
        <f t="shared" si="48"/>
        <v>12</v>
      </c>
      <c r="Q550" s="2">
        <f t="shared" si="52"/>
        <v>7</v>
      </c>
      <c r="R550" s="2">
        <f t="shared" si="53"/>
        <v>6</v>
      </c>
      <c r="S550">
        <f>SUMIF(Table1[product_category],"Bakery",Table1[Total_bill])</f>
        <v>2951.25</v>
      </c>
    </row>
    <row r="551" spans="1:19" x14ac:dyDescent="0.3">
      <c r="A551" s="2">
        <v>10550</v>
      </c>
      <c r="B551" s="4">
        <v>46181</v>
      </c>
      <c r="C551" t="s">
        <v>705</v>
      </c>
      <c r="D551" t="s">
        <v>40</v>
      </c>
      <c r="E551" t="s">
        <v>41</v>
      </c>
      <c r="F551" t="s">
        <v>208</v>
      </c>
      <c r="G551">
        <v>3</v>
      </c>
      <c r="H551" s="5">
        <v>4.5</v>
      </c>
      <c r="I551" t="s">
        <v>32</v>
      </c>
      <c r="J551" t="s">
        <v>33</v>
      </c>
      <c r="K551" t="s">
        <v>33</v>
      </c>
      <c r="L551" t="s">
        <v>2123</v>
      </c>
      <c r="M551" s="5">
        <f t="shared" si="49"/>
        <v>13.5</v>
      </c>
      <c r="N551" t="str">
        <f t="shared" si="50"/>
        <v>June</v>
      </c>
      <c r="O551" t="str">
        <f t="shared" si="51"/>
        <v>Monday</v>
      </c>
      <c r="P551">
        <f t="shared" si="48"/>
        <v>15</v>
      </c>
      <c r="Q551" s="2">
        <f t="shared" si="52"/>
        <v>1</v>
      </c>
      <c r="R551" s="2">
        <f t="shared" si="53"/>
        <v>6</v>
      </c>
      <c r="S551">
        <f>SUMIF(Table1[product_category],"Bakery",Table1[Total_bill])</f>
        <v>2951.25</v>
      </c>
    </row>
    <row r="552" spans="1:19" x14ac:dyDescent="0.3">
      <c r="A552" s="2">
        <v>10551</v>
      </c>
      <c r="B552" s="4">
        <v>46182</v>
      </c>
      <c r="C552" t="s">
        <v>706</v>
      </c>
      <c r="D552" t="s">
        <v>18</v>
      </c>
      <c r="E552" t="s">
        <v>19</v>
      </c>
      <c r="F552" t="s">
        <v>210</v>
      </c>
      <c r="G552">
        <v>4</v>
      </c>
      <c r="H552" s="5">
        <v>3.25</v>
      </c>
      <c r="I552" t="s">
        <v>36</v>
      </c>
      <c r="J552" t="s">
        <v>211</v>
      </c>
      <c r="K552" t="s">
        <v>212</v>
      </c>
      <c r="L552" t="s">
        <v>2122</v>
      </c>
      <c r="M552" s="5">
        <f t="shared" si="49"/>
        <v>13</v>
      </c>
      <c r="N552" t="str">
        <f t="shared" si="50"/>
        <v>June</v>
      </c>
      <c r="O552" t="str">
        <f t="shared" si="51"/>
        <v>Tuesday</v>
      </c>
      <c r="P552">
        <f t="shared" si="48"/>
        <v>12</v>
      </c>
      <c r="Q552" s="2">
        <f t="shared" si="52"/>
        <v>2</v>
      </c>
      <c r="R552" s="2">
        <f t="shared" si="53"/>
        <v>6</v>
      </c>
      <c r="S552">
        <f>SUMIF(Table1[product_category],"Bakery",Table1[Total_bill])</f>
        <v>2951.25</v>
      </c>
    </row>
    <row r="553" spans="1:19" x14ac:dyDescent="0.3">
      <c r="A553" s="2">
        <v>10552</v>
      </c>
      <c r="B553" s="4">
        <v>46183</v>
      </c>
      <c r="C553" t="s">
        <v>707</v>
      </c>
      <c r="D553" t="s">
        <v>18</v>
      </c>
      <c r="E553" t="s">
        <v>19</v>
      </c>
      <c r="F553" t="s">
        <v>214</v>
      </c>
      <c r="G553">
        <v>1</v>
      </c>
      <c r="H553" s="5">
        <v>3</v>
      </c>
      <c r="I553" t="s">
        <v>36</v>
      </c>
      <c r="J553" t="s">
        <v>37</v>
      </c>
      <c r="K553" t="s">
        <v>62</v>
      </c>
      <c r="L553" t="s">
        <v>2124</v>
      </c>
      <c r="M553" s="5">
        <f t="shared" si="49"/>
        <v>3</v>
      </c>
      <c r="N553" t="str">
        <f t="shared" si="50"/>
        <v>June</v>
      </c>
      <c r="O553" t="str">
        <f t="shared" si="51"/>
        <v>Wednesday</v>
      </c>
      <c r="P553">
        <f t="shared" si="48"/>
        <v>17</v>
      </c>
      <c r="Q553" s="2">
        <f t="shared" si="52"/>
        <v>3</v>
      </c>
      <c r="R553" s="2">
        <f t="shared" si="53"/>
        <v>6</v>
      </c>
      <c r="S553">
        <f>SUMIF(Table1[product_category],"Bakery",Table1[Total_bill])</f>
        <v>2951.25</v>
      </c>
    </row>
    <row r="554" spans="1:19" x14ac:dyDescent="0.3">
      <c r="A554" s="2">
        <v>10553</v>
      </c>
      <c r="B554" s="4">
        <v>46184</v>
      </c>
      <c r="C554" t="s">
        <v>708</v>
      </c>
      <c r="D554" t="s">
        <v>25</v>
      </c>
      <c r="E554" t="s">
        <v>26</v>
      </c>
      <c r="F554" t="s">
        <v>217</v>
      </c>
      <c r="G554">
        <v>1</v>
      </c>
      <c r="H554" s="5">
        <v>5.5</v>
      </c>
      <c r="I554" t="s">
        <v>72</v>
      </c>
      <c r="J554" t="s">
        <v>72</v>
      </c>
      <c r="K554" t="s">
        <v>141</v>
      </c>
      <c r="L554" t="s">
        <v>2125</v>
      </c>
      <c r="M554" s="5">
        <f t="shared" si="49"/>
        <v>5.5</v>
      </c>
      <c r="N554" t="str">
        <f t="shared" si="50"/>
        <v>June</v>
      </c>
      <c r="O554" t="str">
        <f t="shared" si="51"/>
        <v>Thursday</v>
      </c>
      <c r="P554">
        <f t="shared" si="48"/>
        <v>12</v>
      </c>
      <c r="Q554" s="2">
        <f t="shared" si="52"/>
        <v>4</v>
      </c>
      <c r="R554" s="2">
        <f t="shared" si="53"/>
        <v>6</v>
      </c>
      <c r="S554">
        <f>SUMIF(Table1[product_category],"Bakery",Table1[Total_bill])</f>
        <v>2951.25</v>
      </c>
    </row>
    <row r="555" spans="1:19" x14ac:dyDescent="0.3">
      <c r="A555" s="2">
        <v>10554</v>
      </c>
      <c r="B555" s="4">
        <v>46185</v>
      </c>
      <c r="C555" t="s">
        <v>709</v>
      </c>
      <c r="D555" t="s">
        <v>18</v>
      </c>
      <c r="E555" t="s">
        <v>19</v>
      </c>
      <c r="F555" t="s">
        <v>219</v>
      </c>
      <c r="G555">
        <v>1</v>
      </c>
      <c r="H555" s="5">
        <v>14</v>
      </c>
      <c r="I555" t="s">
        <v>98</v>
      </c>
      <c r="J555" t="s">
        <v>98</v>
      </c>
      <c r="K555" t="s">
        <v>129</v>
      </c>
      <c r="L555" t="s">
        <v>2125</v>
      </c>
      <c r="M555" s="5">
        <f t="shared" si="49"/>
        <v>14</v>
      </c>
      <c r="N555" t="str">
        <f t="shared" si="50"/>
        <v>June</v>
      </c>
      <c r="O555" t="str">
        <f t="shared" si="51"/>
        <v>Friday</v>
      </c>
      <c r="P555">
        <f t="shared" si="48"/>
        <v>12</v>
      </c>
      <c r="Q555" s="2">
        <f t="shared" si="52"/>
        <v>5</v>
      </c>
      <c r="R555" s="2">
        <f t="shared" si="53"/>
        <v>6</v>
      </c>
      <c r="S555">
        <f>SUMIF(Table1[product_category],"Bakery",Table1[Total_bill])</f>
        <v>2951.25</v>
      </c>
    </row>
    <row r="556" spans="1:19" x14ac:dyDescent="0.3">
      <c r="A556" s="2">
        <v>10555</v>
      </c>
      <c r="B556" s="4">
        <v>46186</v>
      </c>
      <c r="C556" t="s">
        <v>710</v>
      </c>
      <c r="D556" t="s">
        <v>25</v>
      </c>
      <c r="E556" t="s">
        <v>26</v>
      </c>
      <c r="F556" t="s">
        <v>221</v>
      </c>
      <c r="G556">
        <v>2</v>
      </c>
      <c r="H556" s="5">
        <v>13</v>
      </c>
      <c r="I556" t="s">
        <v>98</v>
      </c>
      <c r="J556" t="s">
        <v>98</v>
      </c>
      <c r="K556" t="s">
        <v>95</v>
      </c>
      <c r="L556" t="s">
        <v>2125</v>
      </c>
      <c r="M556" s="5">
        <f t="shared" si="49"/>
        <v>26</v>
      </c>
      <c r="N556" t="str">
        <f t="shared" si="50"/>
        <v>June</v>
      </c>
      <c r="O556" t="str">
        <f t="shared" si="51"/>
        <v>Saturday</v>
      </c>
      <c r="P556">
        <f t="shared" si="48"/>
        <v>17</v>
      </c>
      <c r="Q556" s="2">
        <f t="shared" si="52"/>
        <v>6</v>
      </c>
      <c r="R556" s="2">
        <f t="shared" si="53"/>
        <v>6</v>
      </c>
      <c r="S556">
        <f>SUMIF(Table1[product_category],"Bakery",Table1[Total_bill])</f>
        <v>2951.25</v>
      </c>
    </row>
    <row r="557" spans="1:19" x14ac:dyDescent="0.3">
      <c r="A557" s="2">
        <v>10556</v>
      </c>
      <c r="B557" s="4">
        <v>46187</v>
      </c>
      <c r="C557" t="s">
        <v>711</v>
      </c>
      <c r="D557" t="s">
        <v>40</v>
      </c>
      <c r="E557" t="s">
        <v>41</v>
      </c>
      <c r="F557" t="s">
        <v>223</v>
      </c>
      <c r="G557">
        <v>1</v>
      </c>
      <c r="H557" s="5">
        <v>4.5</v>
      </c>
      <c r="I557" t="s">
        <v>32</v>
      </c>
      <c r="J557" t="s">
        <v>33</v>
      </c>
      <c r="K557" t="s">
        <v>33</v>
      </c>
      <c r="L557" t="s">
        <v>2123</v>
      </c>
      <c r="M557" s="5">
        <f t="shared" si="49"/>
        <v>4.5</v>
      </c>
      <c r="N557" t="str">
        <f t="shared" si="50"/>
        <v>June</v>
      </c>
      <c r="O557" t="str">
        <f t="shared" si="51"/>
        <v>Sunday</v>
      </c>
      <c r="P557">
        <f t="shared" si="48"/>
        <v>10</v>
      </c>
      <c r="Q557" s="2">
        <f t="shared" si="52"/>
        <v>7</v>
      </c>
      <c r="R557" s="2">
        <f t="shared" si="53"/>
        <v>6</v>
      </c>
      <c r="S557">
        <f>SUMIF(Table1[product_category],"Bakery",Table1[Total_bill])</f>
        <v>2951.25</v>
      </c>
    </row>
    <row r="558" spans="1:19" x14ac:dyDescent="0.3">
      <c r="A558" s="2">
        <v>10557</v>
      </c>
      <c r="B558" s="4">
        <v>46188</v>
      </c>
      <c r="C558" t="s">
        <v>712</v>
      </c>
      <c r="D558" t="s">
        <v>40</v>
      </c>
      <c r="E558" t="s">
        <v>41</v>
      </c>
      <c r="F558" t="s">
        <v>225</v>
      </c>
      <c r="G558">
        <v>2</v>
      </c>
      <c r="H558" s="5">
        <v>4.75</v>
      </c>
      <c r="I558" t="s">
        <v>32</v>
      </c>
      <c r="J558" t="s">
        <v>122</v>
      </c>
      <c r="K558" t="s">
        <v>122</v>
      </c>
      <c r="L558" t="s">
        <v>2123</v>
      </c>
      <c r="M558" s="5">
        <f t="shared" si="49"/>
        <v>9.5</v>
      </c>
      <c r="N558" t="str">
        <f t="shared" si="50"/>
        <v>June</v>
      </c>
      <c r="O558" t="str">
        <f t="shared" si="51"/>
        <v>Monday</v>
      </c>
      <c r="P558">
        <f t="shared" si="48"/>
        <v>7</v>
      </c>
      <c r="Q558" s="2">
        <f t="shared" si="52"/>
        <v>1</v>
      </c>
      <c r="R558" s="2">
        <f t="shared" si="53"/>
        <v>6</v>
      </c>
      <c r="S558">
        <f>SUMIF(Table1[product_category],"Bakery",Table1[Total_bill])</f>
        <v>2951.25</v>
      </c>
    </row>
    <row r="559" spans="1:19" x14ac:dyDescent="0.3">
      <c r="A559" s="2">
        <v>10558</v>
      </c>
      <c r="B559" s="4">
        <v>46189</v>
      </c>
      <c r="C559" t="s">
        <v>713</v>
      </c>
      <c r="D559" t="s">
        <v>25</v>
      </c>
      <c r="E559" t="s">
        <v>26</v>
      </c>
      <c r="F559" t="s">
        <v>229</v>
      </c>
      <c r="G559">
        <v>1</v>
      </c>
      <c r="H559" s="5">
        <v>24</v>
      </c>
      <c r="I559" t="s">
        <v>101</v>
      </c>
      <c r="J559" t="s">
        <v>102</v>
      </c>
      <c r="K559" t="s">
        <v>103</v>
      </c>
      <c r="L559" t="s">
        <v>2125</v>
      </c>
      <c r="M559" s="5">
        <f t="shared" si="49"/>
        <v>24</v>
      </c>
      <c r="N559" t="str">
        <f t="shared" si="50"/>
        <v>June</v>
      </c>
      <c r="O559" t="str">
        <f t="shared" si="51"/>
        <v>Tuesday</v>
      </c>
      <c r="P559">
        <f t="shared" si="48"/>
        <v>6</v>
      </c>
      <c r="Q559" s="2">
        <f t="shared" si="52"/>
        <v>2</v>
      </c>
      <c r="R559" s="2">
        <f t="shared" si="53"/>
        <v>6</v>
      </c>
      <c r="S559">
        <f>SUMIF(Table1[product_category],"Bakery",Table1[Total_bill])</f>
        <v>2951.25</v>
      </c>
    </row>
    <row r="560" spans="1:19" x14ac:dyDescent="0.3">
      <c r="A560" s="2">
        <v>10559</v>
      </c>
      <c r="B560" s="4">
        <v>46190</v>
      </c>
      <c r="C560" t="s">
        <v>714</v>
      </c>
      <c r="D560" t="s">
        <v>40</v>
      </c>
      <c r="E560" t="s">
        <v>41</v>
      </c>
      <c r="F560" t="s">
        <v>231</v>
      </c>
      <c r="G560">
        <v>2</v>
      </c>
      <c r="H560" s="5">
        <v>3.5</v>
      </c>
      <c r="I560" t="s">
        <v>21</v>
      </c>
      <c r="J560" t="s">
        <v>51</v>
      </c>
      <c r="K560" t="s">
        <v>52</v>
      </c>
      <c r="L560" t="s">
        <v>2125</v>
      </c>
      <c r="M560" s="5">
        <f t="shared" si="49"/>
        <v>7</v>
      </c>
      <c r="N560" t="str">
        <f t="shared" si="50"/>
        <v>June</v>
      </c>
      <c r="O560" t="str">
        <f t="shared" si="51"/>
        <v>Wednesday</v>
      </c>
      <c r="P560">
        <f t="shared" si="48"/>
        <v>15</v>
      </c>
      <c r="Q560" s="2">
        <f t="shared" si="52"/>
        <v>3</v>
      </c>
      <c r="R560" s="2">
        <f t="shared" si="53"/>
        <v>6</v>
      </c>
      <c r="S560">
        <f>SUMIF(Table1[product_category],"Bakery",Table1[Total_bill])</f>
        <v>2951.25</v>
      </c>
    </row>
    <row r="561" spans="1:19" x14ac:dyDescent="0.3">
      <c r="A561" s="2">
        <v>10560</v>
      </c>
      <c r="B561" s="4">
        <v>46191</v>
      </c>
      <c r="C561" t="s">
        <v>715</v>
      </c>
      <c r="D561" t="s">
        <v>40</v>
      </c>
      <c r="E561" t="s">
        <v>41</v>
      </c>
      <c r="F561" t="s">
        <v>233</v>
      </c>
      <c r="G561">
        <v>2</v>
      </c>
      <c r="H561" s="5">
        <v>14</v>
      </c>
      <c r="I561" t="s">
        <v>98</v>
      </c>
      <c r="J561" t="s">
        <v>98</v>
      </c>
      <c r="K561" t="s">
        <v>129</v>
      </c>
      <c r="L561" t="s">
        <v>2125</v>
      </c>
      <c r="M561" s="5">
        <f t="shared" si="49"/>
        <v>28</v>
      </c>
      <c r="N561" t="str">
        <f t="shared" si="50"/>
        <v>June</v>
      </c>
      <c r="O561" t="str">
        <f t="shared" si="51"/>
        <v>Thursday</v>
      </c>
      <c r="P561">
        <f t="shared" si="48"/>
        <v>13</v>
      </c>
      <c r="Q561" s="2">
        <f t="shared" si="52"/>
        <v>4</v>
      </c>
      <c r="R561" s="2">
        <f t="shared" si="53"/>
        <v>6</v>
      </c>
      <c r="S561">
        <f>SUMIF(Table1[product_category],"Bakery",Table1[Total_bill])</f>
        <v>2951.25</v>
      </c>
    </row>
    <row r="562" spans="1:19" x14ac:dyDescent="0.3">
      <c r="A562" s="2">
        <v>10561</v>
      </c>
      <c r="B562" s="4">
        <v>46192</v>
      </c>
      <c r="C562" t="s">
        <v>716</v>
      </c>
      <c r="D562" t="s">
        <v>25</v>
      </c>
      <c r="E562" t="s">
        <v>26</v>
      </c>
      <c r="F562" t="s">
        <v>20</v>
      </c>
      <c r="G562">
        <v>4</v>
      </c>
      <c r="H562" s="5">
        <v>4</v>
      </c>
      <c r="I562" t="s">
        <v>32</v>
      </c>
      <c r="J562" t="s">
        <v>55</v>
      </c>
      <c r="K562" t="s">
        <v>55</v>
      </c>
      <c r="L562" t="s">
        <v>2123</v>
      </c>
      <c r="M562" s="5">
        <f t="shared" si="49"/>
        <v>16</v>
      </c>
      <c r="N562" t="str">
        <f t="shared" si="50"/>
        <v>June</v>
      </c>
      <c r="O562" t="str">
        <f t="shared" si="51"/>
        <v>Friday</v>
      </c>
      <c r="P562">
        <f t="shared" si="48"/>
        <v>14</v>
      </c>
      <c r="Q562" s="2">
        <f t="shared" si="52"/>
        <v>5</v>
      </c>
      <c r="R562" s="2">
        <f t="shared" si="53"/>
        <v>6</v>
      </c>
      <c r="S562">
        <f>SUMIF(Table1[product_category],"Bakery",Table1[Total_bill])</f>
        <v>2951.25</v>
      </c>
    </row>
    <row r="563" spans="1:19" x14ac:dyDescent="0.3">
      <c r="A563" s="2">
        <v>10562</v>
      </c>
      <c r="B563" s="4">
        <v>46193</v>
      </c>
      <c r="C563" t="s">
        <v>717</v>
      </c>
      <c r="D563" t="s">
        <v>25</v>
      </c>
      <c r="E563" t="s">
        <v>26</v>
      </c>
      <c r="F563" t="s">
        <v>27</v>
      </c>
      <c r="G563">
        <v>1</v>
      </c>
      <c r="H563" s="5">
        <v>3.5</v>
      </c>
      <c r="I563" t="s">
        <v>36</v>
      </c>
      <c r="J563" t="s">
        <v>246</v>
      </c>
      <c r="K563" t="s">
        <v>247</v>
      </c>
      <c r="L563" t="s">
        <v>2123</v>
      </c>
      <c r="M563" s="5">
        <f t="shared" si="49"/>
        <v>3.5</v>
      </c>
      <c r="N563" t="str">
        <f t="shared" si="50"/>
        <v>June</v>
      </c>
      <c r="O563" t="str">
        <f t="shared" si="51"/>
        <v>Saturday</v>
      </c>
      <c r="P563">
        <f t="shared" si="48"/>
        <v>8</v>
      </c>
      <c r="Q563" s="2">
        <f t="shared" si="52"/>
        <v>6</v>
      </c>
      <c r="R563" s="2">
        <f t="shared" si="53"/>
        <v>6</v>
      </c>
      <c r="S563">
        <f>SUMIF(Table1[product_category],"Bakery",Table1[Total_bill])</f>
        <v>2951.25</v>
      </c>
    </row>
    <row r="564" spans="1:19" x14ac:dyDescent="0.3">
      <c r="A564" s="2">
        <v>10563</v>
      </c>
      <c r="B564" s="4">
        <v>46194</v>
      </c>
      <c r="C564" t="s">
        <v>718</v>
      </c>
      <c r="D564" t="s">
        <v>18</v>
      </c>
      <c r="E564" t="s">
        <v>19</v>
      </c>
      <c r="F564" t="s">
        <v>31</v>
      </c>
      <c r="G564">
        <v>1</v>
      </c>
      <c r="H564" s="5">
        <v>3</v>
      </c>
      <c r="I564" t="s">
        <v>21</v>
      </c>
      <c r="J564" t="s">
        <v>181</v>
      </c>
      <c r="K564" t="s">
        <v>182</v>
      </c>
      <c r="L564" t="s">
        <v>2125</v>
      </c>
      <c r="M564" s="5">
        <f t="shared" si="49"/>
        <v>3</v>
      </c>
      <c r="N564" t="str">
        <f t="shared" si="50"/>
        <v>June</v>
      </c>
      <c r="O564" t="str">
        <f t="shared" si="51"/>
        <v>Sunday</v>
      </c>
      <c r="P564">
        <f t="shared" si="48"/>
        <v>7</v>
      </c>
      <c r="Q564" s="2">
        <f t="shared" si="52"/>
        <v>7</v>
      </c>
      <c r="R564" s="2">
        <f t="shared" si="53"/>
        <v>6</v>
      </c>
      <c r="S564">
        <f>SUMIF(Table1[product_category],"Bakery",Table1[Total_bill])</f>
        <v>2951.25</v>
      </c>
    </row>
    <row r="565" spans="1:19" x14ac:dyDescent="0.3">
      <c r="A565" s="2">
        <v>10564</v>
      </c>
      <c r="B565" s="4">
        <v>46195</v>
      </c>
      <c r="C565" t="s">
        <v>719</v>
      </c>
      <c r="D565" t="s">
        <v>25</v>
      </c>
      <c r="E565" t="s">
        <v>26</v>
      </c>
      <c r="F565" t="s">
        <v>35</v>
      </c>
      <c r="G565">
        <v>2</v>
      </c>
      <c r="H565" s="5">
        <v>24</v>
      </c>
      <c r="I565" t="s">
        <v>101</v>
      </c>
      <c r="J565" t="s">
        <v>102</v>
      </c>
      <c r="K565" t="s">
        <v>103</v>
      </c>
      <c r="L565" t="s">
        <v>2125</v>
      </c>
      <c r="M565" s="5">
        <f t="shared" si="49"/>
        <v>48</v>
      </c>
      <c r="N565" t="str">
        <f t="shared" si="50"/>
        <v>June</v>
      </c>
      <c r="O565" t="str">
        <f t="shared" si="51"/>
        <v>Monday</v>
      </c>
      <c r="P565">
        <f t="shared" si="48"/>
        <v>6</v>
      </c>
      <c r="Q565" s="2">
        <f t="shared" si="52"/>
        <v>1</v>
      </c>
      <c r="R565" s="2">
        <f t="shared" si="53"/>
        <v>6</v>
      </c>
      <c r="S565">
        <f>SUMIF(Table1[product_category],"Bakery",Table1[Total_bill])</f>
        <v>2951.25</v>
      </c>
    </row>
    <row r="566" spans="1:19" x14ac:dyDescent="0.3">
      <c r="A566" s="2">
        <v>10565</v>
      </c>
      <c r="B566" s="4">
        <v>46196</v>
      </c>
      <c r="C566" t="s">
        <v>720</v>
      </c>
      <c r="D566" t="s">
        <v>25</v>
      </c>
      <c r="E566" t="s">
        <v>26</v>
      </c>
      <c r="F566" t="s">
        <v>42</v>
      </c>
      <c r="G566">
        <v>4</v>
      </c>
      <c r="H566" s="5">
        <v>3.5</v>
      </c>
      <c r="I566" t="s">
        <v>36</v>
      </c>
      <c r="J566" t="s">
        <v>246</v>
      </c>
      <c r="K566" t="s">
        <v>247</v>
      </c>
      <c r="L566" t="s">
        <v>2123</v>
      </c>
      <c r="M566" s="5">
        <f t="shared" si="49"/>
        <v>14</v>
      </c>
      <c r="N566" t="str">
        <f t="shared" si="50"/>
        <v>June</v>
      </c>
      <c r="O566" t="str">
        <f t="shared" si="51"/>
        <v>Tuesday</v>
      </c>
      <c r="P566">
        <f t="shared" si="48"/>
        <v>10</v>
      </c>
      <c r="Q566" s="2">
        <f t="shared" si="52"/>
        <v>2</v>
      </c>
      <c r="R566" s="2">
        <f t="shared" si="53"/>
        <v>6</v>
      </c>
      <c r="S566">
        <f>SUMIF(Table1[product_category],"Bakery",Table1[Total_bill])</f>
        <v>2951.25</v>
      </c>
    </row>
    <row r="567" spans="1:19" x14ac:dyDescent="0.3">
      <c r="A567" s="2">
        <v>10566</v>
      </c>
      <c r="B567" s="4">
        <v>46197</v>
      </c>
      <c r="C567" t="s">
        <v>721</v>
      </c>
      <c r="D567" t="s">
        <v>18</v>
      </c>
      <c r="E567" t="s">
        <v>19</v>
      </c>
      <c r="F567" t="s">
        <v>46</v>
      </c>
      <c r="G567">
        <v>1</v>
      </c>
      <c r="H567" s="5">
        <v>4.75</v>
      </c>
      <c r="I567" t="s">
        <v>32</v>
      </c>
      <c r="J567" t="s">
        <v>69</v>
      </c>
      <c r="K567" t="s">
        <v>69</v>
      </c>
      <c r="L567" t="s">
        <v>2123</v>
      </c>
      <c r="M567" s="5">
        <f t="shared" si="49"/>
        <v>4.75</v>
      </c>
      <c r="N567" t="str">
        <f t="shared" si="50"/>
        <v>June</v>
      </c>
      <c r="O567" t="str">
        <f t="shared" si="51"/>
        <v>Wednesday</v>
      </c>
      <c r="P567">
        <f t="shared" si="48"/>
        <v>13</v>
      </c>
      <c r="Q567" s="2">
        <f t="shared" si="52"/>
        <v>3</v>
      </c>
      <c r="R567" s="2">
        <f t="shared" si="53"/>
        <v>6</v>
      </c>
      <c r="S567">
        <f>SUMIF(Table1[product_category],"Bakery",Table1[Total_bill])</f>
        <v>2951.25</v>
      </c>
    </row>
    <row r="568" spans="1:19" x14ac:dyDescent="0.3">
      <c r="A568" s="2">
        <v>10567</v>
      </c>
      <c r="B568" s="4">
        <v>46198</v>
      </c>
      <c r="C568" t="s">
        <v>722</v>
      </c>
      <c r="D568" t="s">
        <v>25</v>
      </c>
      <c r="E568" t="s">
        <v>26</v>
      </c>
      <c r="F568" t="s">
        <v>50</v>
      </c>
      <c r="G568">
        <v>4</v>
      </c>
      <c r="H568" s="5">
        <v>4.5</v>
      </c>
      <c r="I568" t="s">
        <v>89</v>
      </c>
      <c r="J568" t="s">
        <v>261</v>
      </c>
      <c r="K568" t="s">
        <v>261</v>
      </c>
      <c r="L568" t="s">
        <v>2123</v>
      </c>
      <c r="M568" s="5">
        <f t="shared" si="49"/>
        <v>18</v>
      </c>
      <c r="N568" t="str">
        <f t="shared" si="50"/>
        <v>June</v>
      </c>
      <c r="O568" t="str">
        <f t="shared" si="51"/>
        <v>Thursday</v>
      </c>
      <c r="P568">
        <f t="shared" si="48"/>
        <v>10</v>
      </c>
      <c r="Q568" s="2">
        <f t="shared" si="52"/>
        <v>4</v>
      </c>
      <c r="R568" s="2">
        <f t="shared" si="53"/>
        <v>6</v>
      </c>
      <c r="S568">
        <f>SUMIF(Table1[product_category],"Bakery",Table1[Total_bill])</f>
        <v>2951.25</v>
      </c>
    </row>
    <row r="569" spans="1:19" x14ac:dyDescent="0.3">
      <c r="A569" s="2">
        <v>10568</v>
      </c>
      <c r="B569" s="4">
        <v>46199</v>
      </c>
      <c r="C569" t="s">
        <v>723</v>
      </c>
      <c r="D569" t="s">
        <v>25</v>
      </c>
      <c r="E569" t="s">
        <v>26</v>
      </c>
      <c r="F569" t="s">
        <v>54</v>
      </c>
      <c r="G569">
        <v>1</v>
      </c>
      <c r="H569" s="5">
        <v>5.5</v>
      </c>
      <c r="I569" t="s">
        <v>72</v>
      </c>
      <c r="J569" t="s">
        <v>72</v>
      </c>
      <c r="K569" t="s">
        <v>141</v>
      </c>
      <c r="L569" t="s">
        <v>2125</v>
      </c>
      <c r="M569" s="5">
        <f t="shared" si="49"/>
        <v>5.5</v>
      </c>
      <c r="N569" t="str">
        <f t="shared" si="50"/>
        <v>June</v>
      </c>
      <c r="O569" t="str">
        <f t="shared" si="51"/>
        <v>Friday</v>
      </c>
      <c r="P569">
        <f t="shared" si="48"/>
        <v>11</v>
      </c>
      <c r="Q569" s="2">
        <f t="shared" si="52"/>
        <v>5</v>
      </c>
      <c r="R569" s="2">
        <f t="shared" si="53"/>
        <v>6</v>
      </c>
      <c r="S569">
        <f>SUMIF(Table1[product_category],"Bakery",Table1[Total_bill])</f>
        <v>2951.25</v>
      </c>
    </row>
    <row r="570" spans="1:19" x14ac:dyDescent="0.3">
      <c r="A570" s="2">
        <v>10569</v>
      </c>
      <c r="B570" s="4">
        <v>46200</v>
      </c>
      <c r="C570" t="s">
        <v>724</v>
      </c>
      <c r="D570" t="s">
        <v>25</v>
      </c>
      <c r="E570" t="s">
        <v>26</v>
      </c>
      <c r="F570" t="s">
        <v>57</v>
      </c>
      <c r="G570">
        <v>1</v>
      </c>
      <c r="H570" s="5">
        <v>4</v>
      </c>
      <c r="I570" t="s">
        <v>36</v>
      </c>
      <c r="J570" t="s">
        <v>110</v>
      </c>
      <c r="K570" t="s">
        <v>110</v>
      </c>
      <c r="L570" t="s">
        <v>2122</v>
      </c>
      <c r="M570" s="5">
        <f t="shared" si="49"/>
        <v>4</v>
      </c>
      <c r="N570" t="str">
        <f t="shared" si="50"/>
        <v>June</v>
      </c>
      <c r="O570" t="str">
        <f t="shared" si="51"/>
        <v>Saturday</v>
      </c>
      <c r="P570">
        <f t="shared" si="48"/>
        <v>18</v>
      </c>
      <c r="Q570" s="2">
        <f t="shared" si="52"/>
        <v>6</v>
      </c>
      <c r="R570" s="2">
        <f t="shared" si="53"/>
        <v>6</v>
      </c>
      <c r="S570">
        <f>SUMIF(Table1[product_category],"Bakery",Table1[Total_bill])</f>
        <v>2951.25</v>
      </c>
    </row>
    <row r="571" spans="1:19" x14ac:dyDescent="0.3">
      <c r="A571" s="2">
        <v>10570</v>
      </c>
      <c r="B571" s="4">
        <v>46201</v>
      </c>
      <c r="C571" t="s">
        <v>725</v>
      </c>
      <c r="D571" t="s">
        <v>18</v>
      </c>
      <c r="E571" t="s">
        <v>19</v>
      </c>
      <c r="F571" t="s">
        <v>61</v>
      </c>
      <c r="G571">
        <v>4</v>
      </c>
      <c r="H571" s="5">
        <v>3</v>
      </c>
      <c r="I571" t="s">
        <v>21</v>
      </c>
      <c r="J571" t="s">
        <v>181</v>
      </c>
      <c r="K571" t="s">
        <v>182</v>
      </c>
      <c r="L571" t="s">
        <v>2125</v>
      </c>
      <c r="M571" s="5">
        <f t="shared" si="49"/>
        <v>12</v>
      </c>
      <c r="N571" t="str">
        <f t="shared" si="50"/>
        <v>June</v>
      </c>
      <c r="O571" t="str">
        <f t="shared" si="51"/>
        <v>Sunday</v>
      </c>
      <c r="P571">
        <f t="shared" si="48"/>
        <v>9</v>
      </c>
      <c r="Q571" s="2">
        <f t="shared" si="52"/>
        <v>7</v>
      </c>
      <c r="R571" s="2">
        <f t="shared" si="53"/>
        <v>6</v>
      </c>
      <c r="S571">
        <f>SUMIF(Table1[product_category],"Bakery",Table1[Total_bill])</f>
        <v>2951.25</v>
      </c>
    </row>
    <row r="572" spans="1:19" x14ac:dyDescent="0.3">
      <c r="A572" s="2">
        <v>10571</v>
      </c>
      <c r="B572" s="4">
        <v>46202</v>
      </c>
      <c r="C572" t="s">
        <v>726</v>
      </c>
      <c r="D572" t="s">
        <v>25</v>
      </c>
      <c r="E572" t="s">
        <v>26</v>
      </c>
      <c r="F572" t="s">
        <v>64</v>
      </c>
      <c r="G572">
        <v>2</v>
      </c>
      <c r="H572" s="5">
        <v>9.5</v>
      </c>
      <c r="I572" t="s">
        <v>28</v>
      </c>
      <c r="J572" t="s">
        <v>28</v>
      </c>
      <c r="K572" t="s">
        <v>29</v>
      </c>
      <c r="L572" t="s">
        <v>2125</v>
      </c>
      <c r="M572" s="5">
        <f t="shared" si="49"/>
        <v>19</v>
      </c>
      <c r="N572" t="str">
        <f t="shared" si="50"/>
        <v>June</v>
      </c>
      <c r="O572" t="str">
        <f t="shared" si="51"/>
        <v>Monday</v>
      </c>
      <c r="P572">
        <f t="shared" si="48"/>
        <v>12</v>
      </c>
      <c r="Q572" s="2">
        <f t="shared" si="52"/>
        <v>1</v>
      </c>
      <c r="R572" s="2">
        <f t="shared" si="53"/>
        <v>6</v>
      </c>
      <c r="S572">
        <f>SUMIF(Table1[product_category],"Bakery",Table1[Total_bill])</f>
        <v>2951.25</v>
      </c>
    </row>
    <row r="573" spans="1:19" x14ac:dyDescent="0.3">
      <c r="A573" s="2">
        <v>10572</v>
      </c>
      <c r="B573" s="4">
        <v>46203</v>
      </c>
      <c r="C573" t="s">
        <v>727</v>
      </c>
      <c r="D573" t="s">
        <v>25</v>
      </c>
      <c r="E573" t="s">
        <v>26</v>
      </c>
      <c r="F573" t="s">
        <v>66</v>
      </c>
      <c r="G573">
        <v>2</v>
      </c>
      <c r="H573" s="5">
        <v>14</v>
      </c>
      <c r="I573" t="s">
        <v>101</v>
      </c>
      <c r="J573" t="s">
        <v>102</v>
      </c>
      <c r="K573" t="s">
        <v>193</v>
      </c>
      <c r="L573" t="s">
        <v>2125</v>
      </c>
      <c r="M573" s="5">
        <f t="shared" si="49"/>
        <v>28</v>
      </c>
      <c r="N573" t="str">
        <f t="shared" si="50"/>
        <v>June</v>
      </c>
      <c r="O573" t="str">
        <f t="shared" si="51"/>
        <v>Tuesday</v>
      </c>
      <c r="P573">
        <f t="shared" si="48"/>
        <v>16</v>
      </c>
      <c r="Q573" s="2">
        <f t="shared" si="52"/>
        <v>2</v>
      </c>
      <c r="R573" s="2">
        <f t="shared" si="53"/>
        <v>6</v>
      </c>
      <c r="S573">
        <f>SUMIF(Table1[product_category],"Bakery",Table1[Total_bill])</f>
        <v>2951.25</v>
      </c>
    </row>
    <row r="574" spans="1:19" x14ac:dyDescent="0.3">
      <c r="A574" s="2">
        <v>10573</v>
      </c>
      <c r="B574" s="4">
        <v>46204</v>
      </c>
      <c r="C574" t="s">
        <v>728</v>
      </c>
      <c r="D574" t="s">
        <v>40</v>
      </c>
      <c r="E574" t="s">
        <v>41</v>
      </c>
      <c r="F574" t="s">
        <v>68</v>
      </c>
      <c r="G574">
        <v>4</v>
      </c>
      <c r="H574" s="5">
        <v>4.25</v>
      </c>
      <c r="I574" t="s">
        <v>32</v>
      </c>
      <c r="J574" t="s">
        <v>69</v>
      </c>
      <c r="K574" t="s">
        <v>69</v>
      </c>
      <c r="L574" t="s">
        <v>2124</v>
      </c>
      <c r="M574" s="5">
        <f t="shared" si="49"/>
        <v>17</v>
      </c>
      <c r="N574" t="str">
        <f t="shared" si="50"/>
        <v>July</v>
      </c>
      <c r="O574" t="str">
        <f t="shared" si="51"/>
        <v>Wednesday</v>
      </c>
      <c r="P574">
        <f t="shared" si="48"/>
        <v>10</v>
      </c>
      <c r="Q574" s="2">
        <f t="shared" si="52"/>
        <v>3</v>
      </c>
      <c r="R574" s="2">
        <f t="shared" si="53"/>
        <v>7</v>
      </c>
      <c r="S574">
        <f>SUMIF(Table1[product_category],"Bakery",Table1[Total_bill])</f>
        <v>2951.25</v>
      </c>
    </row>
    <row r="575" spans="1:19" x14ac:dyDescent="0.3">
      <c r="A575" s="2">
        <v>10574</v>
      </c>
      <c r="B575" s="4">
        <v>46205</v>
      </c>
      <c r="C575" t="s">
        <v>729</v>
      </c>
      <c r="D575" t="s">
        <v>25</v>
      </c>
      <c r="E575" t="s">
        <v>26</v>
      </c>
      <c r="F575" t="s">
        <v>71</v>
      </c>
      <c r="G575">
        <v>1</v>
      </c>
      <c r="H575" s="5">
        <v>13</v>
      </c>
      <c r="I575" t="s">
        <v>98</v>
      </c>
      <c r="J575" t="s">
        <v>98</v>
      </c>
      <c r="K575" t="s">
        <v>95</v>
      </c>
      <c r="L575" t="s">
        <v>2125</v>
      </c>
      <c r="M575" s="5">
        <f t="shared" si="49"/>
        <v>13</v>
      </c>
      <c r="N575" t="str">
        <f t="shared" si="50"/>
        <v>July</v>
      </c>
      <c r="O575" t="str">
        <f t="shared" si="51"/>
        <v>Thursday</v>
      </c>
      <c r="P575">
        <f t="shared" si="48"/>
        <v>13</v>
      </c>
      <c r="Q575" s="2">
        <f t="shared" si="52"/>
        <v>4</v>
      </c>
      <c r="R575" s="2">
        <f t="shared" si="53"/>
        <v>7</v>
      </c>
      <c r="S575">
        <f>SUMIF(Table1[product_category],"Bakery",Table1[Total_bill])</f>
        <v>2951.25</v>
      </c>
    </row>
    <row r="576" spans="1:19" x14ac:dyDescent="0.3">
      <c r="A576" s="2">
        <v>10575</v>
      </c>
      <c r="B576" s="4">
        <v>46206</v>
      </c>
      <c r="C576" t="s">
        <v>730</v>
      </c>
      <c r="D576" t="s">
        <v>25</v>
      </c>
      <c r="E576" t="s">
        <v>26</v>
      </c>
      <c r="F576" t="s">
        <v>75</v>
      </c>
      <c r="G576">
        <v>2</v>
      </c>
      <c r="H576" s="5">
        <v>3.25</v>
      </c>
      <c r="I576" t="s">
        <v>21</v>
      </c>
      <c r="J576" t="s">
        <v>81</v>
      </c>
      <c r="K576" t="s">
        <v>113</v>
      </c>
      <c r="L576" t="s">
        <v>2125</v>
      </c>
      <c r="M576" s="5">
        <f t="shared" si="49"/>
        <v>6.5</v>
      </c>
      <c r="N576" t="str">
        <f t="shared" si="50"/>
        <v>July</v>
      </c>
      <c r="O576" t="str">
        <f t="shared" si="51"/>
        <v>Friday</v>
      </c>
      <c r="P576">
        <f t="shared" si="48"/>
        <v>17</v>
      </c>
      <c r="Q576" s="2">
        <f t="shared" si="52"/>
        <v>5</v>
      </c>
      <c r="R576" s="2">
        <f t="shared" si="53"/>
        <v>7</v>
      </c>
      <c r="S576">
        <f>SUMIF(Table1[product_category],"Bakery",Table1[Total_bill])</f>
        <v>2951.25</v>
      </c>
    </row>
    <row r="577" spans="1:19" x14ac:dyDescent="0.3">
      <c r="A577" s="2">
        <v>10576</v>
      </c>
      <c r="B577" s="4">
        <v>46207</v>
      </c>
      <c r="C577" t="s">
        <v>731</v>
      </c>
      <c r="D577" t="s">
        <v>25</v>
      </c>
      <c r="E577" t="s">
        <v>26</v>
      </c>
      <c r="F577" t="s">
        <v>78</v>
      </c>
      <c r="G577">
        <v>4</v>
      </c>
      <c r="H577" s="5">
        <v>1.75</v>
      </c>
      <c r="I577" t="s">
        <v>32</v>
      </c>
      <c r="J577" t="s">
        <v>43</v>
      </c>
      <c r="K577" t="s">
        <v>44</v>
      </c>
      <c r="L577" t="s">
        <v>2122</v>
      </c>
      <c r="M577" s="5">
        <f t="shared" si="49"/>
        <v>7</v>
      </c>
      <c r="N577" t="str">
        <f t="shared" si="50"/>
        <v>July</v>
      </c>
      <c r="O577" t="str">
        <f t="shared" si="51"/>
        <v>Saturday</v>
      </c>
      <c r="P577">
        <f t="shared" si="48"/>
        <v>19</v>
      </c>
      <c r="Q577" s="2">
        <f t="shared" si="52"/>
        <v>6</v>
      </c>
      <c r="R577" s="2">
        <f t="shared" si="53"/>
        <v>7</v>
      </c>
      <c r="S577">
        <f>SUMIF(Table1[product_category],"Bakery",Table1[Total_bill])</f>
        <v>2951.25</v>
      </c>
    </row>
    <row r="578" spans="1:19" x14ac:dyDescent="0.3">
      <c r="A578" s="2">
        <v>10577</v>
      </c>
      <c r="B578" s="4">
        <v>46208</v>
      </c>
      <c r="C578" t="s">
        <v>732</v>
      </c>
      <c r="D578" t="s">
        <v>18</v>
      </c>
      <c r="E578" t="s">
        <v>19</v>
      </c>
      <c r="F578" t="s">
        <v>80</v>
      </c>
      <c r="G578">
        <v>3</v>
      </c>
      <c r="H578" s="5">
        <v>4</v>
      </c>
      <c r="I578" t="s">
        <v>36</v>
      </c>
      <c r="J578" t="s">
        <v>110</v>
      </c>
      <c r="K578" t="s">
        <v>110</v>
      </c>
      <c r="L578" t="s">
        <v>2122</v>
      </c>
      <c r="M578" s="5">
        <f t="shared" si="49"/>
        <v>12</v>
      </c>
      <c r="N578" t="str">
        <f t="shared" si="50"/>
        <v>July</v>
      </c>
      <c r="O578" t="str">
        <f t="shared" si="51"/>
        <v>Sunday</v>
      </c>
      <c r="P578">
        <f t="shared" ref="P578:P641" si="54">HOUR(TIMEVALUE(C578))</f>
        <v>7</v>
      </c>
      <c r="Q578" s="2">
        <f t="shared" si="52"/>
        <v>7</v>
      </c>
      <c r="R578" s="2">
        <f t="shared" si="53"/>
        <v>7</v>
      </c>
      <c r="S578">
        <f>SUMIF(Table1[product_category],"Bakery",Table1[Total_bill])</f>
        <v>2951.25</v>
      </c>
    </row>
    <row r="579" spans="1:19" x14ac:dyDescent="0.3">
      <c r="A579" s="2">
        <v>10578</v>
      </c>
      <c r="B579" s="4">
        <v>46209</v>
      </c>
      <c r="C579" t="s">
        <v>733</v>
      </c>
      <c r="D579" t="s">
        <v>40</v>
      </c>
      <c r="E579" t="s">
        <v>41</v>
      </c>
      <c r="F579" t="s">
        <v>84</v>
      </c>
      <c r="G579">
        <v>3</v>
      </c>
      <c r="H579" s="5">
        <v>3</v>
      </c>
      <c r="I579" t="s">
        <v>32</v>
      </c>
      <c r="J579" t="s">
        <v>55</v>
      </c>
      <c r="K579" t="s">
        <v>55</v>
      </c>
      <c r="L579" t="s">
        <v>2122</v>
      </c>
      <c r="M579" s="5">
        <f t="shared" ref="M579:M642" si="55">G579*H579</f>
        <v>9</v>
      </c>
      <c r="N579" t="str">
        <f t="shared" ref="N579:N642" si="56">TEXT(B579,"mmmm")</f>
        <v>July</v>
      </c>
      <c r="O579" t="str">
        <f t="shared" ref="O579:O642" si="57">TEXT(B579,"dddd")</f>
        <v>Monday</v>
      </c>
      <c r="P579">
        <f t="shared" si="54"/>
        <v>18</v>
      </c>
      <c r="Q579" s="2">
        <f t="shared" ref="Q579:Q642" si="58">WEEKDAY(B579,2)</f>
        <v>1</v>
      </c>
      <c r="R579" s="2">
        <f t="shared" ref="R579:R642" si="59">MONTH(B579)</f>
        <v>7</v>
      </c>
      <c r="S579">
        <f>SUMIF(Table1[product_category],"Bakery",Table1[Total_bill])</f>
        <v>2951.25</v>
      </c>
    </row>
    <row r="580" spans="1:19" x14ac:dyDescent="0.3">
      <c r="A580" s="2">
        <v>10579</v>
      </c>
      <c r="B580" s="4">
        <v>46210</v>
      </c>
      <c r="C580" t="s">
        <v>734</v>
      </c>
      <c r="D580" t="s">
        <v>25</v>
      </c>
      <c r="E580" t="s">
        <v>26</v>
      </c>
      <c r="F580" t="s">
        <v>86</v>
      </c>
      <c r="G580">
        <v>1</v>
      </c>
      <c r="H580" s="5">
        <v>5</v>
      </c>
      <c r="I580" t="s">
        <v>36</v>
      </c>
      <c r="J580" t="s">
        <v>110</v>
      </c>
      <c r="K580" t="s">
        <v>110</v>
      </c>
      <c r="L580" t="s">
        <v>2123</v>
      </c>
      <c r="M580" s="5">
        <f t="shared" si="55"/>
        <v>5</v>
      </c>
      <c r="N580" t="str">
        <f t="shared" si="56"/>
        <v>July</v>
      </c>
      <c r="O580" t="str">
        <f t="shared" si="57"/>
        <v>Tuesday</v>
      </c>
      <c r="P580">
        <f t="shared" si="54"/>
        <v>11</v>
      </c>
      <c r="Q580" s="2">
        <f t="shared" si="58"/>
        <v>2</v>
      </c>
      <c r="R580" s="2">
        <f t="shared" si="59"/>
        <v>7</v>
      </c>
      <c r="S580">
        <f>SUMIF(Table1[product_category],"Bakery",Table1[Total_bill])</f>
        <v>2951.25</v>
      </c>
    </row>
    <row r="581" spans="1:19" x14ac:dyDescent="0.3">
      <c r="A581" s="2">
        <v>10580</v>
      </c>
      <c r="B581" s="4">
        <v>46211</v>
      </c>
      <c r="C581" t="s">
        <v>735</v>
      </c>
      <c r="D581" t="s">
        <v>40</v>
      </c>
      <c r="E581" t="s">
        <v>41</v>
      </c>
      <c r="F581" t="s">
        <v>88</v>
      </c>
      <c r="G581">
        <v>2</v>
      </c>
      <c r="H581" s="5">
        <v>4</v>
      </c>
      <c r="I581" t="s">
        <v>32</v>
      </c>
      <c r="J581" t="s">
        <v>94</v>
      </c>
      <c r="K581" t="s">
        <v>95</v>
      </c>
      <c r="L581" t="s">
        <v>2124</v>
      </c>
      <c r="M581" s="5">
        <f t="shared" si="55"/>
        <v>8</v>
      </c>
      <c r="N581" t="str">
        <f t="shared" si="56"/>
        <v>July</v>
      </c>
      <c r="O581" t="str">
        <f t="shared" si="57"/>
        <v>Wednesday</v>
      </c>
      <c r="P581">
        <f t="shared" si="54"/>
        <v>8</v>
      </c>
      <c r="Q581" s="2">
        <f t="shared" si="58"/>
        <v>3</v>
      </c>
      <c r="R581" s="2">
        <f t="shared" si="59"/>
        <v>7</v>
      </c>
      <c r="S581">
        <f>SUMIF(Table1[product_category],"Bakery",Table1[Total_bill])</f>
        <v>2951.25</v>
      </c>
    </row>
    <row r="582" spans="1:19" x14ac:dyDescent="0.3">
      <c r="A582" s="2">
        <v>10581</v>
      </c>
      <c r="B582" s="4">
        <v>46212</v>
      </c>
      <c r="C582" t="s">
        <v>736</v>
      </c>
      <c r="D582" t="s">
        <v>25</v>
      </c>
      <c r="E582" t="s">
        <v>26</v>
      </c>
      <c r="F582" t="s">
        <v>93</v>
      </c>
      <c r="G582">
        <v>1</v>
      </c>
      <c r="H582" s="5">
        <v>3</v>
      </c>
      <c r="I582" t="s">
        <v>32</v>
      </c>
      <c r="J582" t="s">
        <v>55</v>
      </c>
      <c r="K582" t="s">
        <v>55</v>
      </c>
      <c r="L582" t="s">
        <v>2122</v>
      </c>
      <c r="M582" s="5">
        <f t="shared" si="55"/>
        <v>3</v>
      </c>
      <c r="N582" t="str">
        <f t="shared" si="56"/>
        <v>July</v>
      </c>
      <c r="O582" t="str">
        <f t="shared" si="57"/>
        <v>Thursday</v>
      </c>
      <c r="P582">
        <f t="shared" si="54"/>
        <v>11</v>
      </c>
      <c r="Q582" s="2">
        <f t="shared" si="58"/>
        <v>4</v>
      </c>
      <c r="R582" s="2">
        <f t="shared" si="59"/>
        <v>7</v>
      </c>
      <c r="S582">
        <f>SUMIF(Table1[product_category],"Bakery",Table1[Total_bill])</f>
        <v>2951.25</v>
      </c>
    </row>
    <row r="583" spans="1:19" x14ac:dyDescent="0.3">
      <c r="A583" s="2">
        <v>10582</v>
      </c>
      <c r="B583" s="4">
        <v>46213</v>
      </c>
      <c r="C583" t="s">
        <v>737</v>
      </c>
      <c r="D583" t="s">
        <v>25</v>
      </c>
      <c r="E583" t="s">
        <v>26</v>
      </c>
      <c r="F583" t="s">
        <v>97</v>
      </c>
      <c r="G583">
        <v>4</v>
      </c>
      <c r="H583" s="5">
        <v>3</v>
      </c>
      <c r="I583" t="s">
        <v>36</v>
      </c>
      <c r="J583" t="s">
        <v>246</v>
      </c>
      <c r="K583" t="s">
        <v>247</v>
      </c>
      <c r="L583" t="s">
        <v>2124</v>
      </c>
      <c r="M583" s="5">
        <f t="shared" si="55"/>
        <v>12</v>
      </c>
      <c r="N583" t="str">
        <f t="shared" si="56"/>
        <v>July</v>
      </c>
      <c r="O583" t="str">
        <f t="shared" si="57"/>
        <v>Friday</v>
      </c>
      <c r="P583">
        <f t="shared" si="54"/>
        <v>20</v>
      </c>
      <c r="Q583" s="2">
        <f t="shared" si="58"/>
        <v>5</v>
      </c>
      <c r="R583" s="2">
        <f t="shared" si="59"/>
        <v>7</v>
      </c>
      <c r="S583">
        <f>SUMIF(Table1[product_category],"Bakery",Table1[Total_bill])</f>
        <v>2951.25</v>
      </c>
    </row>
    <row r="584" spans="1:19" x14ac:dyDescent="0.3">
      <c r="A584" s="2">
        <v>10583</v>
      </c>
      <c r="B584" s="4">
        <v>46214</v>
      </c>
      <c r="C584" t="s">
        <v>738</v>
      </c>
      <c r="D584" t="s">
        <v>25</v>
      </c>
      <c r="E584" t="s">
        <v>26</v>
      </c>
      <c r="F584" t="s">
        <v>100</v>
      </c>
      <c r="G584">
        <v>4</v>
      </c>
      <c r="H584" s="5">
        <v>3.25</v>
      </c>
      <c r="I584" t="s">
        <v>36</v>
      </c>
      <c r="J584" t="s">
        <v>211</v>
      </c>
      <c r="K584" t="s">
        <v>239</v>
      </c>
      <c r="L584" t="s">
        <v>2122</v>
      </c>
      <c r="M584" s="5">
        <f t="shared" si="55"/>
        <v>13</v>
      </c>
      <c r="N584" t="str">
        <f t="shared" si="56"/>
        <v>July</v>
      </c>
      <c r="O584" t="str">
        <f t="shared" si="57"/>
        <v>Saturday</v>
      </c>
      <c r="P584">
        <f t="shared" si="54"/>
        <v>11</v>
      </c>
      <c r="Q584" s="2">
        <f t="shared" si="58"/>
        <v>6</v>
      </c>
      <c r="R584" s="2">
        <f t="shared" si="59"/>
        <v>7</v>
      </c>
      <c r="S584">
        <f>SUMIF(Table1[product_category],"Bakery",Table1[Total_bill])</f>
        <v>2951.25</v>
      </c>
    </row>
    <row r="585" spans="1:19" x14ac:dyDescent="0.3">
      <c r="A585" s="2">
        <v>10584</v>
      </c>
      <c r="B585" s="4">
        <v>46215</v>
      </c>
      <c r="C585" t="s">
        <v>739</v>
      </c>
      <c r="D585" t="s">
        <v>40</v>
      </c>
      <c r="E585" t="s">
        <v>41</v>
      </c>
      <c r="F585" t="s">
        <v>105</v>
      </c>
      <c r="G585">
        <v>3</v>
      </c>
      <c r="H585" s="5">
        <v>3.25</v>
      </c>
      <c r="I585" t="s">
        <v>21</v>
      </c>
      <c r="J585" t="s">
        <v>81</v>
      </c>
      <c r="K585" t="s">
        <v>82</v>
      </c>
      <c r="L585" t="s">
        <v>2125</v>
      </c>
      <c r="M585" s="5">
        <f t="shared" si="55"/>
        <v>9.75</v>
      </c>
      <c r="N585" t="str">
        <f t="shared" si="56"/>
        <v>July</v>
      </c>
      <c r="O585" t="str">
        <f t="shared" si="57"/>
        <v>Sunday</v>
      </c>
      <c r="P585">
        <f t="shared" si="54"/>
        <v>9</v>
      </c>
      <c r="Q585" s="2">
        <f t="shared" si="58"/>
        <v>7</v>
      </c>
      <c r="R585" s="2">
        <f t="shared" si="59"/>
        <v>7</v>
      </c>
      <c r="S585">
        <f>SUMIF(Table1[product_category],"Bakery",Table1[Total_bill])</f>
        <v>2951.25</v>
      </c>
    </row>
    <row r="586" spans="1:19" x14ac:dyDescent="0.3">
      <c r="A586" s="2">
        <v>10585</v>
      </c>
      <c r="B586" s="4">
        <v>46216</v>
      </c>
      <c r="C586" t="s">
        <v>740</v>
      </c>
      <c r="D586" t="s">
        <v>25</v>
      </c>
      <c r="E586" t="s">
        <v>26</v>
      </c>
      <c r="F586" t="s">
        <v>107</v>
      </c>
      <c r="G586">
        <v>1</v>
      </c>
      <c r="H586" s="5">
        <v>14</v>
      </c>
      <c r="I586" t="s">
        <v>101</v>
      </c>
      <c r="J586" t="s">
        <v>102</v>
      </c>
      <c r="K586" t="s">
        <v>193</v>
      </c>
      <c r="L586" t="s">
        <v>2125</v>
      </c>
      <c r="M586" s="5">
        <f t="shared" si="55"/>
        <v>14</v>
      </c>
      <c r="N586" t="str">
        <f t="shared" si="56"/>
        <v>July</v>
      </c>
      <c r="O586" t="str">
        <f t="shared" si="57"/>
        <v>Monday</v>
      </c>
      <c r="P586">
        <f t="shared" si="54"/>
        <v>13</v>
      </c>
      <c r="Q586" s="2">
        <f t="shared" si="58"/>
        <v>1</v>
      </c>
      <c r="R586" s="2">
        <f t="shared" si="59"/>
        <v>7</v>
      </c>
      <c r="S586">
        <f>SUMIF(Table1[product_category],"Bakery",Table1[Total_bill])</f>
        <v>2951.25</v>
      </c>
    </row>
    <row r="587" spans="1:19" x14ac:dyDescent="0.3">
      <c r="A587" s="2">
        <v>10586</v>
      </c>
      <c r="B587" s="4">
        <v>46217</v>
      </c>
      <c r="C587" t="s">
        <v>741</v>
      </c>
      <c r="D587" t="s">
        <v>18</v>
      </c>
      <c r="E587" t="s">
        <v>19</v>
      </c>
      <c r="F587" t="s">
        <v>109</v>
      </c>
      <c r="G587">
        <v>1</v>
      </c>
      <c r="H587" s="5">
        <v>3.25</v>
      </c>
      <c r="I587" t="s">
        <v>32</v>
      </c>
      <c r="J587" t="s">
        <v>226</v>
      </c>
      <c r="K587" t="s">
        <v>273</v>
      </c>
      <c r="L587" t="s">
        <v>2124</v>
      </c>
      <c r="M587" s="5">
        <f t="shared" si="55"/>
        <v>3.25</v>
      </c>
      <c r="N587" t="str">
        <f t="shared" si="56"/>
        <v>July</v>
      </c>
      <c r="O587" t="str">
        <f t="shared" si="57"/>
        <v>Tuesday</v>
      </c>
      <c r="P587">
        <f t="shared" si="54"/>
        <v>8</v>
      </c>
      <c r="Q587" s="2">
        <f t="shared" si="58"/>
        <v>2</v>
      </c>
      <c r="R587" s="2">
        <f t="shared" si="59"/>
        <v>7</v>
      </c>
      <c r="S587">
        <f>SUMIF(Table1[product_category],"Bakery",Table1[Total_bill])</f>
        <v>2951.25</v>
      </c>
    </row>
    <row r="588" spans="1:19" x14ac:dyDescent="0.3">
      <c r="A588" s="2">
        <v>10587</v>
      </c>
      <c r="B588" s="4">
        <v>46218</v>
      </c>
      <c r="C588" t="s">
        <v>742</v>
      </c>
      <c r="D588" t="s">
        <v>40</v>
      </c>
      <c r="E588" t="s">
        <v>41</v>
      </c>
      <c r="F588" t="s">
        <v>112</v>
      </c>
      <c r="G588">
        <v>1</v>
      </c>
      <c r="H588" s="5">
        <v>3.25</v>
      </c>
      <c r="I588" t="s">
        <v>21</v>
      </c>
      <c r="J588" t="s">
        <v>81</v>
      </c>
      <c r="K588" t="s">
        <v>82</v>
      </c>
      <c r="L588" t="s">
        <v>2125</v>
      </c>
      <c r="M588" s="5">
        <f t="shared" si="55"/>
        <v>3.25</v>
      </c>
      <c r="N588" t="str">
        <f t="shared" si="56"/>
        <v>July</v>
      </c>
      <c r="O588" t="str">
        <f t="shared" si="57"/>
        <v>Wednesday</v>
      </c>
      <c r="P588">
        <f t="shared" si="54"/>
        <v>7</v>
      </c>
      <c r="Q588" s="2">
        <f t="shared" si="58"/>
        <v>3</v>
      </c>
      <c r="R588" s="2">
        <f t="shared" si="59"/>
        <v>7</v>
      </c>
      <c r="S588">
        <f>SUMIF(Table1[product_category],"Bakery",Table1[Total_bill])</f>
        <v>2951.25</v>
      </c>
    </row>
    <row r="589" spans="1:19" x14ac:dyDescent="0.3">
      <c r="A589" s="2">
        <v>10588</v>
      </c>
      <c r="B589" s="4">
        <v>46219</v>
      </c>
      <c r="C589" t="s">
        <v>743</v>
      </c>
      <c r="D589" t="s">
        <v>40</v>
      </c>
      <c r="E589" t="s">
        <v>41</v>
      </c>
      <c r="F589" t="s">
        <v>115</v>
      </c>
      <c r="G589">
        <v>3</v>
      </c>
      <c r="H589" s="5">
        <v>3</v>
      </c>
      <c r="I589" t="s">
        <v>36</v>
      </c>
      <c r="J589" t="s">
        <v>37</v>
      </c>
      <c r="K589" t="s">
        <v>38</v>
      </c>
      <c r="L589" t="s">
        <v>2124</v>
      </c>
      <c r="M589" s="5">
        <f t="shared" si="55"/>
        <v>9</v>
      </c>
      <c r="N589" t="str">
        <f t="shared" si="56"/>
        <v>July</v>
      </c>
      <c r="O589" t="str">
        <f t="shared" si="57"/>
        <v>Thursday</v>
      </c>
      <c r="P589">
        <f t="shared" si="54"/>
        <v>7</v>
      </c>
      <c r="Q589" s="2">
        <f t="shared" si="58"/>
        <v>4</v>
      </c>
      <c r="R589" s="2">
        <f t="shared" si="59"/>
        <v>7</v>
      </c>
      <c r="S589">
        <f>SUMIF(Table1[product_category],"Bakery",Table1[Total_bill])</f>
        <v>2951.25</v>
      </c>
    </row>
    <row r="590" spans="1:19" x14ac:dyDescent="0.3">
      <c r="A590" s="2">
        <v>10589</v>
      </c>
      <c r="B590" s="4">
        <v>46220</v>
      </c>
      <c r="C590" t="s">
        <v>512</v>
      </c>
      <c r="D590" t="s">
        <v>40</v>
      </c>
      <c r="E590" t="s">
        <v>41</v>
      </c>
      <c r="F590" t="s">
        <v>117</v>
      </c>
      <c r="G590">
        <v>2</v>
      </c>
      <c r="H590" s="5">
        <v>6</v>
      </c>
      <c r="I590" t="s">
        <v>72</v>
      </c>
      <c r="J590" t="s">
        <v>72</v>
      </c>
      <c r="K590" t="s">
        <v>138</v>
      </c>
      <c r="L590" t="s">
        <v>2125</v>
      </c>
      <c r="M590" s="5">
        <f t="shared" si="55"/>
        <v>12</v>
      </c>
      <c r="N590" t="str">
        <f t="shared" si="56"/>
        <v>July</v>
      </c>
      <c r="O590" t="str">
        <f t="shared" si="57"/>
        <v>Friday</v>
      </c>
      <c r="P590">
        <f t="shared" si="54"/>
        <v>7</v>
      </c>
      <c r="Q590" s="2">
        <f t="shared" si="58"/>
        <v>5</v>
      </c>
      <c r="R590" s="2">
        <f t="shared" si="59"/>
        <v>7</v>
      </c>
      <c r="S590">
        <f>SUMIF(Table1[product_category],"Bakery",Table1[Total_bill])</f>
        <v>2951.25</v>
      </c>
    </row>
    <row r="591" spans="1:19" x14ac:dyDescent="0.3">
      <c r="A591" s="2">
        <v>10590</v>
      </c>
      <c r="B591" s="4">
        <v>46221</v>
      </c>
      <c r="C591" t="s">
        <v>744</v>
      </c>
      <c r="D591" t="s">
        <v>25</v>
      </c>
      <c r="E591" t="s">
        <v>26</v>
      </c>
      <c r="F591" t="s">
        <v>119</v>
      </c>
      <c r="G591">
        <v>4</v>
      </c>
      <c r="H591" s="5">
        <v>4.25</v>
      </c>
      <c r="I591" t="s">
        <v>32</v>
      </c>
      <c r="J591" t="s">
        <v>202</v>
      </c>
      <c r="K591" t="s">
        <v>202</v>
      </c>
      <c r="L591" t="s">
        <v>2124</v>
      </c>
      <c r="M591" s="5">
        <f t="shared" si="55"/>
        <v>17</v>
      </c>
      <c r="N591" t="str">
        <f t="shared" si="56"/>
        <v>July</v>
      </c>
      <c r="O591" t="str">
        <f t="shared" si="57"/>
        <v>Saturday</v>
      </c>
      <c r="P591">
        <f t="shared" si="54"/>
        <v>7</v>
      </c>
      <c r="Q591" s="2">
        <f t="shared" si="58"/>
        <v>6</v>
      </c>
      <c r="R591" s="2">
        <f t="shared" si="59"/>
        <v>7</v>
      </c>
      <c r="S591">
        <f>SUMIF(Table1[product_category],"Bakery",Table1[Total_bill])</f>
        <v>2951.25</v>
      </c>
    </row>
    <row r="592" spans="1:19" x14ac:dyDescent="0.3">
      <c r="A592" s="2">
        <v>10591</v>
      </c>
      <c r="B592" s="4">
        <v>46222</v>
      </c>
      <c r="C592" t="s">
        <v>745</v>
      </c>
      <c r="D592" t="s">
        <v>40</v>
      </c>
      <c r="E592" t="s">
        <v>41</v>
      </c>
      <c r="F592" t="s">
        <v>121</v>
      </c>
      <c r="G592">
        <v>1</v>
      </c>
      <c r="H592" s="5">
        <v>2.25</v>
      </c>
      <c r="I592" t="s">
        <v>32</v>
      </c>
      <c r="J592" t="s">
        <v>43</v>
      </c>
      <c r="K592" t="s">
        <v>44</v>
      </c>
      <c r="L592" t="s">
        <v>2124</v>
      </c>
      <c r="M592" s="5">
        <f t="shared" si="55"/>
        <v>2.25</v>
      </c>
      <c r="N592" t="str">
        <f t="shared" si="56"/>
        <v>July</v>
      </c>
      <c r="O592" t="str">
        <f t="shared" si="57"/>
        <v>Sunday</v>
      </c>
      <c r="P592">
        <f t="shared" si="54"/>
        <v>7</v>
      </c>
      <c r="Q592" s="2">
        <f t="shared" si="58"/>
        <v>7</v>
      </c>
      <c r="R592" s="2">
        <f t="shared" si="59"/>
        <v>7</v>
      </c>
      <c r="S592">
        <f>SUMIF(Table1[product_category],"Bakery",Table1[Total_bill])</f>
        <v>2951.25</v>
      </c>
    </row>
    <row r="593" spans="1:19" x14ac:dyDescent="0.3">
      <c r="A593" s="2">
        <v>10592</v>
      </c>
      <c r="B593" s="4">
        <v>46223</v>
      </c>
      <c r="C593" t="s">
        <v>746</v>
      </c>
      <c r="D593" t="s">
        <v>18</v>
      </c>
      <c r="E593" t="s">
        <v>19</v>
      </c>
      <c r="F593" t="s">
        <v>124</v>
      </c>
      <c r="G593">
        <v>1</v>
      </c>
      <c r="H593" s="5">
        <v>3.25</v>
      </c>
      <c r="I593" t="s">
        <v>21</v>
      </c>
      <c r="J593" t="s">
        <v>81</v>
      </c>
      <c r="K593" t="s">
        <v>113</v>
      </c>
      <c r="L593" t="s">
        <v>2125</v>
      </c>
      <c r="M593" s="5">
        <f t="shared" si="55"/>
        <v>3.25</v>
      </c>
      <c r="N593" t="str">
        <f t="shared" si="56"/>
        <v>July</v>
      </c>
      <c r="O593" t="str">
        <f t="shared" si="57"/>
        <v>Monday</v>
      </c>
      <c r="P593">
        <f t="shared" si="54"/>
        <v>14</v>
      </c>
      <c r="Q593" s="2">
        <f t="shared" si="58"/>
        <v>1</v>
      </c>
      <c r="R593" s="2">
        <f t="shared" si="59"/>
        <v>7</v>
      </c>
      <c r="S593">
        <f>SUMIF(Table1[product_category],"Bakery",Table1[Total_bill])</f>
        <v>2951.25</v>
      </c>
    </row>
    <row r="594" spans="1:19" x14ac:dyDescent="0.3">
      <c r="A594" s="2">
        <v>10593</v>
      </c>
      <c r="B594" s="4">
        <v>46224</v>
      </c>
      <c r="C594" t="s">
        <v>747</v>
      </c>
      <c r="D594" t="s">
        <v>40</v>
      </c>
      <c r="E594" t="s">
        <v>41</v>
      </c>
      <c r="F594" t="s">
        <v>126</v>
      </c>
      <c r="G594">
        <v>1</v>
      </c>
      <c r="H594" s="5">
        <v>6</v>
      </c>
      <c r="I594" t="s">
        <v>72</v>
      </c>
      <c r="J594" t="s">
        <v>72</v>
      </c>
      <c r="K594" t="s">
        <v>138</v>
      </c>
      <c r="L594" t="s">
        <v>2125</v>
      </c>
      <c r="M594" s="5">
        <f t="shared" si="55"/>
        <v>6</v>
      </c>
      <c r="N594" t="str">
        <f t="shared" si="56"/>
        <v>July</v>
      </c>
      <c r="O594" t="str">
        <f t="shared" si="57"/>
        <v>Tuesday</v>
      </c>
      <c r="P594">
        <f t="shared" si="54"/>
        <v>8</v>
      </c>
      <c r="Q594" s="2">
        <f t="shared" si="58"/>
        <v>2</v>
      </c>
      <c r="R594" s="2">
        <f t="shared" si="59"/>
        <v>7</v>
      </c>
      <c r="S594">
        <f>SUMIF(Table1[product_category],"Bakery",Table1[Total_bill])</f>
        <v>2951.25</v>
      </c>
    </row>
    <row r="595" spans="1:19" x14ac:dyDescent="0.3">
      <c r="A595" s="2">
        <v>10594</v>
      </c>
      <c r="B595" s="4">
        <v>46225</v>
      </c>
      <c r="C595" t="s">
        <v>748</v>
      </c>
      <c r="D595" t="s">
        <v>25</v>
      </c>
      <c r="E595" t="s">
        <v>26</v>
      </c>
      <c r="F595" t="s">
        <v>128</v>
      </c>
      <c r="G595">
        <v>4</v>
      </c>
      <c r="H595" s="5">
        <v>2.75</v>
      </c>
      <c r="I595" t="s">
        <v>32</v>
      </c>
      <c r="J595" t="s">
        <v>226</v>
      </c>
      <c r="K595" t="s">
        <v>273</v>
      </c>
      <c r="L595" t="s">
        <v>2122</v>
      </c>
      <c r="M595" s="5">
        <f t="shared" si="55"/>
        <v>11</v>
      </c>
      <c r="N595" t="str">
        <f t="shared" si="56"/>
        <v>July</v>
      </c>
      <c r="O595" t="str">
        <f t="shared" si="57"/>
        <v>Wednesday</v>
      </c>
      <c r="P595">
        <f t="shared" si="54"/>
        <v>9</v>
      </c>
      <c r="Q595" s="2">
        <f t="shared" si="58"/>
        <v>3</v>
      </c>
      <c r="R595" s="2">
        <f t="shared" si="59"/>
        <v>7</v>
      </c>
      <c r="S595">
        <f>SUMIF(Table1[product_category],"Bakery",Table1[Total_bill])</f>
        <v>2951.25</v>
      </c>
    </row>
    <row r="596" spans="1:19" x14ac:dyDescent="0.3">
      <c r="A596" s="2">
        <v>10595</v>
      </c>
      <c r="B596" s="4">
        <v>46226</v>
      </c>
      <c r="C596" t="s">
        <v>749</v>
      </c>
      <c r="D596" t="s">
        <v>40</v>
      </c>
      <c r="E596" t="s">
        <v>41</v>
      </c>
      <c r="F596" t="s">
        <v>131</v>
      </c>
      <c r="G596">
        <v>1</v>
      </c>
      <c r="H596" s="5">
        <v>4.5</v>
      </c>
      <c r="I596" t="s">
        <v>32</v>
      </c>
      <c r="J596" t="s">
        <v>33</v>
      </c>
      <c r="K596" t="s">
        <v>33</v>
      </c>
      <c r="L596" t="s">
        <v>2123</v>
      </c>
      <c r="M596" s="5">
        <f t="shared" si="55"/>
        <v>4.5</v>
      </c>
      <c r="N596" t="str">
        <f t="shared" si="56"/>
        <v>July</v>
      </c>
      <c r="O596" t="str">
        <f t="shared" si="57"/>
        <v>Thursday</v>
      </c>
      <c r="P596">
        <f t="shared" si="54"/>
        <v>18</v>
      </c>
      <c r="Q596" s="2">
        <f t="shared" si="58"/>
        <v>4</v>
      </c>
      <c r="R596" s="2">
        <f t="shared" si="59"/>
        <v>7</v>
      </c>
      <c r="S596">
        <f>SUMIF(Table1[product_category],"Bakery",Table1[Total_bill])</f>
        <v>2951.25</v>
      </c>
    </row>
    <row r="597" spans="1:19" x14ac:dyDescent="0.3">
      <c r="A597" s="2">
        <v>10596</v>
      </c>
      <c r="B597" s="4">
        <v>46227</v>
      </c>
      <c r="C597" t="s">
        <v>750</v>
      </c>
      <c r="D597" t="s">
        <v>40</v>
      </c>
      <c r="E597" t="s">
        <v>41</v>
      </c>
      <c r="F597" t="s">
        <v>133</v>
      </c>
      <c r="G597">
        <v>1</v>
      </c>
      <c r="H597" s="5">
        <v>4.75</v>
      </c>
      <c r="I597" t="s">
        <v>32</v>
      </c>
      <c r="J597" t="s">
        <v>69</v>
      </c>
      <c r="K597" t="s">
        <v>69</v>
      </c>
      <c r="L597" t="s">
        <v>2123</v>
      </c>
      <c r="M597" s="5">
        <f t="shared" si="55"/>
        <v>4.75</v>
      </c>
      <c r="N597" t="str">
        <f t="shared" si="56"/>
        <v>July</v>
      </c>
      <c r="O597" t="str">
        <f t="shared" si="57"/>
        <v>Friday</v>
      </c>
      <c r="P597">
        <f t="shared" si="54"/>
        <v>11</v>
      </c>
      <c r="Q597" s="2">
        <f t="shared" si="58"/>
        <v>5</v>
      </c>
      <c r="R597" s="2">
        <f t="shared" si="59"/>
        <v>7</v>
      </c>
      <c r="S597">
        <f>SUMIF(Table1[product_category],"Bakery",Table1[Total_bill])</f>
        <v>2951.25</v>
      </c>
    </row>
    <row r="598" spans="1:19" x14ac:dyDescent="0.3">
      <c r="A598" s="2">
        <v>10597</v>
      </c>
      <c r="B598" s="4">
        <v>46228</v>
      </c>
      <c r="C598" t="s">
        <v>751</v>
      </c>
      <c r="D598" t="s">
        <v>25</v>
      </c>
      <c r="E598" t="s">
        <v>26</v>
      </c>
      <c r="F598" t="s">
        <v>135</v>
      </c>
      <c r="G598">
        <v>3</v>
      </c>
      <c r="H598" s="5">
        <v>3</v>
      </c>
      <c r="I598" t="s">
        <v>21</v>
      </c>
      <c r="J598" t="s">
        <v>181</v>
      </c>
      <c r="K598" t="s">
        <v>182</v>
      </c>
      <c r="L598" t="s">
        <v>2125</v>
      </c>
      <c r="M598" s="5">
        <f t="shared" si="55"/>
        <v>9</v>
      </c>
      <c r="N598" t="str">
        <f t="shared" si="56"/>
        <v>July</v>
      </c>
      <c r="O598" t="str">
        <f t="shared" si="57"/>
        <v>Saturday</v>
      </c>
      <c r="P598">
        <f t="shared" si="54"/>
        <v>14</v>
      </c>
      <c r="Q598" s="2">
        <f t="shared" si="58"/>
        <v>6</v>
      </c>
      <c r="R598" s="2">
        <f t="shared" si="59"/>
        <v>7</v>
      </c>
      <c r="S598">
        <f>SUMIF(Table1[product_category],"Bakery",Table1[Total_bill])</f>
        <v>2951.25</v>
      </c>
    </row>
    <row r="599" spans="1:19" x14ac:dyDescent="0.3">
      <c r="A599" s="2">
        <v>10598</v>
      </c>
      <c r="B599" s="4">
        <v>46229</v>
      </c>
      <c r="C599" t="s">
        <v>752</v>
      </c>
      <c r="D599" t="s">
        <v>40</v>
      </c>
      <c r="E599" t="s">
        <v>41</v>
      </c>
      <c r="F599" t="s">
        <v>137</v>
      </c>
      <c r="G599">
        <v>3</v>
      </c>
      <c r="H599" s="5">
        <v>3.25</v>
      </c>
      <c r="I599" t="s">
        <v>21</v>
      </c>
      <c r="J599" t="s">
        <v>81</v>
      </c>
      <c r="K599" t="s">
        <v>82</v>
      </c>
      <c r="L599" t="s">
        <v>2125</v>
      </c>
      <c r="M599" s="5">
        <f t="shared" si="55"/>
        <v>9.75</v>
      </c>
      <c r="N599" t="str">
        <f t="shared" si="56"/>
        <v>July</v>
      </c>
      <c r="O599" t="str">
        <f t="shared" si="57"/>
        <v>Sunday</v>
      </c>
      <c r="P599">
        <f t="shared" si="54"/>
        <v>8</v>
      </c>
      <c r="Q599" s="2">
        <f t="shared" si="58"/>
        <v>7</v>
      </c>
      <c r="R599" s="2">
        <f t="shared" si="59"/>
        <v>7</v>
      </c>
      <c r="S599">
        <f>SUMIF(Table1[product_category],"Bakery",Table1[Total_bill])</f>
        <v>2951.25</v>
      </c>
    </row>
    <row r="600" spans="1:19" x14ac:dyDescent="0.3">
      <c r="A600" s="2">
        <v>10599</v>
      </c>
      <c r="B600" s="4">
        <v>46230</v>
      </c>
      <c r="C600" t="s">
        <v>753</v>
      </c>
      <c r="D600" t="s">
        <v>25</v>
      </c>
      <c r="E600" t="s">
        <v>26</v>
      </c>
      <c r="F600" t="s">
        <v>140</v>
      </c>
      <c r="G600">
        <v>1</v>
      </c>
      <c r="H600" s="5">
        <v>2.5</v>
      </c>
      <c r="I600" t="s">
        <v>36</v>
      </c>
      <c r="J600" t="s">
        <v>37</v>
      </c>
      <c r="K600" t="s">
        <v>38</v>
      </c>
      <c r="L600" t="s">
        <v>2122</v>
      </c>
      <c r="M600" s="5">
        <f t="shared" si="55"/>
        <v>2.5</v>
      </c>
      <c r="N600" t="str">
        <f t="shared" si="56"/>
        <v>July</v>
      </c>
      <c r="O600" t="str">
        <f t="shared" si="57"/>
        <v>Monday</v>
      </c>
      <c r="P600">
        <f t="shared" si="54"/>
        <v>8</v>
      </c>
      <c r="Q600" s="2">
        <f t="shared" si="58"/>
        <v>1</v>
      </c>
      <c r="R600" s="2">
        <f t="shared" si="59"/>
        <v>7</v>
      </c>
      <c r="S600">
        <f>SUMIF(Table1[product_category],"Bakery",Table1[Total_bill])</f>
        <v>2951.25</v>
      </c>
    </row>
    <row r="601" spans="1:19" x14ac:dyDescent="0.3">
      <c r="A601" s="2">
        <v>10600</v>
      </c>
      <c r="B601" s="4">
        <v>46231</v>
      </c>
      <c r="C601" t="s">
        <v>754</v>
      </c>
      <c r="D601" t="s">
        <v>40</v>
      </c>
      <c r="E601" t="s">
        <v>41</v>
      </c>
      <c r="F601" t="s">
        <v>143</v>
      </c>
      <c r="G601">
        <v>3</v>
      </c>
      <c r="H601" s="5">
        <v>5.5</v>
      </c>
      <c r="I601" t="s">
        <v>72</v>
      </c>
      <c r="J601" t="s">
        <v>72</v>
      </c>
      <c r="K601" t="s">
        <v>73</v>
      </c>
      <c r="L601" t="s">
        <v>2125</v>
      </c>
      <c r="M601" s="5">
        <f t="shared" si="55"/>
        <v>16.5</v>
      </c>
      <c r="N601" t="str">
        <f t="shared" si="56"/>
        <v>July</v>
      </c>
      <c r="O601" t="str">
        <f t="shared" si="57"/>
        <v>Tuesday</v>
      </c>
      <c r="P601">
        <f t="shared" si="54"/>
        <v>6</v>
      </c>
      <c r="Q601" s="2">
        <f t="shared" si="58"/>
        <v>2</v>
      </c>
      <c r="R601" s="2">
        <f t="shared" si="59"/>
        <v>7</v>
      </c>
      <c r="S601">
        <f>SUMIF(Table1[product_category],"Bakery",Table1[Total_bill])</f>
        <v>2951.25</v>
      </c>
    </row>
    <row r="602" spans="1:19" x14ac:dyDescent="0.3">
      <c r="A602" s="2">
        <v>10601</v>
      </c>
      <c r="B602" s="4">
        <v>46232</v>
      </c>
      <c r="C602" t="s">
        <v>755</v>
      </c>
      <c r="D602" t="s">
        <v>40</v>
      </c>
      <c r="E602" t="s">
        <v>41</v>
      </c>
      <c r="F602" t="s">
        <v>146</v>
      </c>
      <c r="G602">
        <v>3</v>
      </c>
      <c r="H602" s="5">
        <v>3</v>
      </c>
      <c r="I602" t="s">
        <v>36</v>
      </c>
      <c r="J602" t="s">
        <v>37</v>
      </c>
      <c r="K602" t="s">
        <v>276</v>
      </c>
      <c r="L602" t="s">
        <v>2124</v>
      </c>
      <c r="M602" s="5">
        <f t="shared" si="55"/>
        <v>9</v>
      </c>
      <c r="N602" t="str">
        <f t="shared" si="56"/>
        <v>July</v>
      </c>
      <c r="O602" t="str">
        <f t="shared" si="57"/>
        <v>Wednesday</v>
      </c>
      <c r="P602">
        <f t="shared" si="54"/>
        <v>8</v>
      </c>
      <c r="Q602" s="2">
        <f t="shared" si="58"/>
        <v>3</v>
      </c>
      <c r="R602" s="2">
        <f t="shared" si="59"/>
        <v>7</v>
      </c>
      <c r="S602">
        <f>SUMIF(Table1[product_category],"Bakery",Table1[Total_bill])</f>
        <v>2951.25</v>
      </c>
    </row>
    <row r="603" spans="1:19" x14ac:dyDescent="0.3">
      <c r="A603" s="2">
        <v>10602</v>
      </c>
      <c r="B603" s="4">
        <v>46233</v>
      </c>
      <c r="C603" t="s">
        <v>756</v>
      </c>
      <c r="D603" t="s">
        <v>25</v>
      </c>
      <c r="E603" t="s">
        <v>26</v>
      </c>
      <c r="F603" t="s">
        <v>148</v>
      </c>
      <c r="G603">
        <v>3</v>
      </c>
      <c r="H603" s="5">
        <v>3.5</v>
      </c>
      <c r="I603" t="s">
        <v>32</v>
      </c>
      <c r="J603" t="s">
        <v>33</v>
      </c>
      <c r="K603" t="s">
        <v>33</v>
      </c>
      <c r="L603" t="s">
        <v>2122</v>
      </c>
      <c r="M603" s="5">
        <f t="shared" si="55"/>
        <v>10.5</v>
      </c>
      <c r="N603" t="str">
        <f t="shared" si="56"/>
        <v>July</v>
      </c>
      <c r="O603" t="str">
        <f t="shared" si="57"/>
        <v>Thursday</v>
      </c>
      <c r="P603">
        <f t="shared" si="54"/>
        <v>9</v>
      </c>
      <c r="Q603" s="2">
        <f t="shared" si="58"/>
        <v>4</v>
      </c>
      <c r="R603" s="2">
        <f t="shared" si="59"/>
        <v>7</v>
      </c>
      <c r="S603">
        <f>SUMIF(Table1[product_category],"Bakery",Table1[Total_bill])</f>
        <v>2951.25</v>
      </c>
    </row>
    <row r="604" spans="1:19" x14ac:dyDescent="0.3">
      <c r="A604" s="2">
        <v>10603</v>
      </c>
      <c r="B604" s="4">
        <v>46234</v>
      </c>
      <c r="C604" t="s">
        <v>757</v>
      </c>
      <c r="D604" t="s">
        <v>25</v>
      </c>
      <c r="E604" t="s">
        <v>26</v>
      </c>
      <c r="F604" t="s">
        <v>150</v>
      </c>
      <c r="G604">
        <v>2</v>
      </c>
      <c r="H604" s="5">
        <v>3</v>
      </c>
      <c r="I604" t="s">
        <v>36</v>
      </c>
      <c r="J604" t="s">
        <v>37</v>
      </c>
      <c r="K604" t="s">
        <v>276</v>
      </c>
      <c r="L604" t="s">
        <v>2124</v>
      </c>
      <c r="M604" s="5">
        <f t="shared" si="55"/>
        <v>6</v>
      </c>
      <c r="N604" t="str">
        <f t="shared" si="56"/>
        <v>July</v>
      </c>
      <c r="O604" t="str">
        <f t="shared" si="57"/>
        <v>Friday</v>
      </c>
      <c r="P604">
        <f t="shared" si="54"/>
        <v>8</v>
      </c>
      <c r="Q604" s="2">
        <f t="shared" si="58"/>
        <v>5</v>
      </c>
      <c r="R604" s="2">
        <f t="shared" si="59"/>
        <v>7</v>
      </c>
      <c r="S604">
        <f>SUMIF(Table1[product_category],"Bakery",Table1[Total_bill])</f>
        <v>2951.25</v>
      </c>
    </row>
    <row r="605" spans="1:19" x14ac:dyDescent="0.3">
      <c r="A605" s="2">
        <v>10604</v>
      </c>
      <c r="B605" s="4">
        <v>46235</v>
      </c>
      <c r="C605" t="s">
        <v>758</v>
      </c>
      <c r="D605" t="s">
        <v>40</v>
      </c>
      <c r="E605" t="s">
        <v>41</v>
      </c>
      <c r="F605" t="s">
        <v>152</v>
      </c>
      <c r="G605">
        <v>1</v>
      </c>
      <c r="H605" s="5">
        <v>5</v>
      </c>
      <c r="I605" t="s">
        <v>89</v>
      </c>
      <c r="J605" t="s">
        <v>90</v>
      </c>
      <c r="K605" t="s">
        <v>91</v>
      </c>
      <c r="L605" t="s">
        <v>2123</v>
      </c>
      <c r="M605" s="5">
        <f t="shared" si="55"/>
        <v>5</v>
      </c>
      <c r="N605" t="str">
        <f t="shared" si="56"/>
        <v>August</v>
      </c>
      <c r="O605" t="str">
        <f t="shared" si="57"/>
        <v>Saturday</v>
      </c>
      <c r="P605">
        <f t="shared" si="54"/>
        <v>7</v>
      </c>
      <c r="Q605" s="2">
        <f t="shared" si="58"/>
        <v>6</v>
      </c>
      <c r="R605" s="2">
        <f t="shared" si="59"/>
        <v>8</v>
      </c>
      <c r="S605">
        <f>SUMIF(Table1[product_category],"Bakery",Table1[Total_bill])</f>
        <v>2951.25</v>
      </c>
    </row>
    <row r="606" spans="1:19" x14ac:dyDescent="0.3">
      <c r="A606" s="2">
        <v>10605</v>
      </c>
      <c r="B606" s="4">
        <v>46236</v>
      </c>
      <c r="C606" t="s">
        <v>759</v>
      </c>
      <c r="D606" t="s">
        <v>25</v>
      </c>
      <c r="E606" t="s">
        <v>26</v>
      </c>
      <c r="F606" t="s">
        <v>154</v>
      </c>
      <c r="G606">
        <v>4</v>
      </c>
      <c r="H606" s="5">
        <v>3</v>
      </c>
      <c r="I606" t="s">
        <v>32</v>
      </c>
      <c r="J606" t="s">
        <v>226</v>
      </c>
      <c r="K606" t="s">
        <v>227</v>
      </c>
      <c r="L606" t="s">
        <v>2124</v>
      </c>
      <c r="M606" s="5">
        <f t="shared" si="55"/>
        <v>12</v>
      </c>
      <c r="N606" t="str">
        <f t="shared" si="56"/>
        <v>August</v>
      </c>
      <c r="O606" t="str">
        <f t="shared" si="57"/>
        <v>Sunday</v>
      </c>
      <c r="P606">
        <f t="shared" si="54"/>
        <v>7</v>
      </c>
      <c r="Q606" s="2">
        <f t="shared" si="58"/>
        <v>7</v>
      </c>
      <c r="R606" s="2">
        <f t="shared" si="59"/>
        <v>8</v>
      </c>
      <c r="S606">
        <f>SUMIF(Table1[product_category],"Bakery",Table1[Total_bill])</f>
        <v>2951.25</v>
      </c>
    </row>
    <row r="607" spans="1:19" x14ac:dyDescent="0.3">
      <c r="A607" s="2">
        <v>10606</v>
      </c>
      <c r="B607" s="4">
        <v>46237</v>
      </c>
      <c r="C607" t="s">
        <v>760</v>
      </c>
      <c r="D607" t="s">
        <v>25</v>
      </c>
      <c r="E607" t="s">
        <v>26</v>
      </c>
      <c r="F607" t="s">
        <v>156</v>
      </c>
      <c r="G607">
        <v>1</v>
      </c>
      <c r="H607" s="5">
        <v>3.25</v>
      </c>
      <c r="I607" t="s">
        <v>32</v>
      </c>
      <c r="J607" t="s">
        <v>144</v>
      </c>
      <c r="K607" t="s">
        <v>144</v>
      </c>
      <c r="L607" t="s">
        <v>2124</v>
      </c>
      <c r="M607" s="5">
        <f t="shared" si="55"/>
        <v>3.25</v>
      </c>
      <c r="N607" t="str">
        <f t="shared" si="56"/>
        <v>August</v>
      </c>
      <c r="O607" t="str">
        <f t="shared" si="57"/>
        <v>Monday</v>
      </c>
      <c r="P607">
        <f t="shared" si="54"/>
        <v>11</v>
      </c>
      <c r="Q607" s="2">
        <f t="shared" si="58"/>
        <v>1</v>
      </c>
      <c r="R607" s="2">
        <f t="shared" si="59"/>
        <v>8</v>
      </c>
      <c r="S607">
        <f>SUMIF(Table1[product_category],"Bakery",Table1[Total_bill])</f>
        <v>2951.25</v>
      </c>
    </row>
    <row r="608" spans="1:19" x14ac:dyDescent="0.3">
      <c r="A608" s="2">
        <v>10607</v>
      </c>
      <c r="B608" s="4">
        <v>46238</v>
      </c>
      <c r="C608" t="s">
        <v>761</v>
      </c>
      <c r="D608" t="s">
        <v>25</v>
      </c>
      <c r="E608" t="s">
        <v>26</v>
      </c>
      <c r="F608" t="s">
        <v>158</v>
      </c>
      <c r="G608">
        <v>2</v>
      </c>
      <c r="H608" s="5">
        <v>2.5</v>
      </c>
      <c r="I608" t="s">
        <v>36</v>
      </c>
      <c r="J608" t="s">
        <v>37</v>
      </c>
      <c r="K608" t="s">
        <v>62</v>
      </c>
      <c r="L608" t="s">
        <v>2122</v>
      </c>
      <c r="M608" s="5">
        <f t="shared" si="55"/>
        <v>5</v>
      </c>
      <c r="N608" t="str">
        <f t="shared" si="56"/>
        <v>August</v>
      </c>
      <c r="O608" t="str">
        <f t="shared" si="57"/>
        <v>Tuesday</v>
      </c>
      <c r="P608">
        <f t="shared" si="54"/>
        <v>8</v>
      </c>
      <c r="Q608" s="2">
        <f t="shared" si="58"/>
        <v>2</v>
      </c>
      <c r="R608" s="2">
        <f t="shared" si="59"/>
        <v>8</v>
      </c>
      <c r="S608">
        <f>SUMIF(Table1[product_category],"Bakery",Table1[Total_bill])</f>
        <v>2951.25</v>
      </c>
    </row>
    <row r="609" spans="1:19" x14ac:dyDescent="0.3">
      <c r="A609" s="2">
        <v>10608</v>
      </c>
      <c r="B609" s="4">
        <v>46239</v>
      </c>
      <c r="C609" t="s">
        <v>762</v>
      </c>
      <c r="D609" t="s">
        <v>18</v>
      </c>
      <c r="E609" t="s">
        <v>19</v>
      </c>
      <c r="F609" t="s">
        <v>160</v>
      </c>
      <c r="G609">
        <v>3</v>
      </c>
      <c r="H609" s="5">
        <v>4.5</v>
      </c>
      <c r="I609" t="s">
        <v>32</v>
      </c>
      <c r="J609" t="s">
        <v>33</v>
      </c>
      <c r="K609" t="s">
        <v>33</v>
      </c>
      <c r="L609" t="s">
        <v>2123</v>
      </c>
      <c r="M609" s="5">
        <f t="shared" si="55"/>
        <v>13.5</v>
      </c>
      <c r="N609" t="str">
        <f t="shared" si="56"/>
        <v>August</v>
      </c>
      <c r="O609" t="str">
        <f t="shared" si="57"/>
        <v>Wednesday</v>
      </c>
      <c r="P609">
        <f t="shared" si="54"/>
        <v>10</v>
      </c>
      <c r="Q609" s="2">
        <f t="shared" si="58"/>
        <v>3</v>
      </c>
      <c r="R609" s="2">
        <f t="shared" si="59"/>
        <v>8</v>
      </c>
      <c r="S609">
        <f>SUMIF(Table1[product_category],"Bakery",Table1[Total_bill])</f>
        <v>2951.25</v>
      </c>
    </row>
    <row r="610" spans="1:19" x14ac:dyDescent="0.3">
      <c r="A610" s="2">
        <v>10609</v>
      </c>
      <c r="B610" s="4">
        <v>46240</v>
      </c>
      <c r="C610" t="s">
        <v>763</v>
      </c>
      <c r="D610" t="s">
        <v>25</v>
      </c>
      <c r="E610" t="s">
        <v>26</v>
      </c>
      <c r="F610" t="s">
        <v>162</v>
      </c>
      <c r="G610">
        <v>2</v>
      </c>
      <c r="H610" s="5">
        <v>14</v>
      </c>
      <c r="I610" t="s">
        <v>98</v>
      </c>
      <c r="J610" t="s">
        <v>98</v>
      </c>
      <c r="K610" t="s">
        <v>129</v>
      </c>
      <c r="L610" t="s">
        <v>2125</v>
      </c>
      <c r="M610" s="5">
        <f t="shared" si="55"/>
        <v>28</v>
      </c>
      <c r="N610" t="str">
        <f t="shared" si="56"/>
        <v>August</v>
      </c>
      <c r="O610" t="str">
        <f t="shared" si="57"/>
        <v>Thursday</v>
      </c>
      <c r="P610">
        <f t="shared" si="54"/>
        <v>12</v>
      </c>
      <c r="Q610" s="2">
        <f t="shared" si="58"/>
        <v>4</v>
      </c>
      <c r="R610" s="2">
        <f t="shared" si="59"/>
        <v>8</v>
      </c>
      <c r="S610">
        <f>SUMIF(Table1[product_category],"Bakery",Table1[Total_bill])</f>
        <v>2951.25</v>
      </c>
    </row>
    <row r="611" spans="1:19" x14ac:dyDescent="0.3">
      <c r="A611" s="2">
        <v>10610</v>
      </c>
      <c r="B611" s="4">
        <v>46241</v>
      </c>
      <c r="C611" t="s">
        <v>764</v>
      </c>
      <c r="D611" t="s">
        <v>40</v>
      </c>
      <c r="E611" t="s">
        <v>41</v>
      </c>
      <c r="F611" t="s">
        <v>164</v>
      </c>
      <c r="G611">
        <v>4</v>
      </c>
      <c r="H611" s="5">
        <v>3</v>
      </c>
      <c r="I611" t="s">
        <v>32</v>
      </c>
      <c r="J611" t="s">
        <v>55</v>
      </c>
      <c r="K611" t="s">
        <v>55</v>
      </c>
      <c r="L611" t="s">
        <v>2122</v>
      </c>
      <c r="M611" s="5">
        <f t="shared" si="55"/>
        <v>12</v>
      </c>
      <c r="N611" t="str">
        <f t="shared" si="56"/>
        <v>August</v>
      </c>
      <c r="O611" t="str">
        <f t="shared" si="57"/>
        <v>Friday</v>
      </c>
      <c r="P611">
        <f t="shared" si="54"/>
        <v>14</v>
      </c>
      <c r="Q611" s="2">
        <f t="shared" si="58"/>
        <v>5</v>
      </c>
      <c r="R611" s="2">
        <f t="shared" si="59"/>
        <v>8</v>
      </c>
      <c r="S611">
        <f>SUMIF(Table1[product_category],"Bakery",Table1[Total_bill])</f>
        <v>2951.25</v>
      </c>
    </row>
    <row r="612" spans="1:19" x14ac:dyDescent="0.3">
      <c r="A612" s="2">
        <v>10611</v>
      </c>
      <c r="B612" s="4">
        <v>46242</v>
      </c>
      <c r="C612" t="s">
        <v>765</v>
      </c>
      <c r="D612" t="s">
        <v>18</v>
      </c>
      <c r="E612" t="s">
        <v>19</v>
      </c>
      <c r="F612" t="s">
        <v>166</v>
      </c>
      <c r="G612">
        <v>4</v>
      </c>
      <c r="H612" s="5">
        <v>13</v>
      </c>
      <c r="I612" t="s">
        <v>98</v>
      </c>
      <c r="J612" t="s">
        <v>98</v>
      </c>
      <c r="K612" t="s">
        <v>95</v>
      </c>
      <c r="L612" t="s">
        <v>2125</v>
      </c>
      <c r="M612" s="5">
        <f t="shared" si="55"/>
        <v>52</v>
      </c>
      <c r="N612" t="str">
        <f t="shared" si="56"/>
        <v>August</v>
      </c>
      <c r="O612" t="str">
        <f t="shared" si="57"/>
        <v>Saturday</v>
      </c>
      <c r="P612">
        <f t="shared" si="54"/>
        <v>6</v>
      </c>
      <c r="Q612" s="2">
        <f t="shared" si="58"/>
        <v>6</v>
      </c>
      <c r="R612" s="2">
        <f t="shared" si="59"/>
        <v>8</v>
      </c>
      <c r="S612">
        <f>SUMIF(Table1[product_category],"Bakery",Table1[Total_bill])</f>
        <v>2951.25</v>
      </c>
    </row>
    <row r="613" spans="1:19" x14ac:dyDescent="0.3">
      <c r="A613" s="2">
        <v>10612</v>
      </c>
      <c r="B613" s="4">
        <v>46243</v>
      </c>
      <c r="C613" t="s">
        <v>766</v>
      </c>
      <c r="D613" t="s">
        <v>18</v>
      </c>
      <c r="E613" t="s">
        <v>19</v>
      </c>
      <c r="F613" t="s">
        <v>168</v>
      </c>
      <c r="G613">
        <v>2</v>
      </c>
      <c r="H613" s="5">
        <v>13</v>
      </c>
      <c r="I613" t="s">
        <v>98</v>
      </c>
      <c r="J613" t="s">
        <v>98</v>
      </c>
      <c r="K613" t="s">
        <v>95</v>
      </c>
      <c r="L613" t="s">
        <v>2125</v>
      </c>
      <c r="M613" s="5">
        <f t="shared" si="55"/>
        <v>26</v>
      </c>
      <c r="N613" t="str">
        <f t="shared" si="56"/>
        <v>August</v>
      </c>
      <c r="O613" t="str">
        <f t="shared" si="57"/>
        <v>Sunday</v>
      </c>
      <c r="P613">
        <f t="shared" si="54"/>
        <v>16</v>
      </c>
      <c r="Q613" s="2">
        <f t="shared" si="58"/>
        <v>7</v>
      </c>
      <c r="R613" s="2">
        <f t="shared" si="59"/>
        <v>8</v>
      </c>
      <c r="S613">
        <f>SUMIF(Table1[product_category],"Bakery",Table1[Total_bill])</f>
        <v>2951.25</v>
      </c>
    </row>
    <row r="614" spans="1:19" x14ac:dyDescent="0.3">
      <c r="A614" s="2">
        <v>10613</v>
      </c>
      <c r="B614" s="4">
        <v>46244</v>
      </c>
      <c r="C614" t="s">
        <v>767</v>
      </c>
      <c r="D614" t="s">
        <v>25</v>
      </c>
      <c r="E614" t="s">
        <v>26</v>
      </c>
      <c r="F614" t="s">
        <v>170</v>
      </c>
      <c r="G614">
        <v>3</v>
      </c>
      <c r="H614" s="5">
        <v>2.75</v>
      </c>
      <c r="I614" t="s">
        <v>21</v>
      </c>
      <c r="J614" t="s">
        <v>22</v>
      </c>
      <c r="K614" t="s">
        <v>23</v>
      </c>
      <c r="L614" t="s">
        <v>2125</v>
      </c>
      <c r="M614" s="5">
        <f t="shared" si="55"/>
        <v>8.25</v>
      </c>
      <c r="N614" t="str">
        <f t="shared" si="56"/>
        <v>August</v>
      </c>
      <c r="O614" t="str">
        <f t="shared" si="57"/>
        <v>Monday</v>
      </c>
      <c r="P614">
        <f t="shared" si="54"/>
        <v>13</v>
      </c>
      <c r="Q614" s="2">
        <f t="shared" si="58"/>
        <v>1</v>
      </c>
      <c r="R614" s="2">
        <f t="shared" si="59"/>
        <v>8</v>
      </c>
      <c r="S614">
        <f>SUMIF(Table1[product_category],"Bakery",Table1[Total_bill])</f>
        <v>2951.25</v>
      </c>
    </row>
    <row r="615" spans="1:19" x14ac:dyDescent="0.3">
      <c r="A615" s="2">
        <v>10614</v>
      </c>
      <c r="B615" s="4">
        <v>46245</v>
      </c>
      <c r="C615" t="s">
        <v>588</v>
      </c>
      <c r="D615" t="s">
        <v>25</v>
      </c>
      <c r="E615" t="s">
        <v>26</v>
      </c>
      <c r="F615" t="s">
        <v>172</v>
      </c>
      <c r="G615">
        <v>4</v>
      </c>
      <c r="H615" s="5">
        <v>3.5</v>
      </c>
      <c r="I615" t="s">
        <v>36</v>
      </c>
      <c r="J615" t="s">
        <v>246</v>
      </c>
      <c r="K615" t="s">
        <v>247</v>
      </c>
      <c r="L615" t="s">
        <v>2123</v>
      </c>
      <c r="M615" s="5">
        <f t="shared" si="55"/>
        <v>14</v>
      </c>
      <c r="N615" t="str">
        <f t="shared" si="56"/>
        <v>August</v>
      </c>
      <c r="O615" t="str">
        <f t="shared" si="57"/>
        <v>Tuesday</v>
      </c>
      <c r="P615">
        <f t="shared" si="54"/>
        <v>7</v>
      </c>
      <c r="Q615" s="2">
        <f t="shared" si="58"/>
        <v>2</v>
      </c>
      <c r="R615" s="2">
        <f t="shared" si="59"/>
        <v>8</v>
      </c>
      <c r="S615">
        <f>SUMIF(Table1[product_category],"Bakery",Table1[Total_bill])</f>
        <v>2951.25</v>
      </c>
    </row>
    <row r="616" spans="1:19" x14ac:dyDescent="0.3">
      <c r="A616" s="2">
        <v>10615</v>
      </c>
      <c r="B616" s="4">
        <v>46246</v>
      </c>
      <c r="C616" t="s">
        <v>768</v>
      </c>
      <c r="D616" t="s">
        <v>40</v>
      </c>
      <c r="E616" t="s">
        <v>41</v>
      </c>
      <c r="F616" t="s">
        <v>174</v>
      </c>
      <c r="G616">
        <v>3</v>
      </c>
      <c r="H616" s="5">
        <v>3.5</v>
      </c>
      <c r="I616" t="s">
        <v>32</v>
      </c>
      <c r="J616" t="s">
        <v>94</v>
      </c>
      <c r="K616" t="s">
        <v>95</v>
      </c>
      <c r="L616" t="s">
        <v>2122</v>
      </c>
      <c r="M616" s="5">
        <f t="shared" si="55"/>
        <v>10.5</v>
      </c>
      <c r="N616" t="str">
        <f t="shared" si="56"/>
        <v>August</v>
      </c>
      <c r="O616" t="str">
        <f t="shared" si="57"/>
        <v>Wednesday</v>
      </c>
      <c r="P616">
        <f t="shared" si="54"/>
        <v>17</v>
      </c>
      <c r="Q616" s="2">
        <f t="shared" si="58"/>
        <v>3</v>
      </c>
      <c r="R616" s="2">
        <f t="shared" si="59"/>
        <v>8</v>
      </c>
      <c r="S616">
        <f>SUMIF(Table1[product_category],"Bakery",Table1[Total_bill])</f>
        <v>2951.25</v>
      </c>
    </row>
    <row r="617" spans="1:19" x14ac:dyDescent="0.3">
      <c r="A617" s="2">
        <v>10616</v>
      </c>
      <c r="B617" s="4">
        <v>46247</v>
      </c>
      <c r="C617" t="s">
        <v>769</v>
      </c>
      <c r="D617" t="s">
        <v>25</v>
      </c>
      <c r="E617" t="s">
        <v>26</v>
      </c>
      <c r="F617" t="s">
        <v>176</v>
      </c>
      <c r="G617">
        <v>2</v>
      </c>
      <c r="H617" s="5">
        <v>24</v>
      </c>
      <c r="I617" t="s">
        <v>101</v>
      </c>
      <c r="J617" t="s">
        <v>102</v>
      </c>
      <c r="K617" t="s">
        <v>103</v>
      </c>
      <c r="L617" t="s">
        <v>2125</v>
      </c>
      <c r="M617" s="5">
        <f t="shared" si="55"/>
        <v>48</v>
      </c>
      <c r="N617" t="str">
        <f t="shared" si="56"/>
        <v>August</v>
      </c>
      <c r="O617" t="str">
        <f t="shared" si="57"/>
        <v>Thursday</v>
      </c>
      <c r="P617">
        <f t="shared" si="54"/>
        <v>18</v>
      </c>
      <c r="Q617" s="2">
        <f t="shared" si="58"/>
        <v>4</v>
      </c>
      <c r="R617" s="2">
        <f t="shared" si="59"/>
        <v>8</v>
      </c>
      <c r="S617">
        <f>SUMIF(Table1[product_category],"Bakery",Table1[Total_bill])</f>
        <v>2951.25</v>
      </c>
    </row>
    <row r="618" spans="1:19" x14ac:dyDescent="0.3">
      <c r="A618" s="2">
        <v>10617</v>
      </c>
      <c r="B618" s="4">
        <v>46248</v>
      </c>
      <c r="C618" t="s">
        <v>770</v>
      </c>
      <c r="D618" t="s">
        <v>25</v>
      </c>
      <c r="E618" t="s">
        <v>26</v>
      </c>
      <c r="F618" t="s">
        <v>178</v>
      </c>
      <c r="G618">
        <v>3</v>
      </c>
      <c r="H618" s="5">
        <v>4.5</v>
      </c>
      <c r="I618" t="s">
        <v>89</v>
      </c>
      <c r="J618" t="s">
        <v>261</v>
      </c>
      <c r="K618" t="s">
        <v>261</v>
      </c>
      <c r="L618" t="s">
        <v>2123</v>
      </c>
      <c r="M618" s="5">
        <f t="shared" si="55"/>
        <v>13.5</v>
      </c>
      <c r="N618" t="str">
        <f t="shared" si="56"/>
        <v>August</v>
      </c>
      <c r="O618" t="str">
        <f t="shared" si="57"/>
        <v>Friday</v>
      </c>
      <c r="P618">
        <f t="shared" si="54"/>
        <v>7</v>
      </c>
      <c r="Q618" s="2">
        <f t="shared" si="58"/>
        <v>5</v>
      </c>
      <c r="R618" s="2">
        <f t="shared" si="59"/>
        <v>8</v>
      </c>
      <c r="S618">
        <f>SUMIF(Table1[product_category],"Bakery",Table1[Total_bill])</f>
        <v>2951.25</v>
      </c>
    </row>
    <row r="619" spans="1:19" x14ac:dyDescent="0.3">
      <c r="A619" s="2">
        <v>10618</v>
      </c>
      <c r="B619" s="4">
        <v>46249</v>
      </c>
      <c r="C619" t="s">
        <v>771</v>
      </c>
      <c r="D619" t="s">
        <v>40</v>
      </c>
      <c r="E619" t="s">
        <v>41</v>
      </c>
      <c r="F619" t="s">
        <v>180</v>
      </c>
      <c r="G619">
        <v>3</v>
      </c>
      <c r="H619" s="5">
        <v>3.5</v>
      </c>
      <c r="I619" t="s">
        <v>21</v>
      </c>
      <c r="J619" t="s">
        <v>51</v>
      </c>
      <c r="K619" t="s">
        <v>52</v>
      </c>
      <c r="L619" t="s">
        <v>2125</v>
      </c>
      <c r="M619" s="5">
        <f t="shared" si="55"/>
        <v>10.5</v>
      </c>
      <c r="N619" t="str">
        <f t="shared" si="56"/>
        <v>August</v>
      </c>
      <c r="O619" t="str">
        <f t="shared" si="57"/>
        <v>Saturday</v>
      </c>
      <c r="P619">
        <f t="shared" si="54"/>
        <v>9</v>
      </c>
      <c r="Q619" s="2">
        <f t="shared" si="58"/>
        <v>6</v>
      </c>
      <c r="R619" s="2">
        <f t="shared" si="59"/>
        <v>8</v>
      </c>
      <c r="S619">
        <f>SUMIF(Table1[product_category],"Bakery",Table1[Total_bill])</f>
        <v>2951.25</v>
      </c>
    </row>
    <row r="620" spans="1:19" x14ac:dyDescent="0.3">
      <c r="A620" s="2">
        <v>10619</v>
      </c>
      <c r="B620" s="4">
        <v>46250</v>
      </c>
      <c r="C620" t="s">
        <v>772</v>
      </c>
      <c r="D620" t="s">
        <v>25</v>
      </c>
      <c r="E620" t="s">
        <v>26</v>
      </c>
      <c r="F620" t="s">
        <v>184</v>
      </c>
      <c r="G620">
        <v>2</v>
      </c>
      <c r="H620" s="5">
        <v>3.25</v>
      </c>
      <c r="I620" t="s">
        <v>21</v>
      </c>
      <c r="J620" t="s">
        <v>81</v>
      </c>
      <c r="K620" t="s">
        <v>82</v>
      </c>
      <c r="L620" t="s">
        <v>2125</v>
      </c>
      <c r="M620" s="5">
        <f t="shared" si="55"/>
        <v>6.5</v>
      </c>
      <c r="N620" t="str">
        <f t="shared" si="56"/>
        <v>August</v>
      </c>
      <c r="O620" t="str">
        <f t="shared" si="57"/>
        <v>Sunday</v>
      </c>
      <c r="P620">
        <f t="shared" si="54"/>
        <v>16</v>
      </c>
      <c r="Q620" s="2">
        <f t="shared" si="58"/>
        <v>7</v>
      </c>
      <c r="R620" s="2">
        <f t="shared" si="59"/>
        <v>8</v>
      </c>
      <c r="S620">
        <f>SUMIF(Table1[product_category],"Bakery",Table1[Total_bill])</f>
        <v>2951.25</v>
      </c>
    </row>
    <row r="621" spans="1:19" x14ac:dyDescent="0.3">
      <c r="A621" s="2">
        <v>10620</v>
      </c>
      <c r="B621" s="4">
        <v>46251</v>
      </c>
      <c r="C621" t="s">
        <v>773</v>
      </c>
      <c r="D621" t="s">
        <v>40</v>
      </c>
      <c r="E621" t="s">
        <v>41</v>
      </c>
      <c r="F621" t="s">
        <v>186</v>
      </c>
      <c r="G621">
        <v>3</v>
      </c>
      <c r="H621" s="5">
        <v>4</v>
      </c>
      <c r="I621" t="s">
        <v>32</v>
      </c>
      <c r="J621" t="s">
        <v>94</v>
      </c>
      <c r="K621" t="s">
        <v>95</v>
      </c>
      <c r="L621" t="s">
        <v>2124</v>
      </c>
      <c r="M621" s="5">
        <f t="shared" si="55"/>
        <v>12</v>
      </c>
      <c r="N621" t="str">
        <f t="shared" si="56"/>
        <v>August</v>
      </c>
      <c r="O621" t="str">
        <f t="shared" si="57"/>
        <v>Monday</v>
      </c>
      <c r="P621">
        <f t="shared" si="54"/>
        <v>15</v>
      </c>
      <c r="Q621" s="2">
        <f t="shared" si="58"/>
        <v>1</v>
      </c>
      <c r="R621" s="2">
        <f t="shared" si="59"/>
        <v>8</v>
      </c>
      <c r="S621">
        <f>SUMIF(Table1[product_category],"Bakery",Table1[Total_bill])</f>
        <v>2951.25</v>
      </c>
    </row>
    <row r="622" spans="1:19" x14ac:dyDescent="0.3">
      <c r="A622" s="2">
        <v>10621</v>
      </c>
      <c r="B622" s="4">
        <v>46252</v>
      </c>
      <c r="C622" t="s">
        <v>774</v>
      </c>
      <c r="D622" t="s">
        <v>25</v>
      </c>
      <c r="E622" t="s">
        <v>26</v>
      </c>
      <c r="F622" t="s">
        <v>188</v>
      </c>
      <c r="G622">
        <v>3</v>
      </c>
      <c r="H622" s="5">
        <v>3</v>
      </c>
      <c r="I622" t="s">
        <v>36</v>
      </c>
      <c r="J622" t="s">
        <v>246</v>
      </c>
      <c r="K622" t="s">
        <v>247</v>
      </c>
      <c r="L622" t="s">
        <v>2124</v>
      </c>
      <c r="M622" s="5">
        <f t="shared" si="55"/>
        <v>9</v>
      </c>
      <c r="N622" t="str">
        <f t="shared" si="56"/>
        <v>August</v>
      </c>
      <c r="O622" t="str">
        <f t="shared" si="57"/>
        <v>Tuesday</v>
      </c>
      <c r="P622">
        <f t="shared" si="54"/>
        <v>8</v>
      </c>
      <c r="Q622" s="2">
        <f t="shared" si="58"/>
        <v>2</v>
      </c>
      <c r="R622" s="2">
        <f t="shared" si="59"/>
        <v>8</v>
      </c>
      <c r="S622">
        <f>SUMIF(Table1[product_category],"Bakery",Table1[Total_bill])</f>
        <v>2951.25</v>
      </c>
    </row>
    <row r="623" spans="1:19" x14ac:dyDescent="0.3">
      <c r="A623" s="2">
        <v>10622</v>
      </c>
      <c r="B623" s="4">
        <v>46253</v>
      </c>
      <c r="C623" t="s">
        <v>775</v>
      </c>
      <c r="D623" t="s">
        <v>18</v>
      </c>
      <c r="E623" t="s">
        <v>19</v>
      </c>
      <c r="F623" t="s">
        <v>190</v>
      </c>
      <c r="G623">
        <v>4</v>
      </c>
      <c r="H623" s="5">
        <v>3.5</v>
      </c>
      <c r="I623" t="s">
        <v>32</v>
      </c>
      <c r="J623" t="s">
        <v>94</v>
      </c>
      <c r="K623" t="s">
        <v>95</v>
      </c>
      <c r="L623" t="s">
        <v>2122</v>
      </c>
      <c r="M623" s="5">
        <f t="shared" si="55"/>
        <v>14</v>
      </c>
      <c r="N623" t="str">
        <f t="shared" si="56"/>
        <v>August</v>
      </c>
      <c r="O623" t="str">
        <f t="shared" si="57"/>
        <v>Wednesday</v>
      </c>
      <c r="P623">
        <f t="shared" si="54"/>
        <v>8</v>
      </c>
      <c r="Q623" s="2">
        <f t="shared" si="58"/>
        <v>3</v>
      </c>
      <c r="R623" s="2">
        <f t="shared" si="59"/>
        <v>8</v>
      </c>
      <c r="S623">
        <f>SUMIF(Table1[product_category],"Bakery",Table1[Total_bill])</f>
        <v>2951.25</v>
      </c>
    </row>
    <row r="624" spans="1:19" x14ac:dyDescent="0.3">
      <c r="A624" s="2">
        <v>10623</v>
      </c>
      <c r="B624" s="4">
        <v>46254</v>
      </c>
      <c r="C624" t="s">
        <v>776</v>
      </c>
      <c r="D624" t="s">
        <v>25</v>
      </c>
      <c r="E624" t="s">
        <v>26</v>
      </c>
      <c r="F624" t="s">
        <v>192</v>
      </c>
      <c r="G624">
        <v>3</v>
      </c>
      <c r="H624" s="5">
        <v>3.25</v>
      </c>
      <c r="I624" t="s">
        <v>36</v>
      </c>
      <c r="J624" t="s">
        <v>211</v>
      </c>
      <c r="K624" t="s">
        <v>239</v>
      </c>
      <c r="L624" t="s">
        <v>2122</v>
      </c>
      <c r="M624" s="5">
        <f t="shared" si="55"/>
        <v>9.75</v>
      </c>
      <c r="N624" t="str">
        <f t="shared" si="56"/>
        <v>August</v>
      </c>
      <c r="O624" t="str">
        <f t="shared" si="57"/>
        <v>Thursday</v>
      </c>
      <c r="P624">
        <f t="shared" si="54"/>
        <v>10</v>
      </c>
      <c r="Q624" s="2">
        <f t="shared" si="58"/>
        <v>4</v>
      </c>
      <c r="R624" s="2">
        <f t="shared" si="59"/>
        <v>8</v>
      </c>
      <c r="S624">
        <f>SUMIF(Table1[product_category],"Bakery",Table1[Total_bill])</f>
        <v>2951.25</v>
      </c>
    </row>
    <row r="625" spans="1:19" x14ac:dyDescent="0.3">
      <c r="A625" s="2">
        <v>10624</v>
      </c>
      <c r="B625" s="4">
        <v>46255</v>
      </c>
      <c r="C625" t="s">
        <v>777</v>
      </c>
      <c r="D625" t="s">
        <v>18</v>
      </c>
      <c r="E625" t="s">
        <v>19</v>
      </c>
      <c r="F625" t="s">
        <v>195</v>
      </c>
      <c r="G625">
        <v>3</v>
      </c>
      <c r="H625" s="5">
        <v>3.5</v>
      </c>
      <c r="I625" t="s">
        <v>32</v>
      </c>
      <c r="J625" t="s">
        <v>226</v>
      </c>
      <c r="K625" t="s">
        <v>227</v>
      </c>
      <c r="L625" t="s">
        <v>2123</v>
      </c>
      <c r="M625" s="5">
        <f t="shared" si="55"/>
        <v>10.5</v>
      </c>
      <c r="N625" t="str">
        <f t="shared" si="56"/>
        <v>August</v>
      </c>
      <c r="O625" t="str">
        <f t="shared" si="57"/>
        <v>Friday</v>
      </c>
      <c r="P625">
        <f t="shared" si="54"/>
        <v>11</v>
      </c>
      <c r="Q625" s="2">
        <f t="shared" si="58"/>
        <v>5</v>
      </c>
      <c r="R625" s="2">
        <f t="shared" si="59"/>
        <v>8</v>
      </c>
      <c r="S625">
        <f>SUMIF(Table1[product_category],"Bakery",Table1[Total_bill])</f>
        <v>2951.25</v>
      </c>
    </row>
    <row r="626" spans="1:19" x14ac:dyDescent="0.3">
      <c r="A626" s="2">
        <v>10625</v>
      </c>
      <c r="B626" s="4">
        <v>46256</v>
      </c>
      <c r="C626" t="s">
        <v>778</v>
      </c>
      <c r="D626" t="s">
        <v>18</v>
      </c>
      <c r="E626" t="s">
        <v>19</v>
      </c>
      <c r="F626" t="s">
        <v>197</v>
      </c>
      <c r="G626">
        <v>3</v>
      </c>
      <c r="H626" s="5">
        <v>3</v>
      </c>
      <c r="I626" t="s">
        <v>36</v>
      </c>
      <c r="J626" t="s">
        <v>37</v>
      </c>
      <c r="K626" t="s">
        <v>38</v>
      </c>
      <c r="L626" t="s">
        <v>2124</v>
      </c>
      <c r="M626" s="5">
        <f t="shared" si="55"/>
        <v>9</v>
      </c>
      <c r="N626" t="str">
        <f t="shared" si="56"/>
        <v>August</v>
      </c>
      <c r="O626" t="str">
        <f t="shared" si="57"/>
        <v>Saturday</v>
      </c>
      <c r="P626">
        <f t="shared" si="54"/>
        <v>13</v>
      </c>
      <c r="Q626" s="2">
        <f t="shared" si="58"/>
        <v>6</v>
      </c>
      <c r="R626" s="2">
        <f t="shared" si="59"/>
        <v>8</v>
      </c>
      <c r="S626">
        <f>SUMIF(Table1[product_category],"Bakery",Table1[Total_bill])</f>
        <v>2951.25</v>
      </c>
    </row>
    <row r="627" spans="1:19" x14ac:dyDescent="0.3">
      <c r="A627" s="2">
        <v>10626</v>
      </c>
      <c r="B627" s="4">
        <v>46257</v>
      </c>
      <c r="C627" t="s">
        <v>779</v>
      </c>
      <c r="D627" t="s">
        <v>25</v>
      </c>
      <c r="E627" t="s">
        <v>26</v>
      </c>
      <c r="F627" t="s">
        <v>199</v>
      </c>
      <c r="G627">
        <v>2</v>
      </c>
      <c r="H627" s="5">
        <v>3.5</v>
      </c>
      <c r="I627" t="s">
        <v>32</v>
      </c>
      <c r="J627" t="s">
        <v>94</v>
      </c>
      <c r="K627" t="s">
        <v>95</v>
      </c>
      <c r="L627" t="s">
        <v>2122</v>
      </c>
      <c r="M627" s="5">
        <f t="shared" si="55"/>
        <v>7</v>
      </c>
      <c r="N627" t="str">
        <f t="shared" si="56"/>
        <v>August</v>
      </c>
      <c r="O627" t="str">
        <f t="shared" si="57"/>
        <v>Sunday</v>
      </c>
      <c r="P627">
        <f t="shared" si="54"/>
        <v>10</v>
      </c>
      <c r="Q627" s="2">
        <f t="shared" si="58"/>
        <v>7</v>
      </c>
      <c r="R627" s="2">
        <f t="shared" si="59"/>
        <v>8</v>
      </c>
      <c r="S627">
        <f>SUMIF(Table1[product_category],"Bakery",Table1[Total_bill])</f>
        <v>2951.25</v>
      </c>
    </row>
    <row r="628" spans="1:19" x14ac:dyDescent="0.3">
      <c r="A628" s="2">
        <v>10627</v>
      </c>
      <c r="B628" s="4">
        <v>46258</v>
      </c>
      <c r="C628" t="s">
        <v>780</v>
      </c>
      <c r="D628" t="s">
        <v>25</v>
      </c>
      <c r="E628" t="s">
        <v>26</v>
      </c>
      <c r="F628" t="s">
        <v>201</v>
      </c>
      <c r="G628">
        <v>2</v>
      </c>
      <c r="H628" s="5">
        <v>2.5</v>
      </c>
      <c r="I628" t="s">
        <v>21</v>
      </c>
      <c r="J628" t="s">
        <v>47</v>
      </c>
      <c r="K628" t="s">
        <v>48</v>
      </c>
      <c r="L628" t="s">
        <v>2125</v>
      </c>
      <c r="M628" s="5">
        <f t="shared" si="55"/>
        <v>5</v>
      </c>
      <c r="N628" t="str">
        <f t="shared" si="56"/>
        <v>August</v>
      </c>
      <c r="O628" t="str">
        <f t="shared" si="57"/>
        <v>Monday</v>
      </c>
      <c r="P628">
        <f t="shared" si="54"/>
        <v>11</v>
      </c>
      <c r="Q628" s="2">
        <f t="shared" si="58"/>
        <v>1</v>
      </c>
      <c r="R628" s="2">
        <f t="shared" si="59"/>
        <v>8</v>
      </c>
      <c r="S628">
        <f>SUMIF(Table1[product_category],"Bakery",Table1[Total_bill])</f>
        <v>2951.25</v>
      </c>
    </row>
    <row r="629" spans="1:19" x14ac:dyDescent="0.3">
      <c r="A629" s="2">
        <v>10628</v>
      </c>
      <c r="B629" s="4">
        <v>46259</v>
      </c>
      <c r="C629" t="s">
        <v>781</v>
      </c>
      <c r="D629" t="s">
        <v>25</v>
      </c>
      <c r="E629" t="s">
        <v>26</v>
      </c>
      <c r="F629" t="s">
        <v>204</v>
      </c>
      <c r="G629">
        <v>1</v>
      </c>
      <c r="H629" s="5">
        <v>3.25</v>
      </c>
      <c r="I629" t="s">
        <v>21</v>
      </c>
      <c r="J629" t="s">
        <v>81</v>
      </c>
      <c r="K629" t="s">
        <v>82</v>
      </c>
      <c r="L629" t="s">
        <v>2125</v>
      </c>
      <c r="M629" s="5">
        <f t="shared" si="55"/>
        <v>3.25</v>
      </c>
      <c r="N629" t="str">
        <f t="shared" si="56"/>
        <v>August</v>
      </c>
      <c r="O629" t="str">
        <f t="shared" si="57"/>
        <v>Tuesday</v>
      </c>
      <c r="P629">
        <f t="shared" si="54"/>
        <v>15</v>
      </c>
      <c r="Q629" s="2">
        <f t="shared" si="58"/>
        <v>2</v>
      </c>
      <c r="R629" s="2">
        <f t="shared" si="59"/>
        <v>8</v>
      </c>
      <c r="S629">
        <f>SUMIF(Table1[product_category],"Bakery",Table1[Total_bill])</f>
        <v>2951.25</v>
      </c>
    </row>
    <row r="630" spans="1:19" x14ac:dyDescent="0.3">
      <c r="A630" s="2">
        <v>10629</v>
      </c>
      <c r="B630" s="4">
        <v>46260</v>
      </c>
      <c r="C630" t="s">
        <v>782</v>
      </c>
      <c r="D630" t="s">
        <v>18</v>
      </c>
      <c r="E630" t="s">
        <v>19</v>
      </c>
      <c r="F630" t="s">
        <v>206</v>
      </c>
      <c r="G630">
        <v>3</v>
      </c>
      <c r="H630" s="5">
        <v>4.25</v>
      </c>
      <c r="I630" t="s">
        <v>32</v>
      </c>
      <c r="J630" t="s">
        <v>202</v>
      </c>
      <c r="K630" t="s">
        <v>202</v>
      </c>
      <c r="L630" t="s">
        <v>2124</v>
      </c>
      <c r="M630" s="5">
        <f t="shared" si="55"/>
        <v>12.75</v>
      </c>
      <c r="N630" t="str">
        <f t="shared" si="56"/>
        <v>August</v>
      </c>
      <c r="O630" t="str">
        <f t="shared" si="57"/>
        <v>Wednesday</v>
      </c>
      <c r="P630">
        <f t="shared" si="54"/>
        <v>6</v>
      </c>
      <c r="Q630" s="2">
        <f t="shared" si="58"/>
        <v>3</v>
      </c>
      <c r="R630" s="2">
        <f t="shared" si="59"/>
        <v>8</v>
      </c>
      <c r="S630">
        <f>SUMIF(Table1[product_category],"Bakery",Table1[Total_bill])</f>
        <v>2951.25</v>
      </c>
    </row>
    <row r="631" spans="1:19" x14ac:dyDescent="0.3">
      <c r="A631" s="2">
        <v>10630</v>
      </c>
      <c r="B631" s="4">
        <v>46261</v>
      </c>
      <c r="C631" t="s">
        <v>783</v>
      </c>
      <c r="D631" t="s">
        <v>18</v>
      </c>
      <c r="E631" t="s">
        <v>19</v>
      </c>
      <c r="F631" t="s">
        <v>208</v>
      </c>
      <c r="G631">
        <v>1</v>
      </c>
      <c r="H631" s="5">
        <v>5</v>
      </c>
      <c r="I631" t="s">
        <v>89</v>
      </c>
      <c r="J631" t="s">
        <v>90</v>
      </c>
      <c r="K631" t="s">
        <v>91</v>
      </c>
      <c r="L631" t="s">
        <v>2123</v>
      </c>
      <c r="M631" s="5">
        <f t="shared" si="55"/>
        <v>5</v>
      </c>
      <c r="N631" t="str">
        <f t="shared" si="56"/>
        <v>August</v>
      </c>
      <c r="O631" t="str">
        <f t="shared" si="57"/>
        <v>Thursday</v>
      </c>
      <c r="P631">
        <f t="shared" si="54"/>
        <v>8</v>
      </c>
      <c r="Q631" s="2">
        <f t="shared" si="58"/>
        <v>4</v>
      </c>
      <c r="R631" s="2">
        <f t="shared" si="59"/>
        <v>8</v>
      </c>
      <c r="S631">
        <f>SUMIF(Table1[product_category],"Bakery",Table1[Total_bill])</f>
        <v>2951.25</v>
      </c>
    </row>
    <row r="632" spans="1:19" x14ac:dyDescent="0.3">
      <c r="A632" s="2">
        <v>10631</v>
      </c>
      <c r="B632" s="4">
        <v>46262</v>
      </c>
      <c r="C632" t="s">
        <v>784</v>
      </c>
      <c r="D632" t="s">
        <v>25</v>
      </c>
      <c r="E632" t="s">
        <v>26</v>
      </c>
      <c r="F632" t="s">
        <v>210</v>
      </c>
      <c r="G632">
        <v>4</v>
      </c>
      <c r="H632" s="5">
        <v>4.25</v>
      </c>
      <c r="I632" t="s">
        <v>36</v>
      </c>
      <c r="J632" t="s">
        <v>211</v>
      </c>
      <c r="K632" t="s">
        <v>212</v>
      </c>
      <c r="L632" t="s">
        <v>2123</v>
      </c>
      <c r="M632" s="5">
        <f t="shared" si="55"/>
        <v>17</v>
      </c>
      <c r="N632" t="str">
        <f t="shared" si="56"/>
        <v>August</v>
      </c>
      <c r="O632" t="str">
        <f t="shared" si="57"/>
        <v>Friday</v>
      </c>
      <c r="P632">
        <f t="shared" si="54"/>
        <v>15</v>
      </c>
      <c r="Q632" s="2">
        <f t="shared" si="58"/>
        <v>5</v>
      </c>
      <c r="R632" s="2">
        <f t="shared" si="59"/>
        <v>8</v>
      </c>
      <c r="S632">
        <f>SUMIF(Table1[product_category],"Bakery",Table1[Total_bill])</f>
        <v>2951.25</v>
      </c>
    </row>
    <row r="633" spans="1:19" x14ac:dyDescent="0.3">
      <c r="A633" s="2">
        <v>10632</v>
      </c>
      <c r="B633" s="4">
        <v>46263</v>
      </c>
      <c r="C633" t="s">
        <v>785</v>
      </c>
      <c r="D633" t="s">
        <v>40</v>
      </c>
      <c r="E633" t="s">
        <v>41</v>
      </c>
      <c r="F633" t="s">
        <v>214</v>
      </c>
      <c r="G633">
        <v>3</v>
      </c>
      <c r="H633" s="5">
        <v>4.25</v>
      </c>
      <c r="I633" t="s">
        <v>36</v>
      </c>
      <c r="J633" t="s">
        <v>211</v>
      </c>
      <c r="K633" t="s">
        <v>239</v>
      </c>
      <c r="L633" t="s">
        <v>2123</v>
      </c>
      <c r="M633" s="5">
        <f t="shared" si="55"/>
        <v>12.75</v>
      </c>
      <c r="N633" t="str">
        <f t="shared" si="56"/>
        <v>August</v>
      </c>
      <c r="O633" t="str">
        <f t="shared" si="57"/>
        <v>Saturday</v>
      </c>
      <c r="P633">
        <f t="shared" si="54"/>
        <v>18</v>
      </c>
      <c r="Q633" s="2">
        <f t="shared" si="58"/>
        <v>6</v>
      </c>
      <c r="R633" s="2">
        <f t="shared" si="59"/>
        <v>8</v>
      </c>
      <c r="S633">
        <f>SUMIF(Table1[product_category],"Bakery",Table1[Total_bill])</f>
        <v>2951.25</v>
      </c>
    </row>
    <row r="634" spans="1:19" x14ac:dyDescent="0.3">
      <c r="A634" s="2">
        <v>10633</v>
      </c>
      <c r="B634" s="4">
        <v>46264</v>
      </c>
      <c r="C634" t="s">
        <v>786</v>
      </c>
      <c r="D634" t="s">
        <v>25</v>
      </c>
      <c r="E634" t="s">
        <v>26</v>
      </c>
      <c r="F634" t="s">
        <v>217</v>
      </c>
      <c r="G634">
        <v>3</v>
      </c>
      <c r="H634" s="5">
        <v>4</v>
      </c>
      <c r="I634" t="s">
        <v>89</v>
      </c>
      <c r="J634" t="s">
        <v>261</v>
      </c>
      <c r="K634" t="s">
        <v>261</v>
      </c>
      <c r="L634" t="s">
        <v>2124</v>
      </c>
      <c r="M634" s="5">
        <f t="shared" si="55"/>
        <v>12</v>
      </c>
      <c r="N634" t="str">
        <f t="shared" si="56"/>
        <v>August</v>
      </c>
      <c r="O634" t="str">
        <f t="shared" si="57"/>
        <v>Sunday</v>
      </c>
      <c r="P634">
        <f t="shared" si="54"/>
        <v>12</v>
      </c>
      <c r="Q634" s="2">
        <f t="shared" si="58"/>
        <v>7</v>
      </c>
      <c r="R634" s="2">
        <f t="shared" si="59"/>
        <v>8</v>
      </c>
      <c r="S634">
        <f>SUMIF(Table1[product_category],"Bakery",Table1[Total_bill])</f>
        <v>2951.25</v>
      </c>
    </row>
    <row r="635" spans="1:19" x14ac:dyDescent="0.3">
      <c r="A635" s="2">
        <v>10634</v>
      </c>
      <c r="B635" s="4">
        <v>46265</v>
      </c>
      <c r="C635" t="s">
        <v>787</v>
      </c>
      <c r="D635" t="s">
        <v>25</v>
      </c>
      <c r="E635" t="s">
        <v>26</v>
      </c>
      <c r="F635" t="s">
        <v>219</v>
      </c>
      <c r="G635">
        <v>1</v>
      </c>
      <c r="H635" s="5">
        <v>5</v>
      </c>
      <c r="I635" t="s">
        <v>89</v>
      </c>
      <c r="J635" t="s">
        <v>90</v>
      </c>
      <c r="K635" t="s">
        <v>91</v>
      </c>
      <c r="L635" t="s">
        <v>2123</v>
      </c>
      <c r="M635" s="5">
        <f t="shared" si="55"/>
        <v>5</v>
      </c>
      <c r="N635" t="str">
        <f t="shared" si="56"/>
        <v>August</v>
      </c>
      <c r="O635" t="str">
        <f t="shared" si="57"/>
        <v>Monday</v>
      </c>
      <c r="P635">
        <f t="shared" si="54"/>
        <v>12</v>
      </c>
      <c r="Q635" s="2">
        <f t="shared" si="58"/>
        <v>1</v>
      </c>
      <c r="R635" s="2">
        <f t="shared" si="59"/>
        <v>8</v>
      </c>
      <c r="S635">
        <f>SUMIF(Table1[product_category],"Bakery",Table1[Total_bill])</f>
        <v>2951.25</v>
      </c>
    </row>
    <row r="636" spans="1:19" x14ac:dyDescent="0.3">
      <c r="A636" s="2">
        <v>10635</v>
      </c>
      <c r="B636" s="4">
        <v>46266</v>
      </c>
      <c r="C636" t="s">
        <v>788</v>
      </c>
      <c r="D636" t="s">
        <v>18</v>
      </c>
      <c r="E636" t="s">
        <v>19</v>
      </c>
      <c r="F636" t="s">
        <v>221</v>
      </c>
      <c r="G636">
        <v>1</v>
      </c>
      <c r="H636" s="5">
        <v>3.5</v>
      </c>
      <c r="I636" t="s">
        <v>36</v>
      </c>
      <c r="J636" t="s">
        <v>37</v>
      </c>
      <c r="K636" t="s">
        <v>62</v>
      </c>
      <c r="L636" t="s">
        <v>2123</v>
      </c>
      <c r="M636" s="5">
        <f t="shared" si="55"/>
        <v>3.5</v>
      </c>
      <c r="N636" t="str">
        <f t="shared" si="56"/>
        <v>September</v>
      </c>
      <c r="O636" t="str">
        <f t="shared" si="57"/>
        <v>Tuesday</v>
      </c>
      <c r="P636">
        <f t="shared" si="54"/>
        <v>7</v>
      </c>
      <c r="Q636" s="2">
        <f t="shared" si="58"/>
        <v>2</v>
      </c>
      <c r="R636" s="2">
        <f t="shared" si="59"/>
        <v>9</v>
      </c>
      <c r="S636">
        <f>SUMIF(Table1[product_category],"Bakery",Table1[Total_bill])</f>
        <v>2951.25</v>
      </c>
    </row>
    <row r="637" spans="1:19" x14ac:dyDescent="0.3">
      <c r="A637" s="2">
        <v>10636</v>
      </c>
      <c r="B637" s="4">
        <v>46267</v>
      </c>
      <c r="C637" t="s">
        <v>789</v>
      </c>
      <c r="D637" t="s">
        <v>18</v>
      </c>
      <c r="E637" t="s">
        <v>19</v>
      </c>
      <c r="F637" t="s">
        <v>223</v>
      </c>
      <c r="G637">
        <v>3</v>
      </c>
      <c r="H637" s="5">
        <v>3.75</v>
      </c>
      <c r="I637" t="s">
        <v>32</v>
      </c>
      <c r="J637" t="s">
        <v>69</v>
      </c>
      <c r="K637" t="s">
        <v>69</v>
      </c>
      <c r="L637" t="s">
        <v>2122</v>
      </c>
      <c r="M637" s="5">
        <f t="shared" si="55"/>
        <v>11.25</v>
      </c>
      <c r="N637" t="str">
        <f t="shared" si="56"/>
        <v>September</v>
      </c>
      <c r="O637" t="str">
        <f t="shared" si="57"/>
        <v>Wednesday</v>
      </c>
      <c r="P637">
        <f t="shared" si="54"/>
        <v>11</v>
      </c>
      <c r="Q637" s="2">
        <f t="shared" si="58"/>
        <v>3</v>
      </c>
      <c r="R637" s="2">
        <f t="shared" si="59"/>
        <v>9</v>
      </c>
      <c r="S637">
        <f>SUMIF(Table1[product_category],"Bakery",Table1[Total_bill])</f>
        <v>2951.25</v>
      </c>
    </row>
    <row r="638" spans="1:19" x14ac:dyDescent="0.3">
      <c r="A638" s="2">
        <v>10637</v>
      </c>
      <c r="B638" s="4">
        <v>46268</v>
      </c>
      <c r="C638" t="s">
        <v>790</v>
      </c>
      <c r="D638" t="s">
        <v>25</v>
      </c>
      <c r="E638" t="s">
        <v>26</v>
      </c>
      <c r="F638" t="s">
        <v>225</v>
      </c>
      <c r="G638">
        <v>4</v>
      </c>
      <c r="H638" s="5">
        <v>2.5</v>
      </c>
      <c r="I638" t="s">
        <v>21</v>
      </c>
      <c r="J638" t="s">
        <v>47</v>
      </c>
      <c r="K638" t="s">
        <v>48</v>
      </c>
      <c r="L638" t="s">
        <v>2125</v>
      </c>
      <c r="M638" s="5">
        <f t="shared" si="55"/>
        <v>10</v>
      </c>
      <c r="N638" t="str">
        <f t="shared" si="56"/>
        <v>September</v>
      </c>
      <c r="O638" t="str">
        <f t="shared" si="57"/>
        <v>Thursday</v>
      </c>
      <c r="P638">
        <f t="shared" si="54"/>
        <v>12</v>
      </c>
      <c r="Q638" s="2">
        <f t="shared" si="58"/>
        <v>4</v>
      </c>
      <c r="R638" s="2">
        <f t="shared" si="59"/>
        <v>9</v>
      </c>
      <c r="S638">
        <f>SUMIF(Table1[product_category],"Bakery",Table1[Total_bill])</f>
        <v>2951.25</v>
      </c>
    </row>
    <row r="639" spans="1:19" x14ac:dyDescent="0.3">
      <c r="A639" s="2">
        <v>10638</v>
      </c>
      <c r="B639" s="4">
        <v>46269</v>
      </c>
      <c r="C639" t="s">
        <v>791</v>
      </c>
      <c r="D639" t="s">
        <v>25</v>
      </c>
      <c r="E639" t="s">
        <v>26</v>
      </c>
      <c r="F639" t="s">
        <v>229</v>
      </c>
      <c r="G639">
        <v>3</v>
      </c>
      <c r="H639" s="5">
        <v>4.25</v>
      </c>
      <c r="I639" t="s">
        <v>32</v>
      </c>
      <c r="J639" t="s">
        <v>69</v>
      </c>
      <c r="K639" t="s">
        <v>69</v>
      </c>
      <c r="L639" t="s">
        <v>2124</v>
      </c>
      <c r="M639" s="5">
        <f t="shared" si="55"/>
        <v>12.75</v>
      </c>
      <c r="N639" t="str">
        <f t="shared" si="56"/>
        <v>September</v>
      </c>
      <c r="O639" t="str">
        <f t="shared" si="57"/>
        <v>Friday</v>
      </c>
      <c r="P639">
        <f t="shared" si="54"/>
        <v>8</v>
      </c>
      <c r="Q639" s="2">
        <f t="shared" si="58"/>
        <v>5</v>
      </c>
      <c r="R639" s="2">
        <f t="shared" si="59"/>
        <v>9</v>
      </c>
      <c r="S639">
        <f>SUMIF(Table1[product_category],"Bakery",Table1[Total_bill])</f>
        <v>2951.25</v>
      </c>
    </row>
    <row r="640" spans="1:19" x14ac:dyDescent="0.3">
      <c r="A640" s="2">
        <v>10639</v>
      </c>
      <c r="B640" s="4">
        <v>46270</v>
      </c>
      <c r="C640" t="s">
        <v>792</v>
      </c>
      <c r="D640" t="s">
        <v>25</v>
      </c>
      <c r="E640" t="s">
        <v>26</v>
      </c>
      <c r="F640" t="s">
        <v>231</v>
      </c>
      <c r="G640">
        <v>4</v>
      </c>
      <c r="H640" s="5">
        <v>4</v>
      </c>
      <c r="I640" t="s">
        <v>89</v>
      </c>
      <c r="J640" t="s">
        <v>261</v>
      </c>
      <c r="K640" t="s">
        <v>261</v>
      </c>
      <c r="L640" t="s">
        <v>2124</v>
      </c>
      <c r="M640" s="5">
        <f t="shared" si="55"/>
        <v>16</v>
      </c>
      <c r="N640" t="str">
        <f t="shared" si="56"/>
        <v>September</v>
      </c>
      <c r="O640" t="str">
        <f t="shared" si="57"/>
        <v>Saturday</v>
      </c>
      <c r="P640">
        <f t="shared" si="54"/>
        <v>9</v>
      </c>
      <c r="Q640" s="2">
        <f t="shared" si="58"/>
        <v>6</v>
      </c>
      <c r="R640" s="2">
        <f t="shared" si="59"/>
        <v>9</v>
      </c>
      <c r="S640">
        <f>SUMIF(Table1[product_category],"Bakery",Table1[Total_bill])</f>
        <v>2951.25</v>
      </c>
    </row>
    <row r="641" spans="1:19" x14ac:dyDescent="0.3">
      <c r="A641" s="2">
        <v>10640</v>
      </c>
      <c r="B641" s="4">
        <v>46271</v>
      </c>
      <c r="C641" t="s">
        <v>793</v>
      </c>
      <c r="D641" t="s">
        <v>40</v>
      </c>
      <c r="E641" t="s">
        <v>41</v>
      </c>
      <c r="F641" t="s">
        <v>233</v>
      </c>
      <c r="G641">
        <v>4</v>
      </c>
      <c r="H641" s="5">
        <v>4</v>
      </c>
      <c r="I641" t="s">
        <v>89</v>
      </c>
      <c r="J641" t="s">
        <v>261</v>
      </c>
      <c r="K641" t="s">
        <v>261</v>
      </c>
      <c r="L641" t="s">
        <v>2124</v>
      </c>
      <c r="M641" s="5">
        <f t="shared" si="55"/>
        <v>16</v>
      </c>
      <c r="N641" t="str">
        <f t="shared" si="56"/>
        <v>September</v>
      </c>
      <c r="O641" t="str">
        <f t="shared" si="57"/>
        <v>Sunday</v>
      </c>
      <c r="P641">
        <f t="shared" si="54"/>
        <v>10</v>
      </c>
      <c r="Q641" s="2">
        <f t="shared" si="58"/>
        <v>7</v>
      </c>
      <c r="R641" s="2">
        <f t="shared" si="59"/>
        <v>9</v>
      </c>
      <c r="S641">
        <f>SUMIF(Table1[product_category],"Bakery",Table1[Total_bill])</f>
        <v>2951.25</v>
      </c>
    </row>
    <row r="642" spans="1:19" x14ac:dyDescent="0.3">
      <c r="A642" s="2">
        <v>10641</v>
      </c>
      <c r="B642" s="4">
        <v>46272</v>
      </c>
      <c r="C642" t="s">
        <v>794</v>
      </c>
      <c r="D642" t="s">
        <v>18</v>
      </c>
      <c r="E642" t="s">
        <v>19</v>
      </c>
      <c r="F642" t="s">
        <v>20</v>
      </c>
      <c r="G642">
        <v>4</v>
      </c>
      <c r="H642" s="5">
        <v>2.5</v>
      </c>
      <c r="I642" t="s">
        <v>36</v>
      </c>
      <c r="J642" t="s">
        <v>37</v>
      </c>
      <c r="K642" t="s">
        <v>62</v>
      </c>
      <c r="L642" t="s">
        <v>2122</v>
      </c>
      <c r="M642" s="5">
        <f t="shared" si="55"/>
        <v>10</v>
      </c>
      <c r="N642" t="str">
        <f t="shared" si="56"/>
        <v>September</v>
      </c>
      <c r="O642" t="str">
        <f t="shared" si="57"/>
        <v>Monday</v>
      </c>
      <c r="P642">
        <f t="shared" ref="P642:P705" si="60">HOUR(TIMEVALUE(C642))</f>
        <v>6</v>
      </c>
      <c r="Q642" s="2">
        <f t="shared" si="58"/>
        <v>1</v>
      </c>
      <c r="R642" s="2">
        <f t="shared" si="59"/>
        <v>9</v>
      </c>
      <c r="S642">
        <f>SUMIF(Table1[product_category],"Bakery",Table1[Total_bill])</f>
        <v>2951.25</v>
      </c>
    </row>
    <row r="643" spans="1:19" x14ac:dyDescent="0.3">
      <c r="A643" s="2">
        <v>10642</v>
      </c>
      <c r="B643" s="4">
        <v>46273</v>
      </c>
      <c r="C643" t="s">
        <v>795</v>
      </c>
      <c r="D643" t="s">
        <v>25</v>
      </c>
      <c r="E643" t="s">
        <v>26</v>
      </c>
      <c r="F643" t="s">
        <v>27</v>
      </c>
      <c r="G643">
        <v>1</v>
      </c>
      <c r="H643" s="5">
        <v>3</v>
      </c>
      <c r="I643" t="s">
        <v>21</v>
      </c>
      <c r="J643" t="s">
        <v>181</v>
      </c>
      <c r="K643" t="s">
        <v>182</v>
      </c>
      <c r="L643" t="s">
        <v>2125</v>
      </c>
      <c r="M643" s="5">
        <f t="shared" ref="M643:M706" si="61">G643*H643</f>
        <v>3</v>
      </c>
      <c r="N643" t="str">
        <f t="shared" ref="N643:N706" si="62">TEXT(B643,"mmmm")</f>
        <v>September</v>
      </c>
      <c r="O643" t="str">
        <f t="shared" ref="O643:O706" si="63">TEXT(B643,"dddd")</f>
        <v>Tuesday</v>
      </c>
      <c r="P643">
        <f t="shared" si="60"/>
        <v>9</v>
      </c>
      <c r="Q643" s="2">
        <f t="shared" ref="Q643:Q706" si="64">WEEKDAY(B643,2)</f>
        <v>2</v>
      </c>
      <c r="R643" s="2">
        <f t="shared" ref="R643:R706" si="65">MONTH(B643)</f>
        <v>9</v>
      </c>
      <c r="S643">
        <f>SUMIF(Table1[product_category],"Bakery",Table1[Total_bill])</f>
        <v>2951.25</v>
      </c>
    </row>
    <row r="644" spans="1:19" x14ac:dyDescent="0.3">
      <c r="A644" s="2">
        <v>10643</v>
      </c>
      <c r="B644" s="4">
        <v>46274</v>
      </c>
      <c r="C644" t="s">
        <v>796</v>
      </c>
      <c r="D644" t="s">
        <v>25</v>
      </c>
      <c r="E644" t="s">
        <v>26</v>
      </c>
      <c r="F644" t="s">
        <v>31</v>
      </c>
      <c r="G644">
        <v>2</v>
      </c>
      <c r="H644" s="5">
        <v>2.5</v>
      </c>
      <c r="I644" t="s">
        <v>21</v>
      </c>
      <c r="J644" t="s">
        <v>47</v>
      </c>
      <c r="K644" t="s">
        <v>48</v>
      </c>
      <c r="L644" t="s">
        <v>2125</v>
      </c>
      <c r="M644" s="5">
        <f t="shared" si="61"/>
        <v>5</v>
      </c>
      <c r="N644" t="str">
        <f t="shared" si="62"/>
        <v>September</v>
      </c>
      <c r="O644" t="str">
        <f t="shared" si="63"/>
        <v>Wednesday</v>
      </c>
      <c r="P644">
        <f t="shared" si="60"/>
        <v>8</v>
      </c>
      <c r="Q644" s="2">
        <f t="shared" si="64"/>
        <v>3</v>
      </c>
      <c r="R644" s="2">
        <f t="shared" si="65"/>
        <v>9</v>
      </c>
      <c r="S644">
        <f>SUMIF(Table1[product_category],"Bakery",Table1[Total_bill])</f>
        <v>2951.25</v>
      </c>
    </row>
    <row r="645" spans="1:19" x14ac:dyDescent="0.3">
      <c r="A645" s="2">
        <v>10644</v>
      </c>
      <c r="B645" s="4">
        <v>46275</v>
      </c>
      <c r="C645" t="s">
        <v>797</v>
      </c>
      <c r="D645" t="s">
        <v>25</v>
      </c>
      <c r="E645" t="s">
        <v>26</v>
      </c>
      <c r="F645" t="s">
        <v>35</v>
      </c>
      <c r="G645">
        <v>1</v>
      </c>
      <c r="H645" s="5">
        <v>8</v>
      </c>
      <c r="I645" t="s">
        <v>28</v>
      </c>
      <c r="J645" t="s">
        <v>28</v>
      </c>
      <c r="K645" t="s">
        <v>76</v>
      </c>
      <c r="L645" t="s">
        <v>2125</v>
      </c>
      <c r="M645" s="5">
        <f t="shared" si="61"/>
        <v>8</v>
      </c>
      <c r="N645" t="str">
        <f t="shared" si="62"/>
        <v>September</v>
      </c>
      <c r="O645" t="str">
        <f t="shared" si="63"/>
        <v>Thursday</v>
      </c>
      <c r="P645">
        <f t="shared" si="60"/>
        <v>9</v>
      </c>
      <c r="Q645" s="2">
        <f t="shared" si="64"/>
        <v>4</v>
      </c>
      <c r="R645" s="2">
        <f t="shared" si="65"/>
        <v>9</v>
      </c>
      <c r="S645">
        <f>SUMIF(Table1[product_category],"Bakery",Table1[Total_bill])</f>
        <v>2951.25</v>
      </c>
    </row>
    <row r="646" spans="1:19" x14ac:dyDescent="0.3">
      <c r="A646" s="2">
        <v>10645</v>
      </c>
      <c r="B646" s="4">
        <v>46276</v>
      </c>
      <c r="C646" t="s">
        <v>798</v>
      </c>
      <c r="D646" t="s">
        <v>40</v>
      </c>
      <c r="E646" t="s">
        <v>41</v>
      </c>
      <c r="F646" t="s">
        <v>42</v>
      </c>
      <c r="G646">
        <v>2</v>
      </c>
      <c r="H646" s="5">
        <v>3</v>
      </c>
      <c r="I646" t="s">
        <v>32</v>
      </c>
      <c r="J646" t="s">
        <v>226</v>
      </c>
      <c r="K646" t="s">
        <v>227</v>
      </c>
      <c r="L646" t="s">
        <v>2124</v>
      </c>
      <c r="M646" s="5">
        <f t="shared" si="61"/>
        <v>6</v>
      </c>
      <c r="N646" t="str">
        <f t="shared" si="62"/>
        <v>September</v>
      </c>
      <c r="O646" t="str">
        <f t="shared" si="63"/>
        <v>Friday</v>
      </c>
      <c r="P646">
        <f t="shared" si="60"/>
        <v>7</v>
      </c>
      <c r="Q646" s="2">
        <f t="shared" si="64"/>
        <v>5</v>
      </c>
      <c r="R646" s="2">
        <f t="shared" si="65"/>
        <v>9</v>
      </c>
      <c r="S646">
        <f>SUMIF(Table1[product_category],"Bakery",Table1[Total_bill])</f>
        <v>2951.25</v>
      </c>
    </row>
    <row r="647" spans="1:19" x14ac:dyDescent="0.3">
      <c r="A647" s="2">
        <v>10646</v>
      </c>
      <c r="B647" s="4">
        <v>46277</v>
      </c>
      <c r="C647" t="s">
        <v>799</v>
      </c>
      <c r="D647" t="s">
        <v>25</v>
      </c>
      <c r="E647" t="s">
        <v>26</v>
      </c>
      <c r="F647" t="s">
        <v>46</v>
      </c>
      <c r="G647">
        <v>3</v>
      </c>
      <c r="H647" s="5">
        <v>3.5</v>
      </c>
      <c r="I647" t="s">
        <v>32</v>
      </c>
      <c r="J647" t="s">
        <v>94</v>
      </c>
      <c r="K647" t="s">
        <v>95</v>
      </c>
      <c r="L647" t="s">
        <v>2122</v>
      </c>
      <c r="M647" s="5">
        <f t="shared" si="61"/>
        <v>10.5</v>
      </c>
      <c r="N647" t="str">
        <f t="shared" si="62"/>
        <v>September</v>
      </c>
      <c r="O647" t="str">
        <f t="shared" si="63"/>
        <v>Saturday</v>
      </c>
      <c r="P647">
        <f t="shared" si="60"/>
        <v>18</v>
      </c>
      <c r="Q647" s="2">
        <f t="shared" si="64"/>
        <v>6</v>
      </c>
      <c r="R647" s="2">
        <f t="shared" si="65"/>
        <v>9</v>
      </c>
      <c r="S647">
        <f>SUMIF(Table1[product_category],"Bakery",Table1[Total_bill])</f>
        <v>2951.25</v>
      </c>
    </row>
    <row r="648" spans="1:19" x14ac:dyDescent="0.3">
      <c r="A648" s="2">
        <v>10647</v>
      </c>
      <c r="B648" s="4">
        <v>46278</v>
      </c>
      <c r="C648" t="s">
        <v>800</v>
      </c>
      <c r="D648" t="s">
        <v>18</v>
      </c>
      <c r="E648" t="s">
        <v>19</v>
      </c>
      <c r="F648" t="s">
        <v>50</v>
      </c>
      <c r="G648">
        <v>3</v>
      </c>
      <c r="H648" s="5">
        <v>8</v>
      </c>
      <c r="I648" t="s">
        <v>28</v>
      </c>
      <c r="J648" t="s">
        <v>28</v>
      </c>
      <c r="K648" t="s">
        <v>76</v>
      </c>
      <c r="L648" t="s">
        <v>2125</v>
      </c>
      <c r="M648" s="5">
        <f t="shared" si="61"/>
        <v>24</v>
      </c>
      <c r="N648" t="str">
        <f t="shared" si="62"/>
        <v>September</v>
      </c>
      <c r="O648" t="str">
        <f t="shared" si="63"/>
        <v>Sunday</v>
      </c>
      <c r="P648">
        <f t="shared" si="60"/>
        <v>13</v>
      </c>
      <c r="Q648" s="2">
        <f t="shared" si="64"/>
        <v>7</v>
      </c>
      <c r="R648" s="2">
        <f t="shared" si="65"/>
        <v>9</v>
      </c>
      <c r="S648">
        <f>SUMIF(Table1[product_category],"Bakery",Table1[Total_bill])</f>
        <v>2951.25</v>
      </c>
    </row>
    <row r="649" spans="1:19" x14ac:dyDescent="0.3">
      <c r="A649" s="2">
        <v>10648</v>
      </c>
      <c r="B649" s="4">
        <v>46279</v>
      </c>
      <c r="C649" t="s">
        <v>801</v>
      </c>
      <c r="D649" t="s">
        <v>25</v>
      </c>
      <c r="E649" t="s">
        <v>26</v>
      </c>
      <c r="F649" t="s">
        <v>54</v>
      </c>
      <c r="G649">
        <v>4</v>
      </c>
      <c r="H649" s="5">
        <v>2.75</v>
      </c>
      <c r="I649" t="s">
        <v>32</v>
      </c>
      <c r="J649" t="s">
        <v>144</v>
      </c>
      <c r="K649" t="s">
        <v>144</v>
      </c>
      <c r="L649" t="s">
        <v>2122</v>
      </c>
      <c r="M649" s="5">
        <f t="shared" si="61"/>
        <v>11</v>
      </c>
      <c r="N649" t="str">
        <f t="shared" si="62"/>
        <v>September</v>
      </c>
      <c r="O649" t="str">
        <f t="shared" si="63"/>
        <v>Monday</v>
      </c>
      <c r="P649">
        <f t="shared" si="60"/>
        <v>14</v>
      </c>
      <c r="Q649" s="2">
        <f t="shared" si="64"/>
        <v>1</v>
      </c>
      <c r="R649" s="2">
        <f t="shared" si="65"/>
        <v>9</v>
      </c>
      <c r="S649">
        <f>SUMIF(Table1[product_category],"Bakery",Table1[Total_bill])</f>
        <v>2951.25</v>
      </c>
    </row>
    <row r="650" spans="1:19" x14ac:dyDescent="0.3">
      <c r="A650" s="2">
        <v>10649</v>
      </c>
      <c r="B650" s="4">
        <v>46280</v>
      </c>
      <c r="C650" t="s">
        <v>802</v>
      </c>
      <c r="D650" t="s">
        <v>40</v>
      </c>
      <c r="E650" t="s">
        <v>41</v>
      </c>
      <c r="F650" t="s">
        <v>57</v>
      </c>
      <c r="G650">
        <v>3</v>
      </c>
      <c r="H650" s="5">
        <v>4.25</v>
      </c>
      <c r="I650" t="s">
        <v>32</v>
      </c>
      <c r="J650" t="s">
        <v>202</v>
      </c>
      <c r="K650" t="s">
        <v>202</v>
      </c>
      <c r="L650" t="s">
        <v>2124</v>
      </c>
      <c r="M650" s="5">
        <f t="shared" si="61"/>
        <v>12.75</v>
      </c>
      <c r="N650" t="str">
        <f t="shared" si="62"/>
        <v>September</v>
      </c>
      <c r="O650" t="str">
        <f t="shared" si="63"/>
        <v>Tuesday</v>
      </c>
      <c r="P650">
        <f t="shared" si="60"/>
        <v>16</v>
      </c>
      <c r="Q650" s="2">
        <f t="shared" si="64"/>
        <v>2</v>
      </c>
      <c r="R650" s="2">
        <f t="shared" si="65"/>
        <v>9</v>
      </c>
      <c r="S650">
        <f>SUMIF(Table1[product_category],"Bakery",Table1[Total_bill])</f>
        <v>2951.25</v>
      </c>
    </row>
    <row r="651" spans="1:19" x14ac:dyDescent="0.3">
      <c r="A651" s="2">
        <v>10650</v>
      </c>
      <c r="B651" s="4">
        <v>46281</v>
      </c>
      <c r="C651" t="s">
        <v>803</v>
      </c>
      <c r="D651" t="s">
        <v>40</v>
      </c>
      <c r="E651" t="s">
        <v>41</v>
      </c>
      <c r="F651" t="s">
        <v>61</v>
      </c>
      <c r="G651">
        <v>2</v>
      </c>
      <c r="H651" s="5">
        <v>5.5</v>
      </c>
      <c r="I651" t="s">
        <v>72</v>
      </c>
      <c r="J651" t="s">
        <v>72</v>
      </c>
      <c r="K651" t="s">
        <v>141</v>
      </c>
      <c r="L651" t="s">
        <v>2125</v>
      </c>
      <c r="M651" s="5">
        <f t="shared" si="61"/>
        <v>11</v>
      </c>
      <c r="N651" t="str">
        <f t="shared" si="62"/>
        <v>September</v>
      </c>
      <c r="O651" t="str">
        <f t="shared" si="63"/>
        <v>Wednesday</v>
      </c>
      <c r="P651">
        <f t="shared" si="60"/>
        <v>11</v>
      </c>
      <c r="Q651" s="2">
        <f t="shared" si="64"/>
        <v>3</v>
      </c>
      <c r="R651" s="2">
        <f t="shared" si="65"/>
        <v>9</v>
      </c>
      <c r="S651">
        <f>SUMIF(Table1[product_category],"Bakery",Table1[Total_bill])</f>
        <v>2951.25</v>
      </c>
    </row>
    <row r="652" spans="1:19" x14ac:dyDescent="0.3">
      <c r="A652" s="2">
        <v>10651</v>
      </c>
      <c r="B652" s="4">
        <v>46282</v>
      </c>
      <c r="C652" t="s">
        <v>804</v>
      </c>
      <c r="D652" t="s">
        <v>25</v>
      </c>
      <c r="E652" t="s">
        <v>26</v>
      </c>
      <c r="F652" t="s">
        <v>64</v>
      </c>
      <c r="G652">
        <v>1</v>
      </c>
      <c r="H652" s="5">
        <v>3</v>
      </c>
      <c r="I652" t="s">
        <v>21</v>
      </c>
      <c r="J652" t="s">
        <v>181</v>
      </c>
      <c r="K652" t="s">
        <v>182</v>
      </c>
      <c r="L652" t="s">
        <v>2125</v>
      </c>
      <c r="M652" s="5">
        <f t="shared" si="61"/>
        <v>3</v>
      </c>
      <c r="N652" t="str">
        <f t="shared" si="62"/>
        <v>September</v>
      </c>
      <c r="O652" t="str">
        <f t="shared" si="63"/>
        <v>Thursday</v>
      </c>
      <c r="P652">
        <f t="shared" si="60"/>
        <v>7</v>
      </c>
      <c r="Q652" s="2">
        <f t="shared" si="64"/>
        <v>4</v>
      </c>
      <c r="R652" s="2">
        <f t="shared" si="65"/>
        <v>9</v>
      </c>
      <c r="S652">
        <f>SUMIF(Table1[product_category],"Bakery",Table1[Total_bill])</f>
        <v>2951.25</v>
      </c>
    </row>
    <row r="653" spans="1:19" x14ac:dyDescent="0.3">
      <c r="A653" s="2">
        <v>10652</v>
      </c>
      <c r="B653" s="4">
        <v>46283</v>
      </c>
      <c r="C653" t="s">
        <v>805</v>
      </c>
      <c r="D653" t="s">
        <v>40</v>
      </c>
      <c r="E653" t="s">
        <v>41</v>
      </c>
      <c r="F653" t="s">
        <v>66</v>
      </c>
      <c r="G653">
        <v>4</v>
      </c>
      <c r="H653" s="5">
        <v>4.5</v>
      </c>
      <c r="I653" t="s">
        <v>89</v>
      </c>
      <c r="J653" t="s">
        <v>90</v>
      </c>
      <c r="K653" t="s">
        <v>91</v>
      </c>
      <c r="L653" t="s">
        <v>2124</v>
      </c>
      <c r="M653" s="5">
        <f t="shared" si="61"/>
        <v>18</v>
      </c>
      <c r="N653" t="str">
        <f t="shared" si="62"/>
        <v>September</v>
      </c>
      <c r="O653" t="str">
        <f t="shared" si="63"/>
        <v>Friday</v>
      </c>
      <c r="P653">
        <f t="shared" si="60"/>
        <v>12</v>
      </c>
      <c r="Q653" s="2">
        <f t="shared" si="64"/>
        <v>5</v>
      </c>
      <c r="R653" s="2">
        <f t="shared" si="65"/>
        <v>9</v>
      </c>
      <c r="S653">
        <f>SUMIF(Table1[product_category],"Bakery",Table1[Total_bill])</f>
        <v>2951.25</v>
      </c>
    </row>
    <row r="654" spans="1:19" x14ac:dyDescent="0.3">
      <c r="A654" s="2">
        <v>10653</v>
      </c>
      <c r="B654" s="4">
        <v>46284</v>
      </c>
      <c r="C654" t="s">
        <v>806</v>
      </c>
      <c r="D654" t="s">
        <v>18</v>
      </c>
      <c r="E654" t="s">
        <v>19</v>
      </c>
      <c r="F654" t="s">
        <v>68</v>
      </c>
      <c r="G654">
        <v>4</v>
      </c>
      <c r="H654" s="5">
        <v>9.5</v>
      </c>
      <c r="I654" t="s">
        <v>28</v>
      </c>
      <c r="J654" t="s">
        <v>28</v>
      </c>
      <c r="K654" t="s">
        <v>29</v>
      </c>
      <c r="L654" t="s">
        <v>2125</v>
      </c>
      <c r="M654" s="5">
        <f t="shared" si="61"/>
        <v>38</v>
      </c>
      <c r="N654" t="str">
        <f t="shared" si="62"/>
        <v>September</v>
      </c>
      <c r="O654" t="str">
        <f t="shared" si="63"/>
        <v>Saturday</v>
      </c>
      <c r="P654">
        <f t="shared" si="60"/>
        <v>13</v>
      </c>
      <c r="Q654" s="2">
        <f t="shared" si="64"/>
        <v>6</v>
      </c>
      <c r="R654" s="2">
        <f t="shared" si="65"/>
        <v>9</v>
      </c>
      <c r="S654">
        <f>SUMIF(Table1[product_category],"Bakery",Table1[Total_bill])</f>
        <v>2951.25</v>
      </c>
    </row>
    <row r="655" spans="1:19" x14ac:dyDescent="0.3">
      <c r="A655" s="2">
        <v>10654</v>
      </c>
      <c r="B655" s="4">
        <v>46285</v>
      </c>
      <c r="C655" t="s">
        <v>807</v>
      </c>
      <c r="D655" t="s">
        <v>40</v>
      </c>
      <c r="E655" t="s">
        <v>41</v>
      </c>
      <c r="F655" t="s">
        <v>71</v>
      </c>
      <c r="G655">
        <v>2</v>
      </c>
      <c r="H655" s="5">
        <v>2.25</v>
      </c>
      <c r="I655" t="s">
        <v>21</v>
      </c>
      <c r="J655" t="s">
        <v>58</v>
      </c>
      <c r="K655" t="s">
        <v>59</v>
      </c>
      <c r="L655" t="s">
        <v>2125</v>
      </c>
      <c r="M655" s="5">
        <f t="shared" si="61"/>
        <v>4.5</v>
      </c>
      <c r="N655" t="str">
        <f t="shared" si="62"/>
        <v>September</v>
      </c>
      <c r="O655" t="str">
        <f t="shared" si="63"/>
        <v>Sunday</v>
      </c>
      <c r="P655">
        <f t="shared" si="60"/>
        <v>15</v>
      </c>
      <c r="Q655" s="2">
        <f t="shared" si="64"/>
        <v>7</v>
      </c>
      <c r="R655" s="2">
        <f t="shared" si="65"/>
        <v>9</v>
      </c>
      <c r="S655">
        <f>SUMIF(Table1[product_category],"Bakery",Table1[Total_bill])</f>
        <v>2951.25</v>
      </c>
    </row>
    <row r="656" spans="1:19" x14ac:dyDescent="0.3">
      <c r="A656" s="2">
        <v>10655</v>
      </c>
      <c r="B656" s="4">
        <v>46286</v>
      </c>
      <c r="C656" t="s">
        <v>808</v>
      </c>
      <c r="D656" t="s">
        <v>40</v>
      </c>
      <c r="E656" t="s">
        <v>41</v>
      </c>
      <c r="F656" t="s">
        <v>75</v>
      </c>
      <c r="G656">
        <v>3</v>
      </c>
      <c r="H656" s="5">
        <v>5.5</v>
      </c>
      <c r="I656" t="s">
        <v>72</v>
      </c>
      <c r="J656" t="s">
        <v>72</v>
      </c>
      <c r="K656" t="s">
        <v>73</v>
      </c>
      <c r="L656" t="s">
        <v>2125</v>
      </c>
      <c r="M656" s="5">
        <f t="shared" si="61"/>
        <v>16.5</v>
      </c>
      <c r="N656" t="str">
        <f t="shared" si="62"/>
        <v>September</v>
      </c>
      <c r="O656" t="str">
        <f t="shared" si="63"/>
        <v>Monday</v>
      </c>
      <c r="P656">
        <f t="shared" si="60"/>
        <v>11</v>
      </c>
      <c r="Q656" s="2">
        <f t="shared" si="64"/>
        <v>1</v>
      </c>
      <c r="R656" s="2">
        <f t="shared" si="65"/>
        <v>9</v>
      </c>
      <c r="S656">
        <f>SUMIF(Table1[product_category],"Bakery",Table1[Total_bill])</f>
        <v>2951.25</v>
      </c>
    </row>
    <row r="657" spans="1:19" x14ac:dyDescent="0.3">
      <c r="A657" s="2">
        <v>10656</v>
      </c>
      <c r="B657" s="4">
        <v>46287</v>
      </c>
      <c r="C657" t="s">
        <v>809</v>
      </c>
      <c r="D657" t="s">
        <v>18</v>
      </c>
      <c r="E657" t="s">
        <v>19</v>
      </c>
      <c r="F657" t="s">
        <v>78</v>
      </c>
      <c r="G657">
        <v>1</v>
      </c>
      <c r="H657" s="5">
        <v>3.5</v>
      </c>
      <c r="I657" t="s">
        <v>32</v>
      </c>
      <c r="J657" t="s">
        <v>94</v>
      </c>
      <c r="K657" t="s">
        <v>95</v>
      </c>
      <c r="L657" t="s">
        <v>2122</v>
      </c>
      <c r="M657" s="5">
        <f t="shared" si="61"/>
        <v>3.5</v>
      </c>
      <c r="N657" t="str">
        <f t="shared" si="62"/>
        <v>September</v>
      </c>
      <c r="O657" t="str">
        <f t="shared" si="63"/>
        <v>Tuesday</v>
      </c>
      <c r="P657">
        <f t="shared" si="60"/>
        <v>7</v>
      </c>
      <c r="Q657" s="2">
        <f t="shared" si="64"/>
        <v>2</v>
      </c>
      <c r="R657" s="2">
        <f t="shared" si="65"/>
        <v>9</v>
      </c>
      <c r="S657">
        <f>SUMIF(Table1[product_category],"Bakery",Table1[Total_bill])</f>
        <v>2951.25</v>
      </c>
    </row>
    <row r="658" spans="1:19" x14ac:dyDescent="0.3">
      <c r="A658" s="2">
        <v>10657</v>
      </c>
      <c r="B658" s="4">
        <v>46288</v>
      </c>
      <c r="C658" t="s">
        <v>810</v>
      </c>
      <c r="D658" t="s">
        <v>18</v>
      </c>
      <c r="E658" t="s">
        <v>19</v>
      </c>
      <c r="F658" t="s">
        <v>80</v>
      </c>
      <c r="G658">
        <v>2</v>
      </c>
      <c r="H658" s="5">
        <v>11</v>
      </c>
      <c r="I658" t="s">
        <v>98</v>
      </c>
      <c r="J658" t="s">
        <v>98</v>
      </c>
      <c r="K658" t="s">
        <v>215</v>
      </c>
      <c r="L658" t="s">
        <v>2125</v>
      </c>
      <c r="M658" s="5">
        <f t="shared" si="61"/>
        <v>22</v>
      </c>
      <c r="N658" t="str">
        <f t="shared" si="62"/>
        <v>September</v>
      </c>
      <c r="O658" t="str">
        <f t="shared" si="63"/>
        <v>Wednesday</v>
      </c>
      <c r="P658">
        <f t="shared" si="60"/>
        <v>9</v>
      </c>
      <c r="Q658" s="2">
        <f t="shared" si="64"/>
        <v>3</v>
      </c>
      <c r="R658" s="2">
        <f t="shared" si="65"/>
        <v>9</v>
      </c>
      <c r="S658">
        <f>SUMIF(Table1[product_category],"Bakery",Table1[Total_bill])</f>
        <v>2951.25</v>
      </c>
    </row>
    <row r="659" spans="1:19" x14ac:dyDescent="0.3">
      <c r="A659" s="2">
        <v>10658</v>
      </c>
      <c r="B659" s="4">
        <v>46289</v>
      </c>
      <c r="C659" t="s">
        <v>811</v>
      </c>
      <c r="D659" t="s">
        <v>40</v>
      </c>
      <c r="E659" t="s">
        <v>41</v>
      </c>
      <c r="F659" t="s">
        <v>84</v>
      </c>
      <c r="G659">
        <v>4</v>
      </c>
      <c r="H659" s="5">
        <v>24</v>
      </c>
      <c r="I659" t="s">
        <v>101</v>
      </c>
      <c r="J659" t="s">
        <v>102</v>
      </c>
      <c r="K659" t="s">
        <v>103</v>
      </c>
      <c r="L659" t="s">
        <v>2125</v>
      </c>
      <c r="M659" s="5">
        <f t="shared" si="61"/>
        <v>96</v>
      </c>
      <c r="N659" t="str">
        <f t="shared" si="62"/>
        <v>September</v>
      </c>
      <c r="O659" t="str">
        <f t="shared" si="63"/>
        <v>Thursday</v>
      </c>
      <c r="P659">
        <f t="shared" si="60"/>
        <v>10</v>
      </c>
      <c r="Q659" s="2">
        <f t="shared" si="64"/>
        <v>4</v>
      </c>
      <c r="R659" s="2">
        <f t="shared" si="65"/>
        <v>9</v>
      </c>
      <c r="S659">
        <f>SUMIF(Table1[product_category],"Bakery",Table1[Total_bill])</f>
        <v>2951.25</v>
      </c>
    </row>
    <row r="660" spans="1:19" x14ac:dyDescent="0.3">
      <c r="A660" s="2">
        <v>10659</v>
      </c>
      <c r="B660" s="4">
        <v>46290</v>
      </c>
      <c r="C660" t="s">
        <v>812</v>
      </c>
      <c r="D660" t="s">
        <v>40</v>
      </c>
      <c r="E660" t="s">
        <v>41</v>
      </c>
      <c r="F660" t="s">
        <v>86</v>
      </c>
      <c r="G660">
        <v>3</v>
      </c>
      <c r="H660" s="5">
        <v>3.5</v>
      </c>
      <c r="I660" t="s">
        <v>36</v>
      </c>
      <c r="J660" t="s">
        <v>246</v>
      </c>
      <c r="K660" t="s">
        <v>247</v>
      </c>
      <c r="L660" t="s">
        <v>2123</v>
      </c>
      <c r="M660" s="5">
        <f t="shared" si="61"/>
        <v>10.5</v>
      </c>
      <c r="N660" t="str">
        <f t="shared" si="62"/>
        <v>September</v>
      </c>
      <c r="O660" t="str">
        <f t="shared" si="63"/>
        <v>Friday</v>
      </c>
      <c r="P660">
        <f t="shared" si="60"/>
        <v>14</v>
      </c>
      <c r="Q660" s="2">
        <f t="shared" si="64"/>
        <v>5</v>
      </c>
      <c r="R660" s="2">
        <f t="shared" si="65"/>
        <v>9</v>
      </c>
      <c r="S660">
        <f>SUMIF(Table1[product_category],"Bakery",Table1[Total_bill])</f>
        <v>2951.25</v>
      </c>
    </row>
    <row r="661" spans="1:19" x14ac:dyDescent="0.3">
      <c r="A661" s="2">
        <v>10660</v>
      </c>
      <c r="B661" s="4">
        <v>46291</v>
      </c>
      <c r="C661" t="s">
        <v>813</v>
      </c>
      <c r="D661" t="s">
        <v>18</v>
      </c>
      <c r="E661" t="s">
        <v>19</v>
      </c>
      <c r="F661" t="s">
        <v>88</v>
      </c>
      <c r="G661">
        <v>2</v>
      </c>
      <c r="H661" s="5">
        <v>3.75</v>
      </c>
      <c r="I661" t="s">
        <v>32</v>
      </c>
      <c r="J661" t="s">
        <v>226</v>
      </c>
      <c r="K661" t="s">
        <v>273</v>
      </c>
      <c r="L661" t="s">
        <v>2123</v>
      </c>
      <c r="M661" s="5">
        <f t="shared" si="61"/>
        <v>7.5</v>
      </c>
      <c r="N661" t="str">
        <f t="shared" si="62"/>
        <v>September</v>
      </c>
      <c r="O661" t="str">
        <f t="shared" si="63"/>
        <v>Saturday</v>
      </c>
      <c r="P661">
        <f t="shared" si="60"/>
        <v>13</v>
      </c>
      <c r="Q661" s="2">
        <f t="shared" si="64"/>
        <v>6</v>
      </c>
      <c r="R661" s="2">
        <f t="shared" si="65"/>
        <v>9</v>
      </c>
      <c r="S661">
        <f>SUMIF(Table1[product_category],"Bakery",Table1[Total_bill])</f>
        <v>2951.25</v>
      </c>
    </row>
    <row r="662" spans="1:19" x14ac:dyDescent="0.3">
      <c r="A662" s="2">
        <v>10661</v>
      </c>
      <c r="B662" s="4">
        <v>46292</v>
      </c>
      <c r="C662" t="s">
        <v>814</v>
      </c>
      <c r="D662" t="s">
        <v>25</v>
      </c>
      <c r="E662" t="s">
        <v>26</v>
      </c>
      <c r="F662" t="s">
        <v>93</v>
      </c>
      <c r="G662">
        <v>2</v>
      </c>
      <c r="H662" s="5">
        <v>3.25</v>
      </c>
      <c r="I662" t="s">
        <v>36</v>
      </c>
      <c r="J662" t="s">
        <v>211</v>
      </c>
      <c r="K662" t="s">
        <v>212</v>
      </c>
      <c r="L662" t="s">
        <v>2122</v>
      </c>
      <c r="M662" s="5">
        <f t="shared" si="61"/>
        <v>6.5</v>
      </c>
      <c r="N662" t="str">
        <f t="shared" si="62"/>
        <v>September</v>
      </c>
      <c r="O662" t="str">
        <f t="shared" si="63"/>
        <v>Sunday</v>
      </c>
      <c r="P662">
        <f t="shared" si="60"/>
        <v>10</v>
      </c>
      <c r="Q662" s="2">
        <f t="shared" si="64"/>
        <v>7</v>
      </c>
      <c r="R662" s="2">
        <f t="shared" si="65"/>
        <v>9</v>
      </c>
      <c r="S662">
        <f>SUMIF(Table1[product_category],"Bakery",Table1[Total_bill])</f>
        <v>2951.25</v>
      </c>
    </row>
    <row r="663" spans="1:19" x14ac:dyDescent="0.3">
      <c r="A663" s="2">
        <v>10662</v>
      </c>
      <c r="B663" s="4">
        <v>46293</v>
      </c>
      <c r="C663" t="s">
        <v>815</v>
      </c>
      <c r="D663" t="s">
        <v>25</v>
      </c>
      <c r="E663" t="s">
        <v>26</v>
      </c>
      <c r="F663" t="s">
        <v>97</v>
      </c>
      <c r="G663">
        <v>2</v>
      </c>
      <c r="H663" s="5">
        <v>13</v>
      </c>
      <c r="I663" t="s">
        <v>98</v>
      </c>
      <c r="J663" t="s">
        <v>98</v>
      </c>
      <c r="K663" t="s">
        <v>95</v>
      </c>
      <c r="L663" t="s">
        <v>2125</v>
      </c>
      <c r="M663" s="5">
        <f t="shared" si="61"/>
        <v>26</v>
      </c>
      <c r="N663" t="str">
        <f t="shared" si="62"/>
        <v>September</v>
      </c>
      <c r="O663" t="str">
        <f t="shared" si="63"/>
        <v>Monday</v>
      </c>
      <c r="P663">
        <f t="shared" si="60"/>
        <v>20</v>
      </c>
      <c r="Q663" s="2">
        <f t="shared" si="64"/>
        <v>1</v>
      </c>
      <c r="R663" s="2">
        <f t="shared" si="65"/>
        <v>9</v>
      </c>
      <c r="S663">
        <f>SUMIF(Table1[product_category],"Bakery",Table1[Total_bill])</f>
        <v>2951.25</v>
      </c>
    </row>
    <row r="664" spans="1:19" x14ac:dyDescent="0.3">
      <c r="A664" s="2">
        <v>10663</v>
      </c>
      <c r="B664" s="4">
        <v>46294</v>
      </c>
      <c r="C664" t="s">
        <v>816</v>
      </c>
      <c r="D664" t="s">
        <v>18</v>
      </c>
      <c r="E664" t="s">
        <v>19</v>
      </c>
      <c r="F664" t="s">
        <v>100</v>
      </c>
      <c r="G664">
        <v>1</v>
      </c>
      <c r="H664" s="5">
        <v>4.5</v>
      </c>
      <c r="I664" t="s">
        <v>36</v>
      </c>
      <c r="J664" t="s">
        <v>110</v>
      </c>
      <c r="K664" t="s">
        <v>110</v>
      </c>
      <c r="L664" t="s">
        <v>2124</v>
      </c>
      <c r="M664" s="5">
        <f t="shared" si="61"/>
        <v>4.5</v>
      </c>
      <c r="N664" t="str">
        <f t="shared" si="62"/>
        <v>September</v>
      </c>
      <c r="O664" t="str">
        <f t="shared" si="63"/>
        <v>Tuesday</v>
      </c>
      <c r="P664">
        <f t="shared" si="60"/>
        <v>13</v>
      </c>
      <c r="Q664" s="2">
        <f t="shared" si="64"/>
        <v>2</v>
      </c>
      <c r="R664" s="2">
        <f t="shared" si="65"/>
        <v>9</v>
      </c>
      <c r="S664">
        <f>SUMIF(Table1[product_category],"Bakery",Table1[Total_bill])</f>
        <v>2951.25</v>
      </c>
    </row>
    <row r="665" spans="1:19" x14ac:dyDescent="0.3">
      <c r="A665" s="2">
        <v>10664</v>
      </c>
      <c r="B665" s="4">
        <v>46295</v>
      </c>
      <c r="C665" t="s">
        <v>817</v>
      </c>
      <c r="D665" t="s">
        <v>40</v>
      </c>
      <c r="E665" t="s">
        <v>41</v>
      </c>
      <c r="F665" t="s">
        <v>105</v>
      </c>
      <c r="G665">
        <v>3</v>
      </c>
      <c r="H665" s="5">
        <v>8</v>
      </c>
      <c r="I665" t="s">
        <v>28</v>
      </c>
      <c r="J665" t="s">
        <v>28</v>
      </c>
      <c r="K665" t="s">
        <v>76</v>
      </c>
      <c r="L665" t="s">
        <v>2125</v>
      </c>
      <c r="M665" s="5">
        <f t="shared" si="61"/>
        <v>24</v>
      </c>
      <c r="N665" t="str">
        <f t="shared" si="62"/>
        <v>September</v>
      </c>
      <c r="O665" t="str">
        <f t="shared" si="63"/>
        <v>Wednesday</v>
      </c>
      <c r="P665">
        <f t="shared" si="60"/>
        <v>8</v>
      </c>
      <c r="Q665" s="2">
        <f t="shared" si="64"/>
        <v>3</v>
      </c>
      <c r="R665" s="2">
        <f t="shared" si="65"/>
        <v>9</v>
      </c>
      <c r="S665">
        <f>SUMIF(Table1[product_category],"Bakery",Table1[Total_bill])</f>
        <v>2951.25</v>
      </c>
    </row>
    <row r="666" spans="1:19" x14ac:dyDescent="0.3">
      <c r="A666" s="2">
        <v>10665</v>
      </c>
      <c r="B666" s="4">
        <v>46296</v>
      </c>
      <c r="C666" t="s">
        <v>818</v>
      </c>
      <c r="D666" t="s">
        <v>25</v>
      </c>
      <c r="E666" t="s">
        <v>26</v>
      </c>
      <c r="F666" t="s">
        <v>107</v>
      </c>
      <c r="G666">
        <v>4</v>
      </c>
      <c r="H666" s="5">
        <v>24</v>
      </c>
      <c r="I666" t="s">
        <v>101</v>
      </c>
      <c r="J666" t="s">
        <v>102</v>
      </c>
      <c r="K666" t="s">
        <v>103</v>
      </c>
      <c r="L666" t="s">
        <v>2125</v>
      </c>
      <c r="M666" s="5">
        <f t="shared" si="61"/>
        <v>96</v>
      </c>
      <c r="N666" t="str">
        <f t="shared" si="62"/>
        <v>October</v>
      </c>
      <c r="O666" t="str">
        <f t="shared" si="63"/>
        <v>Thursday</v>
      </c>
      <c r="P666">
        <f t="shared" si="60"/>
        <v>7</v>
      </c>
      <c r="Q666" s="2">
        <f t="shared" si="64"/>
        <v>4</v>
      </c>
      <c r="R666" s="2">
        <f t="shared" si="65"/>
        <v>10</v>
      </c>
      <c r="S666">
        <f>SUMIF(Table1[product_category],"Bakery",Table1[Total_bill])</f>
        <v>2951.25</v>
      </c>
    </row>
    <row r="667" spans="1:19" x14ac:dyDescent="0.3">
      <c r="A667" s="2">
        <v>10666</v>
      </c>
      <c r="B667" s="4">
        <v>46297</v>
      </c>
      <c r="C667" t="s">
        <v>819</v>
      </c>
      <c r="D667" t="s">
        <v>25</v>
      </c>
      <c r="E667" t="s">
        <v>26</v>
      </c>
      <c r="F667" t="s">
        <v>109</v>
      </c>
      <c r="G667">
        <v>1</v>
      </c>
      <c r="H667" s="5">
        <v>2.75</v>
      </c>
      <c r="I667" t="s">
        <v>32</v>
      </c>
      <c r="J667" t="s">
        <v>144</v>
      </c>
      <c r="K667" t="s">
        <v>144</v>
      </c>
      <c r="L667" t="s">
        <v>2122</v>
      </c>
      <c r="M667" s="5">
        <f t="shared" si="61"/>
        <v>2.75</v>
      </c>
      <c r="N667" t="str">
        <f t="shared" si="62"/>
        <v>October</v>
      </c>
      <c r="O667" t="str">
        <f t="shared" si="63"/>
        <v>Friday</v>
      </c>
      <c r="P667">
        <f t="shared" si="60"/>
        <v>7</v>
      </c>
      <c r="Q667" s="2">
        <f t="shared" si="64"/>
        <v>5</v>
      </c>
      <c r="R667" s="2">
        <f t="shared" si="65"/>
        <v>10</v>
      </c>
      <c r="S667">
        <f>SUMIF(Table1[product_category],"Bakery",Table1[Total_bill])</f>
        <v>2951.25</v>
      </c>
    </row>
    <row r="668" spans="1:19" x14ac:dyDescent="0.3">
      <c r="A668" s="2">
        <v>10667</v>
      </c>
      <c r="B668" s="4">
        <v>46298</v>
      </c>
      <c r="C668" t="s">
        <v>820</v>
      </c>
      <c r="D668" t="s">
        <v>40</v>
      </c>
      <c r="E668" t="s">
        <v>41</v>
      </c>
      <c r="F668" t="s">
        <v>112</v>
      </c>
      <c r="G668">
        <v>3</v>
      </c>
      <c r="H668" s="5">
        <v>11</v>
      </c>
      <c r="I668" t="s">
        <v>98</v>
      </c>
      <c r="J668" t="s">
        <v>98</v>
      </c>
      <c r="K668" t="s">
        <v>215</v>
      </c>
      <c r="L668" t="s">
        <v>2125</v>
      </c>
      <c r="M668" s="5">
        <f t="shared" si="61"/>
        <v>33</v>
      </c>
      <c r="N668" t="str">
        <f t="shared" si="62"/>
        <v>October</v>
      </c>
      <c r="O668" t="str">
        <f t="shared" si="63"/>
        <v>Saturday</v>
      </c>
      <c r="P668">
        <f t="shared" si="60"/>
        <v>8</v>
      </c>
      <c r="Q668" s="2">
        <f t="shared" si="64"/>
        <v>6</v>
      </c>
      <c r="R668" s="2">
        <f t="shared" si="65"/>
        <v>10</v>
      </c>
      <c r="S668">
        <f>SUMIF(Table1[product_category],"Bakery",Table1[Total_bill])</f>
        <v>2951.25</v>
      </c>
    </row>
    <row r="669" spans="1:19" x14ac:dyDescent="0.3">
      <c r="A669" s="2">
        <v>10668</v>
      </c>
      <c r="B669" s="4">
        <v>46299</v>
      </c>
      <c r="C669" t="s">
        <v>821</v>
      </c>
      <c r="D669" t="s">
        <v>18</v>
      </c>
      <c r="E669" t="s">
        <v>19</v>
      </c>
      <c r="F669" t="s">
        <v>115</v>
      </c>
      <c r="G669">
        <v>1</v>
      </c>
      <c r="H669" s="5">
        <v>5.5</v>
      </c>
      <c r="I669" t="s">
        <v>72</v>
      </c>
      <c r="J669" t="s">
        <v>72</v>
      </c>
      <c r="K669" t="s">
        <v>141</v>
      </c>
      <c r="L669" t="s">
        <v>2125</v>
      </c>
      <c r="M669" s="5">
        <f t="shared" si="61"/>
        <v>5.5</v>
      </c>
      <c r="N669" t="str">
        <f t="shared" si="62"/>
        <v>October</v>
      </c>
      <c r="O669" t="str">
        <f t="shared" si="63"/>
        <v>Sunday</v>
      </c>
      <c r="P669">
        <f t="shared" si="60"/>
        <v>8</v>
      </c>
      <c r="Q669" s="2">
        <f t="shared" si="64"/>
        <v>7</v>
      </c>
      <c r="R669" s="2">
        <f t="shared" si="65"/>
        <v>10</v>
      </c>
      <c r="S669">
        <f>SUMIF(Table1[product_category],"Bakery",Table1[Total_bill])</f>
        <v>2951.25</v>
      </c>
    </row>
    <row r="670" spans="1:19" x14ac:dyDescent="0.3">
      <c r="A670" s="2">
        <v>10669</v>
      </c>
      <c r="B670" s="4">
        <v>46300</v>
      </c>
      <c r="C670" t="s">
        <v>822</v>
      </c>
      <c r="D670" t="s">
        <v>25</v>
      </c>
      <c r="E670" t="s">
        <v>26</v>
      </c>
      <c r="F670" t="s">
        <v>117</v>
      </c>
      <c r="G670">
        <v>4</v>
      </c>
      <c r="H670" s="5">
        <v>4</v>
      </c>
      <c r="I670" t="s">
        <v>89</v>
      </c>
      <c r="J670" t="s">
        <v>90</v>
      </c>
      <c r="K670" t="s">
        <v>91</v>
      </c>
      <c r="L670" t="s">
        <v>2122</v>
      </c>
      <c r="M670" s="5">
        <f t="shared" si="61"/>
        <v>16</v>
      </c>
      <c r="N670" t="str">
        <f t="shared" si="62"/>
        <v>October</v>
      </c>
      <c r="O670" t="str">
        <f t="shared" si="63"/>
        <v>Monday</v>
      </c>
      <c r="P670">
        <f t="shared" si="60"/>
        <v>8</v>
      </c>
      <c r="Q670" s="2">
        <f t="shared" si="64"/>
        <v>1</v>
      </c>
      <c r="R670" s="2">
        <f t="shared" si="65"/>
        <v>10</v>
      </c>
      <c r="S670">
        <f>SUMIF(Table1[product_category],"Bakery",Table1[Total_bill])</f>
        <v>2951.25</v>
      </c>
    </row>
    <row r="671" spans="1:19" x14ac:dyDescent="0.3">
      <c r="A671" s="2">
        <v>10670</v>
      </c>
      <c r="B671" s="4">
        <v>46301</v>
      </c>
      <c r="C671" t="s">
        <v>293</v>
      </c>
      <c r="D671" t="s">
        <v>25</v>
      </c>
      <c r="E671" t="s">
        <v>26</v>
      </c>
      <c r="F671" t="s">
        <v>119</v>
      </c>
      <c r="G671">
        <v>3</v>
      </c>
      <c r="H671" s="5">
        <v>5.5</v>
      </c>
      <c r="I671" t="s">
        <v>72</v>
      </c>
      <c r="J671" t="s">
        <v>72</v>
      </c>
      <c r="K671" t="s">
        <v>141</v>
      </c>
      <c r="L671" t="s">
        <v>2125</v>
      </c>
      <c r="M671" s="5">
        <f t="shared" si="61"/>
        <v>16.5</v>
      </c>
      <c r="N671" t="str">
        <f t="shared" si="62"/>
        <v>October</v>
      </c>
      <c r="O671" t="str">
        <f t="shared" si="63"/>
        <v>Tuesday</v>
      </c>
      <c r="P671">
        <f t="shared" si="60"/>
        <v>9</v>
      </c>
      <c r="Q671" s="2">
        <f t="shared" si="64"/>
        <v>2</v>
      </c>
      <c r="R671" s="2">
        <f t="shared" si="65"/>
        <v>10</v>
      </c>
      <c r="S671">
        <f>SUMIF(Table1[product_category],"Bakery",Table1[Total_bill])</f>
        <v>2951.25</v>
      </c>
    </row>
    <row r="672" spans="1:19" x14ac:dyDescent="0.3">
      <c r="A672" s="2">
        <v>10671</v>
      </c>
      <c r="B672" s="4">
        <v>46302</v>
      </c>
      <c r="C672" t="s">
        <v>823</v>
      </c>
      <c r="D672" t="s">
        <v>40</v>
      </c>
      <c r="E672" t="s">
        <v>41</v>
      </c>
      <c r="F672" t="s">
        <v>121</v>
      </c>
      <c r="G672">
        <v>3</v>
      </c>
      <c r="H672" s="5">
        <v>3.25</v>
      </c>
      <c r="I672" t="s">
        <v>21</v>
      </c>
      <c r="J672" t="s">
        <v>81</v>
      </c>
      <c r="K672" t="s">
        <v>113</v>
      </c>
      <c r="L672" t="s">
        <v>2125</v>
      </c>
      <c r="M672" s="5">
        <f t="shared" si="61"/>
        <v>9.75</v>
      </c>
      <c r="N672" t="str">
        <f t="shared" si="62"/>
        <v>October</v>
      </c>
      <c r="O672" t="str">
        <f t="shared" si="63"/>
        <v>Wednesday</v>
      </c>
      <c r="P672">
        <f t="shared" si="60"/>
        <v>8</v>
      </c>
      <c r="Q672" s="2">
        <f t="shared" si="64"/>
        <v>3</v>
      </c>
      <c r="R672" s="2">
        <f t="shared" si="65"/>
        <v>10</v>
      </c>
      <c r="S672">
        <f>SUMIF(Table1[product_category],"Bakery",Table1[Total_bill])</f>
        <v>2951.25</v>
      </c>
    </row>
    <row r="673" spans="1:19" x14ac:dyDescent="0.3">
      <c r="A673" s="2">
        <v>10672</v>
      </c>
      <c r="B673" s="4">
        <v>46303</v>
      </c>
      <c r="C673" t="s">
        <v>824</v>
      </c>
      <c r="D673" t="s">
        <v>18</v>
      </c>
      <c r="E673" t="s">
        <v>19</v>
      </c>
      <c r="F673" t="s">
        <v>124</v>
      </c>
      <c r="G673">
        <v>2</v>
      </c>
      <c r="H673" s="5">
        <v>2.75</v>
      </c>
      <c r="I673" t="s">
        <v>32</v>
      </c>
      <c r="J673" t="s">
        <v>144</v>
      </c>
      <c r="K673" t="s">
        <v>144</v>
      </c>
      <c r="L673" t="s">
        <v>2122</v>
      </c>
      <c r="M673" s="5">
        <f t="shared" si="61"/>
        <v>5.5</v>
      </c>
      <c r="N673" t="str">
        <f t="shared" si="62"/>
        <v>October</v>
      </c>
      <c r="O673" t="str">
        <f t="shared" si="63"/>
        <v>Thursday</v>
      </c>
      <c r="P673">
        <f t="shared" si="60"/>
        <v>18</v>
      </c>
      <c r="Q673" s="2">
        <f t="shared" si="64"/>
        <v>4</v>
      </c>
      <c r="R673" s="2">
        <f t="shared" si="65"/>
        <v>10</v>
      </c>
      <c r="S673">
        <f>SUMIF(Table1[product_category],"Bakery",Table1[Total_bill])</f>
        <v>2951.25</v>
      </c>
    </row>
    <row r="674" spans="1:19" x14ac:dyDescent="0.3">
      <c r="A674" s="2">
        <v>10673</v>
      </c>
      <c r="B674" s="4">
        <v>46304</v>
      </c>
      <c r="C674" t="s">
        <v>825</v>
      </c>
      <c r="D674" t="s">
        <v>40</v>
      </c>
      <c r="E674" t="s">
        <v>41</v>
      </c>
      <c r="F674" t="s">
        <v>126</v>
      </c>
      <c r="G674">
        <v>4</v>
      </c>
      <c r="H674" s="5">
        <v>2.75</v>
      </c>
      <c r="I674" t="s">
        <v>21</v>
      </c>
      <c r="J674" t="s">
        <v>22</v>
      </c>
      <c r="K674" t="s">
        <v>23</v>
      </c>
      <c r="L674" t="s">
        <v>2125</v>
      </c>
      <c r="M674" s="5">
        <f t="shared" si="61"/>
        <v>11</v>
      </c>
      <c r="N674" t="str">
        <f t="shared" si="62"/>
        <v>October</v>
      </c>
      <c r="O674" t="str">
        <f t="shared" si="63"/>
        <v>Friday</v>
      </c>
      <c r="P674">
        <f t="shared" si="60"/>
        <v>7</v>
      </c>
      <c r="Q674" s="2">
        <f t="shared" si="64"/>
        <v>5</v>
      </c>
      <c r="R674" s="2">
        <f t="shared" si="65"/>
        <v>10</v>
      </c>
      <c r="S674">
        <f>SUMIF(Table1[product_category],"Bakery",Table1[Total_bill])</f>
        <v>2951.25</v>
      </c>
    </row>
    <row r="675" spans="1:19" x14ac:dyDescent="0.3">
      <c r="A675" s="2">
        <v>10674</v>
      </c>
      <c r="B675" s="4">
        <v>46305</v>
      </c>
      <c r="C675" t="s">
        <v>826</v>
      </c>
      <c r="D675" t="s">
        <v>25</v>
      </c>
      <c r="E675" t="s">
        <v>26</v>
      </c>
      <c r="F675" t="s">
        <v>128</v>
      </c>
      <c r="G675">
        <v>2</v>
      </c>
      <c r="H675" s="5">
        <v>14</v>
      </c>
      <c r="I675" t="s">
        <v>98</v>
      </c>
      <c r="J675" t="s">
        <v>98</v>
      </c>
      <c r="K675" t="s">
        <v>129</v>
      </c>
      <c r="L675" t="s">
        <v>2125</v>
      </c>
      <c r="M675" s="5">
        <f t="shared" si="61"/>
        <v>28</v>
      </c>
      <c r="N675" t="str">
        <f t="shared" si="62"/>
        <v>October</v>
      </c>
      <c r="O675" t="str">
        <f t="shared" si="63"/>
        <v>Saturday</v>
      </c>
      <c r="P675">
        <f t="shared" si="60"/>
        <v>12</v>
      </c>
      <c r="Q675" s="2">
        <f t="shared" si="64"/>
        <v>6</v>
      </c>
      <c r="R675" s="2">
        <f t="shared" si="65"/>
        <v>10</v>
      </c>
      <c r="S675">
        <f>SUMIF(Table1[product_category],"Bakery",Table1[Total_bill])</f>
        <v>2951.25</v>
      </c>
    </row>
    <row r="676" spans="1:19" x14ac:dyDescent="0.3">
      <c r="A676" s="2">
        <v>10675</v>
      </c>
      <c r="B676" s="4">
        <v>46306</v>
      </c>
      <c r="C676" t="s">
        <v>827</v>
      </c>
      <c r="D676" t="s">
        <v>18</v>
      </c>
      <c r="E676" t="s">
        <v>19</v>
      </c>
      <c r="F676" t="s">
        <v>131</v>
      </c>
      <c r="G676">
        <v>1</v>
      </c>
      <c r="H676" s="5">
        <v>2.25</v>
      </c>
      <c r="I676" t="s">
        <v>21</v>
      </c>
      <c r="J676" t="s">
        <v>58</v>
      </c>
      <c r="K676" t="s">
        <v>59</v>
      </c>
      <c r="L676" t="s">
        <v>2125</v>
      </c>
      <c r="M676" s="5">
        <f t="shared" si="61"/>
        <v>2.25</v>
      </c>
      <c r="N676" t="str">
        <f t="shared" si="62"/>
        <v>October</v>
      </c>
      <c r="O676" t="str">
        <f t="shared" si="63"/>
        <v>Sunday</v>
      </c>
      <c r="P676">
        <f t="shared" si="60"/>
        <v>10</v>
      </c>
      <c r="Q676" s="2">
        <f t="shared" si="64"/>
        <v>7</v>
      </c>
      <c r="R676" s="2">
        <f t="shared" si="65"/>
        <v>10</v>
      </c>
      <c r="S676">
        <f>SUMIF(Table1[product_category],"Bakery",Table1[Total_bill])</f>
        <v>2951.25</v>
      </c>
    </row>
    <row r="677" spans="1:19" x14ac:dyDescent="0.3">
      <c r="A677" s="2">
        <v>10676</v>
      </c>
      <c r="B677" s="4">
        <v>46307</v>
      </c>
      <c r="C677" t="s">
        <v>828</v>
      </c>
      <c r="D677" t="s">
        <v>25</v>
      </c>
      <c r="E677" t="s">
        <v>26</v>
      </c>
      <c r="F677" t="s">
        <v>133</v>
      </c>
      <c r="G677">
        <v>4</v>
      </c>
      <c r="H677" s="5">
        <v>3.25</v>
      </c>
      <c r="I677" t="s">
        <v>21</v>
      </c>
      <c r="J677" t="s">
        <v>81</v>
      </c>
      <c r="K677" t="s">
        <v>113</v>
      </c>
      <c r="L677" t="s">
        <v>2125</v>
      </c>
      <c r="M677" s="5">
        <f t="shared" si="61"/>
        <v>13</v>
      </c>
      <c r="N677" t="str">
        <f t="shared" si="62"/>
        <v>October</v>
      </c>
      <c r="O677" t="str">
        <f t="shared" si="63"/>
        <v>Monday</v>
      </c>
      <c r="P677">
        <f t="shared" si="60"/>
        <v>20</v>
      </c>
      <c r="Q677" s="2">
        <f t="shared" si="64"/>
        <v>1</v>
      </c>
      <c r="R677" s="2">
        <f t="shared" si="65"/>
        <v>10</v>
      </c>
      <c r="S677">
        <f>SUMIF(Table1[product_category],"Bakery",Table1[Total_bill])</f>
        <v>2951.25</v>
      </c>
    </row>
    <row r="678" spans="1:19" x14ac:dyDescent="0.3">
      <c r="A678" s="2">
        <v>10677</v>
      </c>
      <c r="B678" s="4">
        <v>46308</v>
      </c>
      <c r="C678" t="s">
        <v>829</v>
      </c>
      <c r="D678" t="s">
        <v>18</v>
      </c>
      <c r="E678" t="s">
        <v>19</v>
      </c>
      <c r="F678" t="s">
        <v>135</v>
      </c>
      <c r="G678">
        <v>2</v>
      </c>
      <c r="H678" s="5">
        <v>2.5</v>
      </c>
      <c r="I678" t="s">
        <v>32</v>
      </c>
      <c r="J678" t="s">
        <v>226</v>
      </c>
      <c r="K678" t="s">
        <v>227</v>
      </c>
      <c r="L678" t="s">
        <v>2122</v>
      </c>
      <c r="M678" s="5">
        <f t="shared" si="61"/>
        <v>5</v>
      </c>
      <c r="N678" t="str">
        <f t="shared" si="62"/>
        <v>October</v>
      </c>
      <c r="O678" t="str">
        <f t="shared" si="63"/>
        <v>Tuesday</v>
      </c>
      <c r="P678">
        <f t="shared" si="60"/>
        <v>7</v>
      </c>
      <c r="Q678" s="2">
        <f t="shared" si="64"/>
        <v>2</v>
      </c>
      <c r="R678" s="2">
        <f t="shared" si="65"/>
        <v>10</v>
      </c>
      <c r="S678">
        <f>SUMIF(Table1[product_category],"Bakery",Table1[Total_bill])</f>
        <v>2951.25</v>
      </c>
    </row>
    <row r="679" spans="1:19" x14ac:dyDescent="0.3">
      <c r="A679" s="2">
        <v>10678</v>
      </c>
      <c r="B679" s="4">
        <v>46309</v>
      </c>
      <c r="C679" t="s">
        <v>830</v>
      </c>
      <c r="D679" t="s">
        <v>25</v>
      </c>
      <c r="E679" t="s">
        <v>26</v>
      </c>
      <c r="F679" t="s">
        <v>137</v>
      </c>
      <c r="G679">
        <v>1</v>
      </c>
      <c r="H679" s="5">
        <v>3.25</v>
      </c>
      <c r="I679" t="s">
        <v>32</v>
      </c>
      <c r="J679" t="s">
        <v>226</v>
      </c>
      <c r="K679" t="s">
        <v>273</v>
      </c>
      <c r="L679" t="s">
        <v>2124</v>
      </c>
      <c r="M679" s="5">
        <f t="shared" si="61"/>
        <v>3.25</v>
      </c>
      <c r="N679" t="str">
        <f t="shared" si="62"/>
        <v>October</v>
      </c>
      <c r="O679" t="str">
        <f t="shared" si="63"/>
        <v>Wednesday</v>
      </c>
      <c r="P679">
        <f t="shared" si="60"/>
        <v>10</v>
      </c>
      <c r="Q679" s="2">
        <f t="shared" si="64"/>
        <v>3</v>
      </c>
      <c r="R679" s="2">
        <f t="shared" si="65"/>
        <v>10</v>
      </c>
      <c r="S679">
        <f>SUMIF(Table1[product_category],"Bakery",Table1[Total_bill])</f>
        <v>2951.25</v>
      </c>
    </row>
    <row r="680" spans="1:19" x14ac:dyDescent="0.3">
      <c r="A680" s="2">
        <v>10679</v>
      </c>
      <c r="B680" s="4">
        <v>46310</v>
      </c>
      <c r="C680" t="s">
        <v>831</v>
      </c>
      <c r="D680" t="s">
        <v>40</v>
      </c>
      <c r="E680" t="s">
        <v>41</v>
      </c>
      <c r="F680" t="s">
        <v>140</v>
      </c>
      <c r="G680">
        <v>4</v>
      </c>
      <c r="H680" s="5">
        <v>2.25</v>
      </c>
      <c r="I680" t="s">
        <v>21</v>
      </c>
      <c r="J680" t="s">
        <v>58</v>
      </c>
      <c r="K680" t="s">
        <v>59</v>
      </c>
      <c r="L680" t="s">
        <v>2125</v>
      </c>
      <c r="M680" s="5">
        <f t="shared" si="61"/>
        <v>9</v>
      </c>
      <c r="N680" t="str">
        <f t="shared" si="62"/>
        <v>October</v>
      </c>
      <c r="O680" t="str">
        <f t="shared" si="63"/>
        <v>Thursday</v>
      </c>
      <c r="P680">
        <f t="shared" si="60"/>
        <v>20</v>
      </c>
      <c r="Q680" s="2">
        <f t="shared" si="64"/>
        <v>4</v>
      </c>
      <c r="R680" s="2">
        <f t="shared" si="65"/>
        <v>10</v>
      </c>
      <c r="S680">
        <f>SUMIF(Table1[product_category],"Bakery",Table1[Total_bill])</f>
        <v>2951.25</v>
      </c>
    </row>
    <row r="681" spans="1:19" x14ac:dyDescent="0.3">
      <c r="A681" s="2">
        <v>10680</v>
      </c>
      <c r="B681" s="4">
        <v>46311</v>
      </c>
      <c r="C681" t="s">
        <v>832</v>
      </c>
      <c r="D681" t="s">
        <v>25</v>
      </c>
      <c r="E681" t="s">
        <v>26</v>
      </c>
      <c r="F681" t="s">
        <v>143</v>
      </c>
      <c r="G681">
        <v>3</v>
      </c>
      <c r="H681" s="5">
        <v>2.5</v>
      </c>
      <c r="I681" t="s">
        <v>32</v>
      </c>
      <c r="J681" t="s">
        <v>226</v>
      </c>
      <c r="K681" t="s">
        <v>227</v>
      </c>
      <c r="L681" t="s">
        <v>2122</v>
      </c>
      <c r="M681" s="5">
        <f t="shared" si="61"/>
        <v>7.5</v>
      </c>
      <c r="N681" t="str">
        <f t="shared" si="62"/>
        <v>October</v>
      </c>
      <c r="O681" t="str">
        <f t="shared" si="63"/>
        <v>Friday</v>
      </c>
      <c r="P681">
        <f t="shared" si="60"/>
        <v>17</v>
      </c>
      <c r="Q681" s="2">
        <f t="shared" si="64"/>
        <v>5</v>
      </c>
      <c r="R681" s="2">
        <f t="shared" si="65"/>
        <v>10</v>
      </c>
      <c r="S681">
        <f>SUMIF(Table1[product_category],"Bakery",Table1[Total_bill])</f>
        <v>2951.25</v>
      </c>
    </row>
    <row r="682" spans="1:19" x14ac:dyDescent="0.3">
      <c r="A682" s="2">
        <v>10681</v>
      </c>
      <c r="B682" s="4">
        <v>46312</v>
      </c>
      <c r="C682" t="s">
        <v>833</v>
      </c>
      <c r="D682" t="s">
        <v>25</v>
      </c>
      <c r="E682" t="s">
        <v>26</v>
      </c>
      <c r="F682" t="s">
        <v>146</v>
      </c>
      <c r="G682">
        <v>3</v>
      </c>
      <c r="H682" s="5">
        <v>5.5</v>
      </c>
      <c r="I682" t="s">
        <v>72</v>
      </c>
      <c r="J682" t="s">
        <v>72</v>
      </c>
      <c r="K682" t="s">
        <v>141</v>
      </c>
      <c r="L682" t="s">
        <v>2125</v>
      </c>
      <c r="M682" s="5">
        <f t="shared" si="61"/>
        <v>16.5</v>
      </c>
      <c r="N682" t="str">
        <f t="shared" si="62"/>
        <v>October</v>
      </c>
      <c r="O682" t="str">
        <f t="shared" si="63"/>
        <v>Saturday</v>
      </c>
      <c r="P682">
        <f t="shared" si="60"/>
        <v>16</v>
      </c>
      <c r="Q682" s="2">
        <f t="shared" si="64"/>
        <v>6</v>
      </c>
      <c r="R682" s="2">
        <f t="shared" si="65"/>
        <v>10</v>
      </c>
      <c r="S682">
        <f>SUMIF(Table1[product_category],"Bakery",Table1[Total_bill])</f>
        <v>2951.25</v>
      </c>
    </row>
    <row r="683" spans="1:19" x14ac:dyDescent="0.3">
      <c r="A683" s="2">
        <v>10682</v>
      </c>
      <c r="B683" s="4">
        <v>46313</v>
      </c>
      <c r="C683" t="s">
        <v>834</v>
      </c>
      <c r="D683" t="s">
        <v>40</v>
      </c>
      <c r="E683" t="s">
        <v>41</v>
      </c>
      <c r="F683" t="s">
        <v>148</v>
      </c>
      <c r="G683">
        <v>1</v>
      </c>
      <c r="H683" s="5">
        <v>4</v>
      </c>
      <c r="I683" t="s">
        <v>32</v>
      </c>
      <c r="J683" t="s">
        <v>33</v>
      </c>
      <c r="K683" t="s">
        <v>33</v>
      </c>
      <c r="L683" t="s">
        <v>2124</v>
      </c>
      <c r="M683" s="5">
        <f t="shared" si="61"/>
        <v>4</v>
      </c>
      <c r="N683" t="str">
        <f t="shared" si="62"/>
        <v>October</v>
      </c>
      <c r="O683" t="str">
        <f t="shared" si="63"/>
        <v>Sunday</v>
      </c>
      <c r="P683">
        <f t="shared" si="60"/>
        <v>8</v>
      </c>
      <c r="Q683" s="2">
        <f t="shared" si="64"/>
        <v>7</v>
      </c>
      <c r="R683" s="2">
        <f t="shared" si="65"/>
        <v>10</v>
      </c>
      <c r="S683">
        <f>SUMIF(Table1[product_category],"Bakery",Table1[Total_bill])</f>
        <v>2951.25</v>
      </c>
    </row>
    <row r="684" spans="1:19" x14ac:dyDescent="0.3">
      <c r="A684" s="2">
        <v>10683</v>
      </c>
      <c r="B684" s="4">
        <v>46314</v>
      </c>
      <c r="C684" t="s">
        <v>835</v>
      </c>
      <c r="D684" t="s">
        <v>18</v>
      </c>
      <c r="E684" t="s">
        <v>19</v>
      </c>
      <c r="F684" t="s">
        <v>150</v>
      </c>
      <c r="G684">
        <v>2</v>
      </c>
      <c r="H684" s="5">
        <v>2.5</v>
      </c>
      <c r="I684" t="s">
        <v>36</v>
      </c>
      <c r="J684" t="s">
        <v>37</v>
      </c>
      <c r="K684" t="s">
        <v>276</v>
      </c>
      <c r="L684" t="s">
        <v>2122</v>
      </c>
      <c r="M684" s="5">
        <f t="shared" si="61"/>
        <v>5</v>
      </c>
      <c r="N684" t="str">
        <f t="shared" si="62"/>
        <v>October</v>
      </c>
      <c r="O684" t="str">
        <f t="shared" si="63"/>
        <v>Monday</v>
      </c>
      <c r="P684">
        <f t="shared" si="60"/>
        <v>8</v>
      </c>
      <c r="Q684" s="2">
        <f t="shared" si="64"/>
        <v>1</v>
      </c>
      <c r="R684" s="2">
        <f t="shared" si="65"/>
        <v>10</v>
      </c>
      <c r="S684">
        <f>SUMIF(Table1[product_category],"Bakery",Table1[Total_bill])</f>
        <v>2951.25</v>
      </c>
    </row>
    <row r="685" spans="1:19" x14ac:dyDescent="0.3">
      <c r="A685" s="2">
        <v>10684</v>
      </c>
      <c r="B685" s="4">
        <v>46315</v>
      </c>
      <c r="C685" t="s">
        <v>836</v>
      </c>
      <c r="D685" t="s">
        <v>18</v>
      </c>
      <c r="E685" t="s">
        <v>19</v>
      </c>
      <c r="F685" t="s">
        <v>152</v>
      </c>
      <c r="G685">
        <v>1</v>
      </c>
      <c r="H685" s="5">
        <v>11</v>
      </c>
      <c r="I685" t="s">
        <v>98</v>
      </c>
      <c r="J685" t="s">
        <v>98</v>
      </c>
      <c r="K685" t="s">
        <v>215</v>
      </c>
      <c r="L685" t="s">
        <v>2125</v>
      </c>
      <c r="M685" s="5">
        <f t="shared" si="61"/>
        <v>11</v>
      </c>
      <c r="N685" t="str">
        <f t="shared" si="62"/>
        <v>October</v>
      </c>
      <c r="O685" t="str">
        <f t="shared" si="63"/>
        <v>Tuesday</v>
      </c>
      <c r="P685">
        <f t="shared" si="60"/>
        <v>14</v>
      </c>
      <c r="Q685" s="2">
        <f t="shared" si="64"/>
        <v>2</v>
      </c>
      <c r="R685" s="2">
        <f t="shared" si="65"/>
        <v>10</v>
      </c>
      <c r="S685">
        <f>SUMIF(Table1[product_category],"Bakery",Table1[Total_bill])</f>
        <v>2951.25</v>
      </c>
    </row>
    <row r="686" spans="1:19" x14ac:dyDescent="0.3">
      <c r="A686" s="2">
        <v>10685</v>
      </c>
      <c r="B686" s="4">
        <v>46316</v>
      </c>
      <c r="C686" t="s">
        <v>837</v>
      </c>
      <c r="D686" t="s">
        <v>25</v>
      </c>
      <c r="E686" t="s">
        <v>26</v>
      </c>
      <c r="F686" t="s">
        <v>154</v>
      </c>
      <c r="G686">
        <v>1</v>
      </c>
      <c r="H686" s="5">
        <v>4.25</v>
      </c>
      <c r="I686" t="s">
        <v>36</v>
      </c>
      <c r="J686" t="s">
        <v>211</v>
      </c>
      <c r="K686" t="s">
        <v>239</v>
      </c>
      <c r="L686" t="s">
        <v>2123</v>
      </c>
      <c r="M686" s="5">
        <f t="shared" si="61"/>
        <v>4.25</v>
      </c>
      <c r="N686" t="str">
        <f t="shared" si="62"/>
        <v>October</v>
      </c>
      <c r="O686" t="str">
        <f t="shared" si="63"/>
        <v>Wednesday</v>
      </c>
      <c r="P686">
        <f t="shared" si="60"/>
        <v>18</v>
      </c>
      <c r="Q686" s="2">
        <f t="shared" si="64"/>
        <v>3</v>
      </c>
      <c r="R686" s="2">
        <f t="shared" si="65"/>
        <v>10</v>
      </c>
      <c r="S686">
        <f>SUMIF(Table1[product_category],"Bakery",Table1[Total_bill])</f>
        <v>2951.25</v>
      </c>
    </row>
    <row r="687" spans="1:19" x14ac:dyDescent="0.3">
      <c r="A687" s="2">
        <v>10686</v>
      </c>
      <c r="B687" s="4">
        <v>46317</v>
      </c>
      <c r="C687" t="s">
        <v>838</v>
      </c>
      <c r="D687" t="s">
        <v>40</v>
      </c>
      <c r="E687" t="s">
        <v>41</v>
      </c>
      <c r="F687" t="s">
        <v>156</v>
      </c>
      <c r="G687">
        <v>4</v>
      </c>
      <c r="H687" s="5">
        <v>2.75</v>
      </c>
      <c r="I687" t="s">
        <v>21</v>
      </c>
      <c r="J687" t="s">
        <v>22</v>
      </c>
      <c r="K687" t="s">
        <v>23</v>
      </c>
      <c r="L687" t="s">
        <v>2125</v>
      </c>
      <c r="M687" s="5">
        <f t="shared" si="61"/>
        <v>11</v>
      </c>
      <c r="N687" t="str">
        <f t="shared" si="62"/>
        <v>October</v>
      </c>
      <c r="O687" t="str">
        <f t="shared" si="63"/>
        <v>Thursday</v>
      </c>
      <c r="P687">
        <f t="shared" si="60"/>
        <v>12</v>
      </c>
      <c r="Q687" s="2">
        <f t="shared" si="64"/>
        <v>4</v>
      </c>
      <c r="R687" s="2">
        <f t="shared" si="65"/>
        <v>10</v>
      </c>
      <c r="S687">
        <f>SUMIF(Table1[product_category],"Bakery",Table1[Total_bill])</f>
        <v>2951.25</v>
      </c>
    </row>
    <row r="688" spans="1:19" x14ac:dyDescent="0.3">
      <c r="A688" s="2">
        <v>10687</v>
      </c>
      <c r="B688" s="4">
        <v>46318</v>
      </c>
      <c r="C688" t="s">
        <v>839</v>
      </c>
      <c r="D688" t="s">
        <v>40</v>
      </c>
      <c r="E688" t="s">
        <v>41</v>
      </c>
      <c r="F688" t="s">
        <v>158</v>
      </c>
      <c r="G688">
        <v>4</v>
      </c>
      <c r="H688" s="5">
        <v>4</v>
      </c>
      <c r="I688" t="s">
        <v>36</v>
      </c>
      <c r="J688" t="s">
        <v>110</v>
      </c>
      <c r="K688" t="s">
        <v>110</v>
      </c>
      <c r="L688" t="s">
        <v>2122</v>
      </c>
      <c r="M688" s="5">
        <f t="shared" si="61"/>
        <v>16</v>
      </c>
      <c r="N688" t="str">
        <f t="shared" si="62"/>
        <v>October</v>
      </c>
      <c r="O688" t="str">
        <f t="shared" si="63"/>
        <v>Friday</v>
      </c>
      <c r="P688">
        <f t="shared" si="60"/>
        <v>13</v>
      </c>
      <c r="Q688" s="2">
        <f t="shared" si="64"/>
        <v>5</v>
      </c>
      <c r="R688" s="2">
        <f t="shared" si="65"/>
        <v>10</v>
      </c>
      <c r="S688">
        <f>SUMIF(Table1[product_category],"Bakery",Table1[Total_bill])</f>
        <v>2951.25</v>
      </c>
    </row>
    <row r="689" spans="1:19" x14ac:dyDescent="0.3">
      <c r="A689" s="2">
        <v>10688</v>
      </c>
      <c r="B689" s="4">
        <v>46319</v>
      </c>
      <c r="C689" t="s">
        <v>840</v>
      </c>
      <c r="D689" t="s">
        <v>18</v>
      </c>
      <c r="E689" t="s">
        <v>19</v>
      </c>
      <c r="F689" t="s">
        <v>160</v>
      </c>
      <c r="G689">
        <v>1</v>
      </c>
      <c r="H689" s="5">
        <v>5</v>
      </c>
      <c r="I689" t="s">
        <v>89</v>
      </c>
      <c r="J689" t="s">
        <v>90</v>
      </c>
      <c r="K689" t="s">
        <v>91</v>
      </c>
      <c r="L689" t="s">
        <v>2123</v>
      </c>
      <c r="M689" s="5">
        <f t="shared" si="61"/>
        <v>5</v>
      </c>
      <c r="N689" t="str">
        <f t="shared" si="62"/>
        <v>October</v>
      </c>
      <c r="O689" t="str">
        <f t="shared" si="63"/>
        <v>Saturday</v>
      </c>
      <c r="P689">
        <f t="shared" si="60"/>
        <v>9</v>
      </c>
      <c r="Q689" s="2">
        <f t="shared" si="64"/>
        <v>6</v>
      </c>
      <c r="R689" s="2">
        <f t="shared" si="65"/>
        <v>10</v>
      </c>
      <c r="S689">
        <f>SUMIF(Table1[product_category],"Bakery",Table1[Total_bill])</f>
        <v>2951.25</v>
      </c>
    </row>
    <row r="690" spans="1:19" x14ac:dyDescent="0.3">
      <c r="A690" s="2">
        <v>10689</v>
      </c>
      <c r="B690" s="4">
        <v>46320</v>
      </c>
      <c r="C690" t="s">
        <v>841</v>
      </c>
      <c r="D690" t="s">
        <v>40</v>
      </c>
      <c r="E690" t="s">
        <v>41</v>
      </c>
      <c r="F690" t="s">
        <v>162</v>
      </c>
      <c r="G690">
        <v>3</v>
      </c>
      <c r="H690" s="5">
        <v>8</v>
      </c>
      <c r="I690" t="s">
        <v>28</v>
      </c>
      <c r="J690" t="s">
        <v>28</v>
      </c>
      <c r="K690" t="s">
        <v>76</v>
      </c>
      <c r="L690" t="s">
        <v>2125</v>
      </c>
      <c r="M690" s="5">
        <f t="shared" si="61"/>
        <v>24</v>
      </c>
      <c r="N690" t="str">
        <f t="shared" si="62"/>
        <v>October</v>
      </c>
      <c r="O690" t="str">
        <f t="shared" si="63"/>
        <v>Sunday</v>
      </c>
      <c r="P690">
        <f t="shared" si="60"/>
        <v>15</v>
      </c>
      <c r="Q690" s="2">
        <f t="shared" si="64"/>
        <v>7</v>
      </c>
      <c r="R690" s="2">
        <f t="shared" si="65"/>
        <v>10</v>
      </c>
      <c r="S690">
        <f>SUMIF(Table1[product_category],"Bakery",Table1[Total_bill])</f>
        <v>2951.25</v>
      </c>
    </row>
    <row r="691" spans="1:19" x14ac:dyDescent="0.3">
      <c r="A691" s="2">
        <v>10690</v>
      </c>
      <c r="B691" s="4">
        <v>46321</v>
      </c>
      <c r="C691" t="s">
        <v>842</v>
      </c>
      <c r="D691" t="s">
        <v>40</v>
      </c>
      <c r="E691" t="s">
        <v>41</v>
      </c>
      <c r="F691" t="s">
        <v>164</v>
      </c>
      <c r="G691">
        <v>3</v>
      </c>
      <c r="H691" s="5">
        <v>4.25</v>
      </c>
      <c r="I691" t="s">
        <v>32</v>
      </c>
      <c r="J691" t="s">
        <v>69</v>
      </c>
      <c r="K691" t="s">
        <v>69</v>
      </c>
      <c r="L691" t="s">
        <v>2124</v>
      </c>
      <c r="M691" s="5">
        <f t="shared" si="61"/>
        <v>12.75</v>
      </c>
      <c r="N691" t="str">
        <f t="shared" si="62"/>
        <v>October</v>
      </c>
      <c r="O691" t="str">
        <f t="shared" si="63"/>
        <v>Monday</v>
      </c>
      <c r="P691">
        <f t="shared" si="60"/>
        <v>8</v>
      </c>
      <c r="Q691" s="2">
        <f t="shared" si="64"/>
        <v>1</v>
      </c>
      <c r="R691" s="2">
        <f t="shared" si="65"/>
        <v>10</v>
      </c>
      <c r="S691">
        <f>SUMIF(Table1[product_category],"Bakery",Table1[Total_bill])</f>
        <v>2951.25</v>
      </c>
    </row>
    <row r="692" spans="1:19" x14ac:dyDescent="0.3">
      <c r="A692" s="2">
        <v>10691</v>
      </c>
      <c r="B692" s="4">
        <v>46322</v>
      </c>
      <c r="C692" t="s">
        <v>843</v>
      </c>
      <c r="D692" t="s">
        <v>40</v>
      </c>
      <c r="E692" t="s">
        <v>41</v>
      </c>
      <c r="F692" t="s">
        <v>166</v>
      </c>
      <c r="G692">
        <v>3</v>
      </c>
      <c r="H692" s="5">
        <v>5</v>
      </c>
      <c r="I692" t="s">
        <v>36</v>
      </c>
      <c r="J692" t="s">
        <v>110</v>
      </c>
      <c r="K692" t="s">
        <v>110</v>
      </c>
      <c r="L692" t="s">
        <v>2123</v>
      </c>
      <c r="M692" s="5">
        <f t="shared" si="61"/>
        <v>15</v>
      </c>
      <c r="N692" t="str">
        <f t="shared" si="62"/>
        <v>October</v>
      </c>
      <c r="O692" t="str">
        <f t="shared" si="63"/>
        <v>Tuesday</v>
      </c>
      <c r="P692">
        <f t="shared" si="60"/>
        <v>9</v>
      </c>
      <c r="Q692" s="2">
        <f t="shared" si="64"/>
        <v>2</v>
      </c>
      <c r="R692" s="2">
        <f t="shared" si="65"/>
        <v>10</v>
      </c>
      <c r="S692">
        <f>SUMIF(Table1[product_category],"Bakery",Table1[Total_bill])</f>
        <v>2951.25</v>
      </c>
    </row>
    <row r="693" spans="1:19" x14ac:dyDescent="0.3">
      <c r="A693" s="2">
        <v>10692</v>
      </c>
      <c r="B693" s="4">
        <v>46323</v>
      </c>
      <c r="C693" t="s">
        <v>844</v>
      </c>
      <c r="D693" t="s">
        <v>25</v>
      </c>
      <c r="E693" t="s">
        <v>26</v>
      </c>
      <c r="F693" t="s">
        <v>168</v>
      </c>
      <c r="G693">
        <v>4</v>
      </c>
      <c r="H693" s="5">
        <v>4.5</v>
      </c>
      <c r="I693" t="s">
        <v>32</v>
      </c>
      <c r="J693" t="s">
        <v>94</v>
      </c>
      <c r="K693" t="s">
        <v>95</v>
      </c>
      <c r="L693" t="s">
        <v>2123</v>
      </c>
      <c r="M693" s="5">
        <f t="shared" si="61"/>
        <v>18</v>
      </c>
      <c r="N693" t="str">
        <f t="shared" si="62"/>
        <v>October</v>
      </c>
      <c r="O693" t="str">
        <f t="shared" si="63"/>
        <v>Wednesday</v>
      </c>
      <c r="P693">
        <f t="shared" si="60"/>
        <v>10</v>
      </c>
      <c r="Q693" s="2">
        <f t="shared" si="64"/>
        <v>3</v>
      </c>
      <c r="R693" s="2">
        <f t="shared" si="65"/>
        <v>10</v>
      </c>
      <c r="S693">
        <f>SUMIF(Table1[product_category],"Bakery",Table1[Total_bill])</f>
        <v>2951.25</v>
      </c>
    </row>
    <row r="694" spans="1:19" x14ac:dyDescent="0.3">
      <c r="A694" s="2">
        <v>10693</v>
      </c>
      <c r="B694" s="4">
        <v>46324</v>
      </c>
      <c r="C694" t="s">
        <v>845</v>
      </c>
      <c r="D694" t="s">
        <v>25</v>
      </c>
      <c r="E694" t="s">
        <v>26</v>
      </c>
      <c r="F694" t="s">
        <v>170</v>
      </c>
      <c r="G694">
        <v>4</v>
      </c>
      <c r="H694" s="5">
        <v>3.5</v>
      </c>
      <c r="I694" t="s">
        <v>32</v>
      </c>
      <c r="J694" t="s">
        <v>226</v>
      </c>
      <c r="K694" t="s">
        <v>227</v>
      </c>
      <c r="L694" t="s">
        <v>2123</v>
      </c>
      <c r="M694" s="5">
        <f t="shared" si="61"/>
        <v>14</v>
      </c>
      <c r="N694" t="str">
        <f t="shared" si="62"/>
        <v>October</v>
      </c>
      <c r="O694" t="str">
        <f t="shared" si="63"/>
        <v>Thursday</v>
      </c>
      <c r="P694">
        <f t="shared" si="60"/>
        <v>12</v>
      </c>
      <c r="Q694" s="2">
        <f t="shared" si="64"/>
        <v>4</v>
      </c>
      <c r="R694" s="2">
        <f t="shared" si="65"/>
        <v>10</v>
      </c>
      <c r="S694">
        <f>SUMIF(Table1[product_category],"Bakery",Table1[Total_bill])</f>
        <v>2951.25</v>
      </c>
    </row>
    <row r="695" spans="1:19" x14ac:dyDescent="0.3">
      <c r="A695" s="2">
        <v>10694</v>
      </c>
      <c r="B695" s="4">
        <v>46325</v>
      </c>
      <c r="C695" t="s">
        <v>846</v>
      </c>
      <c r="D695" t="s">
        <v>40</v>
      </c>
      <c r="E695" t="s">
        <v>41</v>
      </c>
      <c r="F695" t="s">
        <v>172</v>
      </c>
      <c r="G695">
        <v>1</v>
      </c>
      <c r="H695" s="5">
        <v>4.5</v>
      </c>
      <c r="I695" t="s">
        <v>89</v>
      </c>
      <c r="J695" t="s">
        <v>90</v>
      </c>
      <c r="K695" t="s">
        <v>91</v>
      </c>
      <c r="L695" t="s">
        <v>2124</v>
      </c>
      <c r="M695" s="5">
        <f t="shared" si="61"/>
        <v>4.5</v>
      </c>
      <c r="N695" t="str">
        <f t="shared" si="62"/>
        <v>October</v>
      </c>
      <c r="O695" t="str">
        <f t="shared" si="63"/>
        <v>Friday</v>
      </c>
      <c r="P695">
        <f t="shared" si="60"/>
        <v>8</v>
      </c>
      <c r="Q695" s="2">
        <f t="shared" si="64"/>
        <v>5</v>
      </c>
      <c r="R695" s="2">
        <f t="shared" si="65"/>
        <v>10</v>
      </c>
      <c r="S695">
        <f>SUMIF(Table1[product_category],"Bakery",Table1[Total_bill])</f>
        <v>2951.25</v>
      </c>
    </row>
    <row r="696" spans="1:19" x14ac:dyDescent="0.3">
      <c r="A696" s="2">
        <v>10695</v>
      </c>
      <c r="B696" s="4">
        <v>46326</v>
      </c>
      <c r="C696" t="s">
        <v>847</v>
      </c>
      <c r="D696" t="s">
        <v>25</v>
      </c>
      <c r="E696" t="s">
        <v>26</v>
      </c>
      <c r="F696" t="s">
        <v>174</v>
      </c>
      <c r="G696">
        <v>2</v>
      </c>
      <c r="H696" s="5">
        <v>2.5</v>
      </c>
      <c r="I696" t="s">
        <v>21</v>
      </c>
      <c r="J696" t="s">
        <v>47</v>
      </c>
      <c r="K696" t="s">
        <v>48</v>
      </c>
      <c r="L696" t="s">
        <v>2125</v>
      </c>
      <c r="M696" s="5">
        <f t="shared" si="61"/>
        <v>5</v>
      </c>
      <c r="N696" t="str">
        <f t="shared" si="62"/>
        <v>October</v>
      </c>
      <c r="O696" t="str">
        <f t="shared" si="63"/>
        <v>Saturday</v>
      </c>
      <c r="P696">
        <f t="shared" si="60"/>
        <v>7</v>
      </c>
      <c r="Q696" s="2">
        <f t="shared" si="64"/>
        <v>6</v>
      </c>
      <c r="R696" s="2">
        <f t="shared" si="65"/>
        <v>10</v>
      </c>
      <c r="S696">
        <f>SUMIF(Table1[product_category],"Bakery",Table1[Total_bill])</f>
        <v>2951.25</v>
      </c>
    </row>
    <row r="697" spans="1:19" x14ac:dyDescent="0.3">
      <c r="A697" s="2">
        <v>10696</v>
      </c>
      <c r="B697" s="4">
        <v>46327</v>
      </c>
      <c r="C697" t="s">
        <v>848</v>
      </c>
      <c r="D697" t="s">
        <v>40</v>
      </c>
      <c r="E697" t="s">
        <v>41</v>
      </c>
      <c r="F697" t="s">
        <v>176</v>
      </c>
      <c r="G697">
        <v>3</v>
      </c>
      <c r="H697" s="5">
        <v>3.5</v>
      </c>
      <c r="I697" t="s">
        <v>21</v>
      </c>
      <c r="J697" t="s">
        <v>51</v>
      </c>
      <c r="K697" t="s">
        <v>52</v>
      </c>
      <c r="L697" t="s">
        <v>2125</v>
      </c>
      <c r="M697" s="5">
        <f t="shared" si="61"/>
        <v>10.5</v>
      </c>
      <c r="N697" t="str">
        <f t="shared" si="62"/>
        <v>November</v>
      </c>
      <c r="O697" t="str">
        <f t="shared" si="63"/>
        <v>Sunday</v>
      </c>
      <c r="P697">
        <f t="shared" si="60"/>
        <v>13</v>
      </c>
      <c r="Q697" s="2">
        <f t="shared" si="64"/>
        <v>7</v>
      </c>
      <c r="R697" s="2">
        <f t="shared" si="65"/>
        <v>11</v>
      </c>
      <c r="S697">
        <f>SUMIF(Table1[product_category],"Bakery",Table1[Total_bill])</f>
        <v>2951.25</v>
      </c>
    </row>
    <row r="698" spans="1:19" x14ac:dyDescent="0.3">
      <c r="A698" s="2">
        <v>10697</v>
      </c>
      <c r="B698" s="4">
        <v>46328</v>
      </c>
      <c r="C698" t="s">
        <v>849</v>
      </c>
      <c r="D698" t="s">
        <v>18</v>
      </c>
      <c r="E698" t="s">
        <v>19</v>
      </c>
      <c r="F698" t="s">
        <v>178</v>
      </c>
      <c r="G698">
        <v>1</v>
      </c>
      <c r="H698" s="5">
        <v>3.75</v>
      </c>
      <c r="I698" t="s">
        <v>36</v>
      </c>
      <c r="J698" t="s">
        <v>211</v>
      </c>
      <c r="K698" t="s">
        <v>239</v>
      </c>
      <c r="L698" t="s">
        <v>2124</v>
      </c>
      <c r="M698" s="5">
        <f t="shared" si="61"/>
        <v>3.75</v>
      </c>
      <c r="N698" t="str">
        <f t="shared" si="62"/>
        <v>November</v>
      </c>
      <c r="O698" t="str">
        <f t="shared" si="63"/>
        <v>Monday</v>
      </c>
      <c r="P698">
        <f t="shared" si="60"/>
        <v>9</v>
      </c>
      <c r="Q698" s="2">
        <f t="shared" si="64"/>
        <v>1</v>
      </c>
      <c r="R698" s="2">
        <f t="shared" si="65"/>
        <v>11</v>
      </c>
      <c r="S698">
        <f>SUMIF(Table1[product_category],"Bakery",Table1[Total_bill])</f>
        <v>2951.25</v>
      </c>
    </row>
    <row r="699" spans="1:19" x14ac:dyDescent="0.3">
      <c r="A699" s="2">
        <v>10698</v>
      </c>
      <c r="B699" s="4">
        <v>46329</v>
      </c>
      <c r="C699" t="s">
        <v>850</v>
      </c>
      <c r="D699" t="s">
        <v>40</v>
      </c>
      <c r="E699" t="s">
        <v>41</v>
      </c>
      <c r="F699" t="s">
        <v>180</v>
      </c>
      <c r="G699">
        <v>2</v>
      </c>
      <c r="H699" s="5">
        <v>8</v>
      </c>
      <c r="I699" t="s">
        <v>28</v>
      </c>
      <c r="J699" t="s">
        <v>28</v>
      </c>
      <c r="K699" t="s">
        <v>76</v>
      </c>
      <c r="L699" t="s">
        <v>2125</v>
      </c>
      <c r="M699" s="5">
        <f t="shared" si="61"/>
        <v>16</v>
      </c>
      <c r="N699" t="str">
        <f t="shared" si="62"/>
        <v>November</v>
      </c>
      <c r="O699" t="str">
        <f t="shared" si="63"/>
        <v>Tuesday</v>
      </c>
      <c r="P699">
        <f t="shared" si="60"/>
        <v>13</v>
      </c>
      <c r="Q699" s="2">
        <f t="shared" si="64"/>
        <v>2</v>
      </c>
      <c r="R699" s="2">
        <f t="shared" si="65"/>
        <v>11</v>
      </c>
      <c r="S699">
        <f>SUMIF(Table1[product_category],"Bakery",Table1[Total_bill])</f>
        <v>2951.25</v>
      </c>
    </row>
    <row r="700" spans="1:19" x14ac:dyDescent="0.3">
      <c r="A700" s="2">
        <v>10699</v>
      </c>
      <c r="B700" s="4">
        <v>46330</v>
      </c>
      <c r="C700" t="s">
        <v>851</v>
      </c>
      <c r="D700" t="s">
        <v>18</v>
      </c>
      <c r="E700" t="s">
        <v>19</v>
      </c>
      <c r="F700" t="s">
        <v>184</v>
      </c>
      <c r="G700">
        <v>3</v>
      </c>
      <c r="H700" s="5">
        <v>3.5</v>
      </c>
      <c r="I700" t="s">
        <v>32</v>
      </c>
      <c r="J700" t="s">
        <v>33</v>
      </c>
      <c r="K700" t="s">
        <v>33</v>
      </c>
      <c r="L700" t="s">
        <v>2122</v>
      </c>
      <c r="M700" s="5">
        <f t="shared" si="61"/>
        <v>10.5</v>
      </c>
      <c r="N700" t="str">
        <f t="shared" si="62"/>
        <v>November</v>
      </c>
      <c r="O700" t="str">
        <f t="shared" si="63"/>
        <v>Wednesday</v>
      </c>
      <c r="P700">
        <f t="shared" si="60"/>
        <v>7</v>
      </c>
      <c r="Q700" s="2">
        <f t="shared" si="64"/>
        <v>3</v>
      </c>
      <c r="R700" s="2">
        <f t="shared" si="65"/>
        <v>11</v>
      </c>
      <c r="S700">
        <f>SUMIF(Table1[product_category],"Bakery",Table1[Total_bill])</f>
        <v>2951.25</v>
      </c>
    </row>
    <row r="701" spans="1:19" x14ac:dyDescent="0.3">
      <c r="A701" s="2">
        <v>10700</v>
      </c>
      <c r="B701" s="4">
        <v>46331</v>
      </c>
      <c r="C701" t="s">
        <v>852</v>
      </c>
      <c r="D701" t="s">
        <v>40</v>
      </c>
      <c r="E701" t="s">
        <v>41</v>
      </c>
      <c r="F701" t="s">
        <v>186</v>
      </c>
      <c r="G701">
        <v>3</v>
      </c>
      <c r="H701" s="5">
        <v>11</v>
      </c>
      <c r="I701" t="s">
        <v>98</v>
      </c>
      <c r="J701" t="s">
        <v>98</v>
      </c>
      <c r="K701" t="s">
        <v>215</v>
      </c>
      <c r="L701" t="s">
        <v>2125</v>
      </c>
      <c r="M701" s="5">
        <f t="shared" si="61"/>
        <v>33</v>
      </c>
      <c r="N701" t="str">
        <f t="shared" si="62"/>
        <v>November</v>
      </c>
      <c r="O701" t="str">
        <f t="shared" si="63"/>
        <v>Thursday</v>
      </c>
      <c r="P701">
        <f t="shared" si="60"/>
        <v>11</v>
      </c>
      <c r="Q701" s="2">
        <f t="shared" si="64"/>
        <v>4</v>
      </c>
      <c r="R701" s="2">
        <f t="shared" si="65"/>
        <v>11</v>
      </c>
      <c r="S701">
        <f>SUMIF(Table1[product_category],"Bakery",Table1[Total_bill])</f>
        <v>2951.25</v>
      </c>
    </row>
    <row r="702" spans="1:19" x14ac:dyDescent="0.3">
      <c r="A702" s="2">
        <v>10701</v>
      </c>
      <c r="B702" s="4">
        <v>46332</v>
      </c>
      <c r="C702" t="s">
        <v>853</v>
      </c>
      <c r="D702" t="s">
        <v>40</v>
      </c>
      <c r="E702" t="s">
        <v>41</v>
      </c>
      <c r="F702" t="s">
        <v>188</v>
      </c>
      <c r="G702">
        <v>1</v>
      </c>
      <c r="H702" s="5">
        <v>5.5</v>
      </c>
      <c r="I702" t="s">
        <v>72</v>
      </c>
      <c r="J702" t="s">
        <v>72</v>
      </c>
      <c r="K702" t="s">
        <v>73</v>
      </c>
      <c r="L702" t="s">
        <v>2125</v>
      </c>
      <c r="M702" s="5">
        <f t="shared" si="61"/>
        <v>5.5</v>
      </c>
      <c r="N702" t="str">
        <f t="shared" si="62"/>
        <v>November</v>
      </c>
      <c r="O702" t="str">
        <f t="shared" si="63"/>
        <v>Friday</v>
      </c>
      <c r="P702">
        <f t="shared" si="60"/>
        <v>12</v>
      </c>
      <c r="Q702" s="2">
        <f t="shared" si="64"/>
        <v>5</v>
      </c>
      <c r="R702" s="2">
        <f t="shared" si="65"/>
        <v>11</v>
      </c>
      <c r="S702">
        <f>SUMIF(Table1[product_category],"Bakery",Table1[Total_bill])</f>
        <v>2951.25</v>
      </c>
    </row>
    <row r="703" spans="1:19" x14ac:dyDescent="0.3">
      <c r="A703" s="2">
        <v>10702</v>
      </c>
      <c r="B703" s="4">
        <v>46333</v>
      </c>
      <c r="C703" t="s">
        <v>854</v>
      </c>
      <c r="D703" t="s">
        <v>18</v>
      </c>
      <c r="E703" t="s">
        <v>19</v>
      </c>
      <c r="F703" t="s">
        <v>190</v>
      </c>
      <c r="G703">
        <v>2</v>
      </c>
      <c r="H703" s="5">
        <v>4.25</v>
      </c>
      <c r="I703" t="s">
        <v>32</v>
      </c>
      <c r="J703" t="s">
        <v>69</v>
      </c>
      <c r="K703" t="s">
        <v>69</v>
      </c>
      <c r="L703" t="s">
        <v>2124</v>
      </c>
      <c r="M703" s="5">
        <f t="shared" si="61"/>
        <v>8.5</v>
      </c>
      <c r="N703" t="str">
        <f t="shared" si="62"/>
        <v>November</v>
      </c>
      <c r="O703" t="str">
        <f t="shared" si="63"/>
        <v>Saturday</v>
      </c>
      <c r="P703">
        <f t="shared" si="60"/>
        <v>6</v>
      </c>
      <c r="Q703" s="2">
        <f t="shared" si="64"/>
        <v>6</v>
      </c>
      <c r="R703" s="2">
        <f t="shared" si="65"/>
        <v>11</v>
      </c>
      <c r="S703">
        <f>SUMIF(Table1[product_category],"Bakery",Table1[Total_bill])</f>
        <v>2951.25</v>
      </c>
    </row>
    <row r="704" spans="1:19" x14ac:dyDescent="0.3">
      <c r="A704" s="2">
        <v>10703</v>
      </c>
      <c r="B704" s="4">
        <v>46334</v>
      </c>
      <c r="C704" t="s">
        <v>855</v>
      </c>
      <c r="D704" t="s">
        <v>18</v>
      </c>
      <c r="E704" t="s">
        <v>19</v>
      </c>
      <c r="F704" t="s">
        <v>192</v>
      </c>
      <c r="G704">
        <v>3</v>
      </c>
      <c r="H704" s="5">
        <v>4.5</v>
      </c>
      <c r="I704" t="s">
        <v>89</v>
      </c>
      <c r="J704" t="s">
        <v>261</v>
      </c>
      <c r="K704" t="s">
        <v>261</v>
      </c>
      <c r="L704" t="s">
        <v>2123</v>
      </c>
      <c r="M704" s="5">
        <f t="shared" si="61"/>
        <v>13.5</v>
      </c>
      <c r="N704" t="str">
        <f t="shared" si="62"/>
        <v>November</v>
      </c>
      <c r="O704" t="str">
        <f t="shared" si="63"/>
        <v>Sunday</v>
      </c>
      <c r="P704">
        <f t="shared" si="60"/>
        <v>9</v>
      </c>
      <c r="Q704" s="2">
        <f t="shared" si="64"/>
        <v>7</v>
      </c>
      <c r="R704" s="2">
        <f t="shared" si="65"/>
        <v>11</v>
      </c>
      <c r="S704">
        <f>SUMIF(Table1[product_category],"Bakery",Table1[Total_bill])</f>
        <v>2951.25</v>
      </c>
    </row>
    <row r="705" spans="1:19" x14ac:dyDescent="0.3">
      <c r="A705" s="2">
        <v>10704</v>
      </c>
      <c r="B705" s="4">
        <v>46335</v>
      </c>
      <c r="C705" t="s">
        <v>856</v>
      </c>
      <c r="D705" t="s">
        <v>25</v>
      </c>
      <c r="E705" t="s">
        <v>26</v>
      </c>
      <c r="F705" t="s">
        <v>195</v>
      </c>
      <c r="G705">
        <v>3</v>
      </c>
      <c r="H705" s="5">
        <v>4</v>
      </c>
      <c r="I705" t="s">
        <v>32</v>
      </c>
      <c r="J705" t="s">
        <v>122</v>
      </c>
      <c r="K705" t="s">
        <v>122</v>
      </c>
      <c r="L705" t="s">
        <v>2124</v>
      </c>
      <c r="M705" s="5">
        <f t="shared" si="61"/>
        <v>12</v>
      </c>
      <c r="N705" t="str">
        <f t="shared" si="62"/>
        <v>November</v>
      </c>
      <c r="O705" t="str">
        <f t="shared" si="63"/>
        <v>Monday</v>
      </c>
      <c r="P705">
        <f t="shared" si="60"/>
        <v>7</v>
      </c>
      <c r="Q705" s="2">
        <f t="shared" si="64"/>
        <v>1</v>
      </c>
      <c r="R705" s="2">
        <f t="shared" si="65"/>
        <v>11</v>
      </c>
      <c r="S705">
        <f>SUMIF(Table1[product_category],"Bakery",Table1[Total_bill])</f>
        <v>2951.25</v>
      </c>
    </row>
    <row r="706" spans="1:19" x14ac:dyDescent="0.3">
      <c r="A706" s="2">
        <v>10705</v>
      </c>
      <c r="B706" s="4">
        <v>46336</v>
      </c>
      <c r="C706" t="s">
        <v>857</v>
      </c>
      <c r="D706" t="s">
        <v>40</v>
      </c>
      <c r="E706" t="s">
        <v>41</v>
      </c>
      <c r="F706" t="s">
        <v>197</v>
      </c>
      <c r="G706">
        <v>2</v>
      </c>
      <c r="H706" s="5">
        <v>4.75</v>
      </c>
      <c r="I706" t="s">
        <v>32</v>
      </c>
      <c r="J706" t="s">
        <v>202</v>
      </c>
      <c r="K706" t="s">
        <v>202</v>
      </c>
      <c r="L706" t="s">
        <v>2123</v>
      </c>
      <c r="M706" s="5">
        <f t="shared" si="61"/>
        <v>9.5</v>
      </c>
      <c r="N706" t="str">
        <f t="shared" si="62"/>
        <v>November</v>
      </c>
      <c r="O706" t="str">
        <f t="shared" si="63"/>
        <v>Tuesday</v>
      </c>
      <c r="P706">
        <f t="shared" ref="P706:P769" si="66">HOUR(TIMEVALUE(C706))</f>
        <v>7</v>
      </c>
      <c r="Q706" s="2">
        <f t="shared" si="64"/>
        <v>2</v>
      </c>
      <c r="R706" s="2">
        <f t="shared" si="65"/>
        <v>11</v>
      </c>
      <c r="S706">
        <f>SUMIF(Table1[product_category],"Bakery",Table1[Total_bill])</f>
        <v>2951.25</v>
      </c>
    </row>
    <row r="707" spans="1:19" x14ac:dyDescent="0.3">
      <c r="A707" s="2">
        <v>10706</v>
      </c>
      <c r="B707" s="4">
        <v>46337</v>
      </c>
      <c r="C707" t="s">
        <v>858</v>
      </c>
      <c r="D707" t="s">
        <v>18</v>
      </c>
      <c r="E707" t="s">
        <v>19</v>
      </c>
      <c r="F707" t="s">
        <v>199</v>
      </c>
      <c r="G707">
        <v>1</v>
      </c>
      <c r="H707" s="5">
        <v>3.75</v>
      </c>
      <c r="I707" t="s">
        <v>36</v>
      </c>
      <c r="J707" t="s">
        <v>211</v>
      </c>
      <c r="K707" t="s">
        <v>239</v>
      </c>
      <c r="L707" t="s">
        <v>2124</v>
      </c>
      <c r="M707" s="5">
        <f t="shared" ref="M707:M770" si="67">G707*H707</f>
        <v>3.75</v>
      </c>
      <c r="N707" t="str">
        <f t="shared" ref="N707:N770" si="68">TEXT(B707,"mmmm")</f>
        <v>November</v>
      </c>
      <c r="O707" t="str">
        <f t="shared" ref="O707:O770" si="69">TEXT(B707,"dddd")</f>
        <v>Wednesday</v>
      </c>
      <c r="P707">
        <f t="shared" si="66"/>
        <v>20</v>
      </c>
      <c r="Q707" s="2">
        <f t="shared" ref="Q707:Q770" si="70">WEEKDAY(B707,2)</f>
        <v>3</v>
      </c>
      <c r="R707" s="2">
        <f t="shared" ref="R707:R770" si="71">MONTH(B707)</f>
        <v>11</v>
      </c>
      <c r="S707">
        <f>SUMIF(Table1[product_category],"Bakery",Table1[Total_bill])</f>
        <v>2951.25</v>
      </c>
    </row>
    <row r="708" spans="1:19" x14ac:dyDescent="0.3">
      <c r="A708" s="2">
        <v>10707</v>
      </c>
      <c r="B708" s="4">
        <v>46338</v>
      </c>
      <c r="C708" t="s">
        <v>859</v>
      </c>
      <c r="D708" t="s">
        <v>25</v>
      </c>
      <c r="E708" t="s">
        <v>26</v>
      </c>
      <c r="F708" t="s">
        <v>201</v>
      </c>
      <c r="G708">
        <v>2</v>
      </c>
      <c r="H708" s="5">
        <v>4.25</v>
      </c>
      <c r="I708" t="s">
        <v>36</v>
      </c>
      <c r="J708" t="s">
        <v>211</v>
      </c>
      <c r="K708" t="s">
        <v>212</v>
      </c>
      <c r="L708" t="s">
        <v>2123</v>
      </c>
      <c r="M708" s="5">
        <f t="shared" si="67"/>
        <v>8.5</v>
      </c>
      <c r="N708" t="str">
        <f t="shared" si="68"/>
        <v>November</v>
      </c>
      <c r="O708" t="str">
        <f t="shared" si="69"/>
        <v>Thursday</v>
      </c>
      <c r="P708">
        <f t="shared" si="66"/>
        <v>9</v>
      </c>
      <c r="Q708" s="2">
        <f t="shared" si="70"/>
        <v>4</v>
      </c>
      <c r="R708" s="2">
        <f t="shared" si="71"/>
        <v>11</v>
      </c>
      <c r="S708">
        <f>SUMIF(Table1[product_category],"Bakery",Table1[Total_bill])</f>
        <v>2951.25</v>
      </c>
    </row>
    <row r="709" spans="1:19" x14ac:dyDescent="0.3">
      <c r="A709" s="2">
        <v>10708</v>
      </c>
      <c r="B709" s="4">
        <v>46339</v>
      </c>
      <c r="C709" t="s">
        <v>860</v>
      </c>
      <c r="D709" t="s">
        <v>25</v>
      </c>
      <c r="E709" t="s">
        <v>26</v>
      </c>
      <c r="F709" t="s">
        <v>204</v>
      </c>
      <c r="G709">
        <v>4</v>
      </c>
      <c r="H709" s="5">
        <v>4.75</v>
      </c>
      <c r="I709" t="s">
        <v>32</v>
      </c>
      <c r="J709" t="s">
        <v>122</v>
      </c>
      <c r="K709" t="s">
        <v>122</v>
      </c>
      <c r="L709" t="s">
        <v>2123</v>
      </c>
      <c r="M709" s="5">
        <f t="shared" si="67"/>
        <v>19</v>
      </c>
      <c r="N709" t="str">
        <f t="shared" si="68"/>
        <v>November</v>
      </c>
      <c r="O709" t="str">
        <f t="shared" si="69"/>
        <v>Friday</v>
      </c>
      <c r="P709">
        <f t="shared" si="66"/>
        <v>16</v>
      </c>
      <c r="Q709" s="2">
        <f t="shared" si="70"/>
        <v>5</v>
      </c>
      <c r="R709" s="2">
        <f t="shared" si="71"/>
        <v>11</v>
      </c>
      <c r="S709">
        <f>SUMIF(Table1[product_category],"Bakery",Table1[Total_bill])</f>
        <v>2951.25</v>
      </c>
    </row>
    <row r="710" spans="1:19" x14ac:dyDescent="0.3">
      <c r="A710" s="2">
        <v>10709</v>
      </c>
      <c r="B710" s="4">
        <v>46340</v>
      </c>
      <c r="C710" t="s">
        <v>861</v>
      </c>
      <c r="D710" t="s">
        <v>40</v>
      </c>
      <c r="E710" t="s">
        <v>41</v>
      </c>
      <c r="F710" t="s">
        <v>206</v>
      </c>
      <c r="G710">
        <v>2</v>
      </c>
      <c r="H710" s="5">
        <v>1.75</v>
      </c>
      <c r="I710" t="s">
        <v>32</v>
      </c>
      <c r="J710" t="s">
        <v>43</v>
      </c>
      <c r="K710" t="s">
        <v>44</v>
      </c>
      <c r="L710" t="s">
        <v>2122</v>
      </c>
      <c r="M710" s="5">
        <f t="shared" si="67"/>
        <v>3.5</v>
      </c>
      <c r="N710" t="str">
        <f t="shared" si="68"/>
        <v>November</v>
      </c>
      <c r="O710" t="str">
        <f t="shared" si="69"/>
        <v>Saturday</v>
      </c>
      <c r="P710">
        <f t="shared" si="66"/>
        <v>8</v>
      </c>
      <c r="Q710" s="2">
        <f t="shared" si="70"/>
        <v>6</v>
      </c>
      <c r="R710" s="2">
        <f t="shared" si="71"/>
        <v>11</v>
      </c>
      <c r="S710">
        <f>SUMIF(Table1[product_category],"Bakery",Table1[Total_bill])</f>
        <v>2951.25</v>
      </c>
    </row>
    <row r="711" spans="1:19" x14ac:dyDescent="0.3">
      <c r="A711" s="2">
        <v>10710</v>
      </c>
      <c r="B711" s="4">
        <v>46341</v>
      </c>
      <c r="C711" t="s">
        <v>862</v>
      </c>
      <c r="D711" t="s">
        <v>40</v>
      </c>
      <c r="E711" t="s">
        <v>41</v>
      </c>
      <c r="F711" t="s">
        <v>208</v>
      </c>
      <c r="G711">
        <v>2</v>
      </c>
      <c r="H711" s="5">
        <v>24</v>
      </c>
      <c r="I711" t="s">
        <v>101</v>
      </c>
      <c r="J711" t="s">
        <v>102</v>
      </c>
      <c r="K711" t="s">
        <v>103</v>
      </c>
      <c r="L711" t="s">
        <v>2125</v>
      </c>
      <c r="M711" s="5">
        <f t="shared" si="67"/>
        <v>48</v>
      </c>
      <c r="N711" t="str">
        <f t="shared" si="68"/>
        <v>November</v>
      </c>
      <c r="O711" t="str">
        <f t="shared" si="69"/>
        <v>Sunday</v>
      </c>
      <c r="P711">
        <f t="shared" si="66"/>
        <v>14</v>
      </c>
      <c r="Q711" s="2">
        <f t="shared" si="70"/>
        <v>7</v>
      </c>
      <c r="R711" s="2">
        <f t="shared" si="71"/>
        <v>11</v>
      </c>
      <c r="S711">
        <f>SUMIF(Table1[product_category],"Bakery",Table1[Total_bill])</f>
        <v>2951.25</v>
      </c>
    </row>
    <row r="712" spans="1:19" x14ac:dyDescent="0.3">
      <c r="A712" s="2">
        <v>10711</v>
      </c>
      <c r="B712" s="4">
        <v>46342</v>
      </c>
      <c r="C712" t="s">
        <v>863</v>
      </c>
      <c r="D712" t="s">
        <v>18</v>
      </c>
      <c r="E712" t="s">
        <v>19</v>
      </c>
      <c r="F712" t="s">
        <v>210</v>
      </c>
      <c r="G712">
        <v>3</v>
      </c>
      <c r="H712" s="5">
        <v>3</v>
      </c>
      <c r="I712" t="s">
        <v>36</v>
      </c>
      <c r="J712" t="s">
        <v>246</v>
      </c>
      <c r="K712" t="s">
        <v>247</v>
      </c>
      <c r="L712" t="s">
        <v>2124</v>
      </c>
      <c r="M712" s="5">
        <f t="shared" si="67"/>
        <v>9</v>
      </c>
      <c r="N712" t="str">
        <f t="shared" si="68"/>
        <v>November</v>
      </c>
      <c r="O712" t="str">
        <f t="shared" si="69"/>
        <v>Monday</v>
      </c>
      <c r="P712">
        <f t="shared" si="66"/>
        <v>15</v>
      </c>
      <c r="Q712" s="2">
        <f t="shared" si="70"/>
        <v>1</v>
      </c>
      <c r="R712" s="2">
        <f t="shared" si="71"/>
        <v>11</v>
      </c>
      <c r="S712">
        <f>SUMIF(Table1[product_category],"Bakery",Table1[Total_bill])</f>
        <v>2951.25</v>
      </c>
    </row>
    <row r="713" spans="1:19" x14ac:dyDescent="0.3">
      <c r="A713" s="2">
        <v>10712</v>
      </c>
      <c r="B713" s="4">
        <v>46343</v>
      </c>
      <c r="C713" t="s">
        <v>864</v>
      </c>
      <c r="D713" t="s">
        <v>40</v>
      </c>
      <c r="E713" t="s">
        <v>41</v>
      </c>
      <c r="F713" t="s">
        <v>214</v>
      </c>
      <c r="G713">
        <v>3</v>
      </c>
      <c r="H713" s="5">
        <v>14</v>
      </c>
      <c r="I713" t="s">
        <v>101</v>
      </c>
      <c r="J713" t="s">
        <v>102</v>
      </c>
      <c r="K713" t="s">
        <v>193</v>
      </c>
      <c r="L713" t="s">
        <v>2125</v>
      </c>
      <c r="M713" s="5">
        <f t="shared" si="67"/>
        <v>42</v>
      </c>
      <c r="N713" t="str">
        <f t="shared" si="68"/>
        <v>November</v>
      </c>
      <c r="O713" t="str">
        <f t="shared" si="69"/>
        <v>Tuesday</v>
      </c>
      <c r="P713">
        <f t="shared" si="66"/>
        <v>13</v>
      </c>
      <c r="Q713" s="2">
        <f t="shared" si="70"/>
        <v>2</v>
      </c>
      <c r="R713" s="2">
        <f t="shared" si="71"/>
        <v>11</v>
      </c>
      <c r="S713">
        <f>SUMIF(Table1[product_category],"Bakery",Table1[Total_bill])</f>
        <v>2951.25</v>
      </c>
    </row>
    <row r="714" spans="1:19" x14ac:dyDescent="0.3">
      <c r="A714" s="2">
        <v>10713</v>
      </c>
      <c r="B714" s="4">
        <v>46344</v>
      </c>
      <c r="C714" t="s">
        <v>865</v>
      </c>
      <c r="D714" t="s">
        <v>25</v>
      </c>
      <c r="E714" t="s">
        <v>26</v>
      </c>
      <c r="F714" t="s">
        <v>217</v>
      </c>
      <c r="G714">
        <v>3</v>
      </c>
      <c r="H714" s="5">
        <v>3.25</v>
      </c>
      <c r="I714" t="s">
        <v>21</v>
      </c>
      <c r="J714" t="s">
        <v>81</v>
      </c>
      <c r="K714" t="s">
        <v>113</v>
      </c>
      <c r="L714" t="s">
        <v>2125</v>
      </c>
      <c r="M714" s="5">
        <f t="shared" si="67"/>
        <v>9.75</v>
      </c>
      <c r="N714" t="str">
        <f t="shared" si="68"/>
        <v>November</v>
      </c>
      <c r="O714" t="str">
        <f t="shared" si="69"/>
        <v>Wednesday</v>
      </c>
      <c r="P714">
        <f t="shared" si="66"/>
        <v>11</v>
      </c>
      <c r="Q714" s="2">
        <f t="shared" si="70"/>
        <v>3</v>
      </c>
      <c r="R714" s="2">
        <f t="shared" si="71"/>
        <v>11</v>
      </c>
      <c r="S714">
        <f>SUMIF(Table1[product_category],"Bakery",Table1[Total_bill])</f>
        <v>2951.25</v>
      </c>
    </row>
    <row r="715" spans="1:19" x14ac:dyDescent="0.3">
      <c r="A715" s="2">
        <v>10714</v>
      </c>
      <c r="B715" s="4">
        <v>46345</v>
      </c>
      <c r="C715" t="s">
        <v>866</v>
      </c>
      <c r="D715" t="s">
        <v>18</v>
      </c>
      <c r="E715" t="s">
        <v>19</v>
      </c>
      <c r="F715" t="s">
        <v>219</v>
      </c>
      <c r="G715">
        <v>3</v>
      </c>
      <c r="H715" s="5">
        <v>24</v>
      </c>
      <c r="I715" t="s">
        <v>101</v>
      </c>
      <c r="J715" t="s">
        <v>102</v>
      </c>
      <c r="K715" t="s">
        <v>103</v>
      </c>
      <c r="L715" t="s">
        <v>2125</v>
      </c>
      <c r="M715" s="5">
        <f t="shared" si="67"/>
        <v>72</v>
      </c>
      <c r="N715" t="str">
        <f t="shared" si="68"/>
        <v>November</v>
      </c>
      <c r="O715" t="str">
        <f t="shared" si="69"/>
        <v>Thursday</v>
      </c>
      <c r="P715">
        <f t="shared" si="66"/>
        <v>10</v>
      </c>
      <c r="Q715" s="2">
        <f t="shared" si="70"/>
        <v>4</v>
      </c>
      <c r="R715" s="2">
        <f t="shared" si="71"/>
        <v>11</v>
      </c>
      <c r="S715">
        <f>SUMIF(Table1[product_category],"Bakery",Table1[Total_bill])</f>
        <v>2951.25</v>
      </c>
    </row>
    <row r="716" spans="1:19" x14ac:dyDescent="0.3">
      <c r="A716" s="2">
        <v>10715</v>
      </c>
      <c r="B716" s="4">
        <v>46346</v>
      </c>
      <c r="C716" t="s">
        <v>867</v>
      </c>
      <c r="D716" t="s">
        <v>25</v>
      </c>
      <c r="E716" t="s">
        <v>26</v>
      </c>
      <c r="F716" t="s">
        <v>221</v>
      </c>
      <c r="G716">
        <v>4</v>
      </c>
      <c r="H716" s="5">
        <v>2.5</v>
      </c>
      <c r="I716" t="s">
        <v>21</v>
      </c>
      <c r="J716" t="s">
        <v>47</v>
      </c>
      <c r="K716" t="s">
        <v>48</v>
      </c>
      <c r="L716" t="s">
        <v>2125</v>
      </c>
      <c r="M716" s="5">
        <f t="shared" si="67"/>
        <v>10</v>
      </c>
      <c r="N716" t="str">
        <f t="shared" si="68"/>
        <v>November</v>
      </c>
      <c r="O716" t="str">
        <f t="shared" si="69"/>
        <v>Friday</v>
      </c>
      <c r="P716">
        <f t="shared" si="66"/>
        <v>9</v>
      </c>
      <c r="Q716" s="2">
        <f t="shared" si="70"/>
        <v>5</v>
      </c>
      <c r="R716" s="2">
        <f t="shared" si="71"/>
        <v>11</v>
      </c>
      <c r="S716">
        <f>SUMIF(Table1[product_category],"Bakery",Table1[Total_bill])</f>
        <v>2951.25</v>
      </c>
    </row>
    <row r="717" spans="1:19" x14ac:dyDescent="0.3">
      <c r="A717" s="2">
        <v>10716</v>
      </c>
      <c r="B717" s="4">
        <v>46347</v>
      </c>
      <c r="C717" t="s">
        <v>868</v>
      </c>
      <c r="D717" t="s">
        <v>25</v>
      </c>
      <c r="E717" t="s">
        <v>26</v>
      </c>
      <c r="F717" t="s">
        <v>223</v>
      </c>
      <c r="G717">
        <v>2</v>
      </c>
      <c r="H717" s="5">
        <v>4</v>
      </c>
      <c r="I717" t="s">
        <v>89</v>
      </c>
      <c r="J717" t="s">
        <v>90</v>
      </c>
      <c r="K717" t="s">
        <v>91</v>
      </c>
      <c r="L717" t="s">
        <v>2122</v>
      </c>
      <c r="M717" s="5">
        <f t="shared" si="67"/>
        <v>8</v>
      </c>
      <c r="N717" t="str">
        <f t="shared" si="68"/>
        <v>November</v>
      </c>
      <c r="O717" t="str">
        <f t="shared" si="69"/>
        <v>Saturday</v>
      </c>
      <c r="P717">
        <f t="shared" si="66"/>
        <v>18</v>
      </c>
      <c r="Q717" s="2">
        <f t="shared" si="70"/>
        <v>6</v>
      </c>
      <c r="R717" s="2">
        <f t="shared" si="71"/>
        <v>11</v>
      </c>
      <c r="S717">
        <f>SUMIF(Table1[product_category],"Bakery",Table1[Total_bill])</f>
        <v>2951.25</v>
      </c>
    </row>
    <row r="718" spans="1:19" x14ac:dyDescent="0.3">
      <c r="A718" s="2">
        <v>10717</v>
      </c>
      <c r="B718" s="4">
        <v>46348</v>
      </c>
      <c r="C718" t="s">
        <v>869</v>
      </c>
      <c r="D718" t="s">
        <v>25</v>
      </c>
      <c r="E718" t="s">
        <v>26</v>
      </c>
      <c r="F718" t="s">
        <v>225</v>
      </c>
      <c r="G718">
        <v>2</v>
      </c>
      <c r="H718" s="5">
        <v>3.5</v>
      </c>
      <c r="I718" t="s">
        <v>32</v>
      </c>
      <c r="J718" t="s">
        <v>226</v>
      </c>
      <c r="K718" t="s">
        <v>227</v>
      </c>
      <c r="L718" t="s">
        <v>2123</v>
      </c>
      <c r="M718" s="5">
        <f t="shared" si="67"/>
        <v>7</v>
      </c>
      <c r="N718" t="str">
        <f t="shared" si="68"/>
        <v>November</v>
      </c>
      <c r="O718" t="str">
        <f t="shared" si="69"/>
        <v>Sunday</v>
      </c>
      <c r="P718">
        <f t="shared" si="66"/>
        <v>16</v>
      </c>
      <c r="Q718" s="2">
        <f t="shared" si="70"/>
        <v>7</v>
      </c>
      <c r="R718" s="2">
        <f t="shared" si="71"/>
        <v>11</v>
      </c>
      <c r="S718">
        <f>SUMIF(Table1[product_category],"Bakery",Table1[Total_bill])</f>
        <v>2951.25</v>
      </c>
    </row>
    <row r="719" spans="1:19" x14ac:dyDescent="0.3">
      <c r="A719" s="2">
        <v>10718</v>
      </c>
      <c r="B719" s="4">
        <v>46349</v>
      </c>
      <c r="C719" t="s">
        <v>870</v>
      </c>
      <c r="D719" t="s">
        <v>18</v>
      </c>
      <c r="E719" t="s">
        <v>19</v>
      </c>
      <c r="F719" t="s">
        <v>229</v>
      </c>
      <c r="G719">
        <v>3</v>
      </c>
      <c r="H719" s="5">
        <v>3.25</v>
      </c>
      <c r="I719" t="s">
        <v>32</v>
      </c>
      <c r="J719" t="s">
        <v>226</v>
      </c>
      <c r="K719" t="s">
        <v>273</v>
      </c>
      <c r="L719" t="s">
        <v>2124</v>
      </c>
      <c r="M719" s="5">
        <f t="shared" si="67"/>
        <v>9.75</v>
      </c>
      <c r="N719" t="str">
        <f t="shared" si="68"/>
        <v>November</v>
      </c>
      <c r="O719" t="str">
        <f t="shared" si="69"/>
        <v>Monday</v>
      </c>
      <c r="P719">
        <f t="shared" si="66"/>
        <v>20</v>
      </c>
      <c r="Q719" s="2">
        <f t="shared" si="70"/>
        <v>1</v>
      </c>
      <c r="R719" s="2">
        <f t="shared" si="71"/>
        <v>11</v>
      </c>
      <c r="S719">
        <f>SUMIF(Table1[product_category],"Bakery",Table1[Total_bill])</f>
        <v>2951.25</v>
      </c>
    </row>
    <row r="720" spans="1:19" x14ac:dyDescent="0.3">
      <c r="A720" s="2">
        <v>10719</v>
      </c>
      <c r="B720" s="4">
        <v>46350</v>
      </c>
      <c r="C720" t="s">
        <v>871</v>
      </c>
      <c r="D720" t="s">
        <v>18</v>
      </c>
      <c r="E720" t="s">
        <v>19</v>
      </c>
      <c r="F720" t="s">
        <v>231</v>
      </c>
      <c r="G720">
        <v>1</v>
      </c>
      <c r="H720" s="5">
        <v>4.5</v>
      </c>
      <c r="I720" t="s">
        <v>32</v>
      </c>
      <c r="J720" t="s">
        <v>94</v>
      </c>
      <c r="K720" t="s">
        <v>95</v>
      </c>
      <c r="L720" t="s">
        <v>2123</v>
      </c>
      <c r="M720" s="5">
        <f t="shared" si="67"/>
        <v>4.5</v>
      </c>
      <c r="N720" t="str">
        <f t="shared" si="68"/>
        <v>November</v>
      </c>
      <c r="O720" t="str">
        <f t="shared" si="69"/>
        <v>Tuesday</v>
      </c>
      <c r="P720">
        <f t="shared" si="66"/>
        <v>7</v>
      </c>
      <c r="Q720" s="2">
        <f t="shared" si="70"/>
        <v>2</v>
      </c>
      <c r="R720" s="2">
        <f t="shared" si="71"/>
        <v>11</v>
      </c>
      <c r="S720">
        <f>SUMIF(Table1[product_category],"Bakery",Table1[Total_bill])</f>
        <v>2951.25</v>
      </c>
    </row>
    <row r="721" spans="1:19" x14ac:dyDescent="0.3">
      <c r="A721" s="2">
        <v>10720</v>
      </c>
      <c r="B721" s="4">
        <v>46351</v>
      </c>
      <c r="C721" t="s">
        <v>872</v>
      </c>
      <c r="D721" t="s">
        <v>25</v>
      </c>
      <c r="E721" t="s">
        <v>26</v>
      </c>
      <c r="F721" t="s">
        <v>233</v>
      </c>
      <c r="G721">
        <v>4</v>
      </c>
      <c r="H721" s="5">
        <v>3.5</v>
      </c>
      <c r="I721" t="s">
        <v>32</v>
      </c>
      <c r="J721" t="s">
        <v>55</v>
      </c>
      <c r="K721" t="s">
        <v>55</v>
      </c>
      <c r="L721" t="s">
        <v>2124</v>
      </c>
      <c r="M721" s="5">
        <f t="shared" si="67"/>
        <v>14</v>
      </c>
      <c r="N721" t="str">
        <f t="shared" si="68"/>
        <v>November</v>
      </c>
      <c r="O721" t="str">
        <f t="shared" si="69"/>
        <v>Wednesday</v>
      </c>
      <c r="P721">
        <f t="shared" si="66"/>
        <v>15</v>
      </c>
      <c r="Q721" s="2">
        <f t="shared" si="70"/>
        <v>3</v>
      </c>
      <c r="R721" s="2">
        <f t="shared" si="71"/>
        <v>11</v>
      </c>
      <c r="S721">
        <f>SUMIF(Table1[product_category],"Bakery",Table1[Total_bill])</f>
        <v>2951.25</v>
      </c>
    </row>
    <row r="722" spans="1:19" x14ac:dyDescent="0.3">
      <c r="A722" s="2">
        <v>10721</v>
      </c>
      <c r="B722" s="4">
        <v>46352</v>
      </c>
      <c r="C722" t="s">
        <v>873</v>
      </c>
      <c r="D722" t="s">
        <v>40</v>
      </c>
      <c r="E722" t="s">
        <v>41</v>
      </c>
      <c r="F722" t="s">
        <v>20</v>
      </c>
      <c r="G722">
        <v>2</v>
      </c>
      <c r="H722" s="5">
        <v>5.5</v>
      </c>
      <c r="I722" t="s">
        <v>72</v>
      </c>
      <c r="J722" t="s">
        <v>72</v>
      </c>
      <c r="K722" t="s">
        <v>141</v>
      </c>
      <c r="L722" t="s">
        <v>2125</v>
      </c>
      <c r="M722" s="5">
        <f t="shared" si="67"/>
        <v>11</v>
      </c>
      <c r="N722" t="str">
        <f t="shared" si="68"/>
        <v>November</v>
      </c>
      <c r="O722" t="str">
        <f t="shared" si="69"/>
        <v>Thursday</v>
      </c>
      <c r="P722">
        <f t="shared" si="66"/>
        <v>19</v>
      </c>
      <c r="Q722" s="2">
        <f t="shared" si="70"/>
        <v>4</v>
      </c>
      <c r="R722" s="2">
        <f t="shared" si="71"/>
        <v>11</v>
      </c>
      <c r="S722">
        <f>SUMIF(Table1[product_category],"Bakery",Table1[Total_bill])</f>
        <v>2951.25</v>
      </c>
    </row>
    <row r="723" spans="1:19" x14ac:dyDescent="0.3">
      <c r="A723" s="2">
        <v>10722</v>
      </c>
      <c r="B723" s="4">
        <v>46353</v>
      </c>
      <c r="C723" t="s">
        <v>874</v>
      </c>
      <c r="D723" t="s">
        <v>18</v>
      </c>
      <c r="E723" t="s">
        <v>19</v>
      </c>
      <c r="F723" t="s">
        <v>27</v>
      </c>
      <c r="G723">
        <v>4</v>
      </c>
      <c r="H723" s="5">
        <v>2.25</v>
      </c>
      <c r="I723" t="s">
        <v>32</v>
      </c>
      <c r="J723" t="s">
        <v>43</v>
      </c>
      <c r="K723" t="s">
        <v>44</v>
      </c>
      <c r="L723" t="s">
        <v>2124</v>
      </c>
      <c r="M723" s="5">
        <f t="shared" si="67"/>
        <v>9</v>
      </c>
      <c r="N723" t="str">
        <f t="shared" si="68"/>
        <v>November</v>
      </c>
      <c r="O723" t="str">
        <f t="shared" si="69"/>
        <v>Friday</v>
      </c>
      <c r="P723">
        <f t="shared" si="66"/>
        <v>8</v>
      </c>
      <c r="Q723" s="2">
        <f t="shared" si="70"/>
        <v>5</v>
      </c>
      <c r="R723" s="2">
        <f t="shared" si="71"/>
        <v>11</v>
      </c>
      <c r="S723">
        <f>SUMIF(Table1[product_category],"Bakery",Table1[Total_bill])</f>
        <v>2951.25</v>
      </c>
    </row>
    <row r="724" spans="1:19" x14ac:dyDescent="0.3">
      <c r="A724" s="2">
        <v>10723</v>
      </c>
      <c r="B724" s="4">
        <v>46354</v>
      </c>
      <c r="C724" t="s">
        <v>875</v>
      </c>
      <c r="D724" t="s">
        <v>18</v>
      </c>
      <c r="E724" t="s">
        <v>19</v>
      </c>
      <c r="F724" t="s">
        <v>31</v>
      </c>
      <c r="G724">
        <v>2</v>
      </c>
      <c r="H724" s="5">
        <v>2.75</v>
      </c>
      <c r="I724" t="s">
        <v>21</v>
      </c>
      <c r="J724" t="s">
        <v>22</v>
      </c>
      <c r="K724" t="s">
        <v>23</v>
      </c>
      <c r="L724" t="s">
        <v>2125</v>
      </c>
      <c r="M724" s="5">
        <f t="shared" si="67"/>
        <v>5.5</v>
      </c>
      <c r="N724" t="str">
        <f t="shared" si="68"/>
        <v>November</v>
      </c>
      <c r="O724" t="str">
        <f t="shared" si="69"/>
        <v>Saturday</v>
      </c>
      <c r="P724">
        <f t="shared" si="66"/>
        <v>7</v>
      </c>
      <c r="Q724" s="2">
        <f t="shared" si="70"/>
        <v>6</v>
      </c>
      <c r="R724" s="2">
        <f t="shared" si="71"/>
        <v>11</v>
      </c>
      <c r="S724">
        <f>SUMIF(Table1[product_category],"Bakery",Table1[Total_bill])</f>
        <v>2951.25</v>
      </c>
    </row>
    <row r="725" spans="1:19" x14ac:dyDescent="0.3">
      <c r="A725" s="2">
        <v>10724</v>
      </c>
      <c r="B725" s="4">
        <v>46355</v>
      </c>
      <c r="C725" t="s">
        <v>876</v>
      </c>
      <c r="D725" t="s">
        <v>25</v>
      </c>
      <c r="E725" t="s">
        <v>26</v>
      </c>
      <c r="F725" t="s">
        <v>35</v>
      </c>
      <c r="G725">
        <v>1</v>
      </c>
      <c r="H725" s="5">
        <v>14</v>
      </c>
      <c r="I725" t="s">
        <v>101</v>
      </c>
      <c r="J725" t="s">
        <v>102</v>
      </c>
      <c r="K725" t="s">
        <v>193</v>
      </c>
      <c r="L725" t="s">
        <v>2125</v>
      </c>
      <c r="M725" s="5">
        <f t="shared" si="67"/>
        <v>14</v>
      </c>
      <c r="N725" t="str">
        <f t="shared" si="68"/>
        <v>November</v>
      </c>
      <c r="O725" t="str">
        <f t="shared" si="69"/>
        <v>Sunday</v>
      </c>
      <c r="P725">
        <f t="shared" si="66"/>
        <v>15</v>
      </c>
      <c r="Q725" s="2">
        <f t="shared" si="70"/>
        <v>7</v>
      </c>
      <c r="R725" s="2">
        <f t="shared" si="71"/>
        <v>11</v>
      </c>
      <c r="S725">
        <f>SUMIF(Table1[product_category],"Bakery",Table1[Total_bill])</f>
        <v>2951.25</v>
      </c>
    </row>
    <row r="726" spans="1:19" x14ac:dyDescent="0.3">
      <c r="A726" s="2">
        <v>10725</v>
      </c>
      <c r="B726" s="4">
        <v>46356</v>
      </c>
      <c r="C726" t="s">
        <v>877</v>
      </c>
      <c r="D726" t="s">
        <v>25</v>
      </c>
      <c r="E726" t="s">
        <v>26</v>
      </c>
      <c r="F726" t="s">
        <v>42</v>
      </c>
      <c r="G726">
        <v>2</v>
      </c>
      <c r="H726" s="5">
        <v>6</v>
      </c>
      <c r="I726" t="s">
        <v>72</v>
      </c>
      <c r="J726" t="s">
        <v>72</v>
      </c>
      <c r="K726" t="s">
        <v>138</v>
      </c>
      <c r="L726" t="s">
        <v>2125</v>
      </c>
      <c r="M726" s="5">
        <f t="shared" si="67"/>
        <v>12</v>
      </c>
      <c r="N726" t="str">
        <f t="shared" si="68"/>
        <v>November</v>
      </c>
      <c r="O726" t="str">
        <f t="shared" si="69"/>
        <v>Monday</v>
      </c>
      <c r="P726">
        <f t="shared" si="66"/>
        <v>13</v>
      </c>
      <c r="Q726" s="2">
        <f t="shared" si="70"/>
        <v>1</v>
      </c>
      <c r="R726" s="2">
        <f t="shared" si="71"/>
        <v>11</v>
      </c>
      <c r="S726">
        <f>SUMIF(Table1[product_category],"Bakery",Table1[Total_bill])</f>
        <v>2951.25</v>
      </c>
    </row>
    <row r="727" spans="1:19" x14ac:dyDescent="0.3">
      <c r="A727" s="2">
        <v>10726</v>
      </c>
      <c r="B727" s="4">
        <v>46357</v>
      </c>
      <c r="C727" t="s">
        <v>878</v>
      </c>
      <c r="D727" t="s">
        <v>40</v>
      </c>
      <c r="E727" t="s">
        <v>41</v>
      </c>
      <c r="F727" t="s">
        <v>46</v>
      </c>
      <c r="G727">
        <v>2</v>
      </c>
      <c r="H727" s="5">
        <v>24</v>
      </c>
      <c r="I727" t="s">
        <v>101</v>
      </c>
      <c r="J727" t="s">
        <v>102</v>
      </c>
      <c r="K727" t="s">
        <v>103</v>
      </c>
      <c r="L727" t="s">
        <v>2125</v>
      </c>
      <c r="M727" s="5">
        <f t="shared" si="67"/>
        <v>48</v>
      </c>
      <c r="N727" t="str">
        <f t="shared" si="68"/>
        <v>December</v>
      </c>
      <c r="O727" t="str">
        <f t="shared" si="69"/>
        <v>Tuesday</v>
      </c>
      <c r="P727">
        <f t="shared" si="66"/>
        <v>17</v>
      </c>
      <c r="Q727" s="2">
        <f t="shared" si="70"/>
        <v>2</v>
      </c>
      <c r="R727" s="2">
        <f t="shared" si="71"/>
        <v>12</v>
      </c>
      <c r="S727">
        <f>SUMIF(Table1[product_category],"Bakery",Table1[Total_bill])</f>
        <v>2951.25</v>
      </c>
    </row>
    <row r="728" spans="1:19" x14ac:dyDescent="0.3">
      <c r="A728" s="2">
        <v>10727</v>
      </c>
      <c r="B728" s="4">
        <v>46358</v>
      </c>
      <c r="C728" t="s">
        <v>879</v>
      </c>
      <c r="D728" t="s">
        <v>40</v>
      </c>
      <c r="E728" t="s">
        <v>41</v>
      </c>
      <c r="F728" t="s">
        <v>50</v>
      </c>
      <c r="G728">
        <v>4</v>
      </c>
      <c r="H728" s="5">
        <v>3.25</v>
      </c>
      <c r="I728" t="s">
        <v>36</v>
      </c>
      <c r="J728" t="s">
        <v>211</v>
      </c>
      <c r="K728" t="s">
        <v>212</v>
      </c>
      <c r="L728" t="s">
        <v>2122</v>
      </c>
      <c r="M728" s="5">
        <f t="shared" si="67"/>
        <v>13</v>
      </c>
      <c r="N728" t="str">
        <f t="shared" si="68"/>
        <v>December</v>
      </c>
      <c r="O728" t="str">
        <f t="shared" si="69"/>
        <v>Wednesday</v>
      </c>
      <c r="P728">
        <f t="shared" si="66"/>
        <v>7</v>
      </c>
      <c r="Q728" s="2">
        <f t="shared" si="70"/>
        <v>3</v>
      </c>
      <c r="R728" s="2">
        <f t="shared" si="71"/>
        <v>12</v>
      </c>
      <c r="S728">
        <f>SUMIF(Table1[product_category],"Bakery",Table1[Total_bill])</f>
        <v>2951.25</v>
      </c>
    </row>
    <row r="729" spans="1:19" x14ac:dyDescent="0.3">
      <c r="A729" s="2">
        <v>10728</v>
      </c>
      <c r="B729" s="4">
        <v>46359</v>
      </c>
      <c r="C729" t="s">
        <v>880</v>
      </c>
      <c r="D729" t="s">
        <v>40</v>
      </c>
      <c r="E729" t="s">
        <v>41</v>
      </c>
      <c r="F729" t="s">
        <v>54</v>
      </c>
      <c r="G729">
        <v>2</v>
      </c>
      <c r="H729" s="5">
        <v>2.5</v>
      </c>
      <c r="I729" t="s">
        <v>21</v>
      </c>
      <c r="J729" t="s">
        <v>47</v>
      </c>
      <c r="K729" t="s">
        <v>48</v>
      </c>
      <c r="L729" t="s">
        <v>2125</v>
      </c>
      <c r="M729" s="5">
        <f t="shared" si="67"/>
        <v>5</v>
      </c>
      <c r="N729" t="str">
        <f t="shared" si="68"/>
        <v>December</v>
      </c>
      <c r="O729" t="str">
        <f t="shared" si="69"/>
        <v>Thursday</v>
      </c>
      <c r="P729">
        <f t="shared" si="66"/>
        <v>16</v>
      </c>
      <c r="Q729" s="2">
        <f t="shared" si="70"/>
        <v>4</v>
      </c>
      <c r="R729" s="2">
        <f t="shared" si="71"/>
        <v>12</v>
      </c>
      <c r="S729">
        <f>SUMIF(Table1[product_category],"Bakery",Table1[Total_bill])</f>
        <v>2951.25</v>
      </c>
    </row>
    <row r="730" spans="1:19" x14ac:dyDescent="0.3">
      <c r="A730" s="2">
        <v>10729</v>
      </c>
      <c r="B730" s="4">
        <v>46360</v>
      </c>
      <c r="C730" t="s">
        <v>881</v>
      </c>
      <c r="D730" t="s">
        <v>25</v>
      </c>
      <c r="E730" t="s">
        <v>26</v>
      </c>
      <c r="F730" t="s">
        <v>57</v>
      </c>
      <c r="G730">
        <v>4</v>
      </c>
      <c r="H730" s="5">
        <v>4</v>
      </c>
      <c r="I730" t="s">
        <v>32</v>
      </c>
      <c r="J730" t="s">
        <v>55</v>
      </c>
      <c r="K730" t="s">
        <v>55</v>
      </c>
      <c r="L730" t="s">
        <v>2123</v>
      </c>
      <c r="M730" s="5">
        <f t="shared" si="67"/>
        <v>16</v>
      </c>
      <c r="N730" t="str">
        <f t="shared" si="68"/>
        <v>December</v>
      </c>
      <c r="O730" t="str">
        <f t="shared" si="69"/>
        <v>Friday</v>
      </c>
      <c r="P730">
        <f t="shared" si="66"/>
        <v>8</v>
      </c>
      <c r="Q730" s="2">
        <f t="shared" si="70"/>
        <v>5</v>
      </c>
      <c r="R730" s="2">
        <f t="shared" si="71"/>
        <v>12</v>
      </c>
      <c r="S730">
        <f>SUMIF(Table1[product_category],"Bakery",Table1[Total_bill])</f>
        <v>2951.25</v>
      </c>
    </row>
    <row r="731" spans="1:19" x14ac:dyDescent="0.3">
      <c r="A731" s="2">
        <v>10730</v>
      </c>
      <c r="B731" s="4">
        <v>46361</v>
      </c>
      <c r="C731" t="s">
        <v>882</v>
      </c>
      <c r="D731" t="s">
        <v>18</v>
      </c>
      <c r="E731" t="s">
        <v>19</v>
      </c>
      <c r="F731" t="s">
        <v>61</v>
      </c>
      <c r="G731">
        <v>1</v>
      </c>
      <c r="H731" s="5">
        <v>4.75</v>
      </c>
      <c r="I731" t="s">
        <v>32</v>
      </c>
      <c r="J731" t="s">
        <v>69</v>
      </c>
      <c r="K731" t="s">
        <v>69</v>
      </c>
      <c r="L731" t="s">
        <v>2123</v>
      </c>
      <c r="M731" s="5">
        <f t="shared" si="67"/>
        <v>4.75</v>
      </c>
      <c r="N731" t="str">
        <f t="shared" si="68"/>
        <v>December</v>
      </c>
      <c r="O731" t="str">
        <f t="shared" si="69"/>
        <v>Saturday</v>
      </c>
      <c r="P731">
        <f t="shared" si="66"/>
        <v>8</v>
      </c>
      <c r="Q731" s="2">
        <f t="shared" si="70"/>
        <v>6</v>
      </c>
      <c r="R731" s="2">
        <f t="shared" si="71"/>
        <v>12</v>
      </c>
      <c r="S731">
        <f>SUMIF(Table1[product_category],"Bakery",Table1[Total_bill])</f>
        <v>2951.25</v>
      </c>
    </row>
    <row r="732" spans="1:19" x14ac:dyDescent="0.3">
      <c r="A732" s="2">
        <v>10731</v>
      </c>
      <c r="B732" s="4">
        <v>46362</v>
      </c>
      <c r="C732" t="s">
        <v>883</v>
      </c>
      <c r="D732" t="s">
        <v>40</v>
      </c>
      <c r="E732" t="s">
        <v>41</v>
      </c>
      <c r="F732" t="s">
        <v>64</v>
      </c>
      <c r="G732">
        <v>3</v>
      </c>
      <c r="H732" s="5">
        <v>3</v>
      </c>
      <c r="I732" t="s">
        <v>21</v>
      </c>
      <c r="J732" t="s">
        <v>181</v>
      </c>
      <c r="K732" t="s">
        <v>182</v>
      </c>
      <c r="L732" t="s">
        <v>2125</v>
      </c>
      <c r="M732" s="5">
        <f t="shared" si="67"/>
        <v>9</v>
      </c>
      <c r="N732" t="str">
        <f t="shared" si="68"/>
        <v>December</v>
      </c>
      <c r="O732" t="str">
        <f t="shared" si="69"/>
        <v>Sunday</v>
      </c>
      <c r="P732">
        <f t="shared" si="66"/>
        <v>8</v>
      </c>
      <c r="Q732" s="2">
        <f t="shared" si="70"/>
        <v>7</v>
      </c>
      <c r="R732" s="2">
        <f t="shared" si="71"/>
        <v>12</v>
      </c>
      <c r="S732">
        <f>SUMIF(Table1[product_category],"Bakery",Table1[Total_bill])</f>
        <v>2951.25</v>
      </c>
    </row>
    <row r="733" spans="1:19" x14ac:dyDescent="0.3">
      <c r="A733" s="2">
        <v>10732</v>
      </c>
      <c r="B733" s="4">
        <v>46363</v>
      </c>
      <c r="C733" t="s">
        <v>884</v>
      </c>
      <c r="D733" t="s">
        <v>25</v>
      </c>
      <c r="E733" t="s">
        <v>26</v>
      </c>
      <c r="F733" t="s">
        <v>66</v>
      </c>
      <c r="G733">
        <v>3</v>
      </c>
      <c r="H733" s="5">
        <v>3.25</v>
      </c>
      <c r="I733" t="s">
        <v>32</v>
      </c>
      <c r="J733" t="s">
        <v>226</v>
      </c>
      <c r="K733" t="s">
        <v>273</v>
      </c>
      <c r="L733" t="s">
        <v>2124</v>
      </c>
      <c r="M733" s="5">
        <f t="shared" si="67"/>
        <v>9.75</v>
      </c>
      <c r="N733" t="str">
        <f t="shared" si="68"/>
        <v>December</v>
      </c>
      <c r="O733" t="str">
        <f t="shared" si="69"/>
        <v>Monday</v>
      </c>
      <c r="P733">
        <f t="shared" si="66"/>
        <v>16</v>
      </c>
      <c r="Q733" s="2">
        <f t="shared" si="70"/>
        <v>1</v>
      </c>
      <c r="R733" s="2">
        <f t="shared" si="71"/>
        <v>12</v>
      </c>
      <c r="S733">
        <f>SUMIF(Table1[product_category],"Bakery",Table1[Total_bill])</f>
        <v>2951.25</v>
      </c>
    </row>
    <row r="734" spans="1:19" x14ac:dyDescent="0.3">
      <c r="A734" s="2">
        <v>10733</v>
      </c>
      <c r="B734" s="4">
        <v>46364</v>
      </c>
      <c r="C734" t="s">
        <v>885</v>
      </c>
      <c r="D734" t="s">
        <v>18</v>
      </c>
      <c r="E734" t="s">
        <v>19</v>
      </c>
      <c r="F734" t="s">
        <v>68</v>
      </c>
      <c r="G734">
        <v>1</v>
      </c>
      <c r="H734" s="5">
        <v>3</v>
      </c>
      <c r="I734" t="s">
        <v>32</v>
      </c>
      <c r="J734" t="s">
        <v>55</v>
      </c>
      <c r="K734" t="s">
        <v>55</v>
      </c>
      <c r="L734" t="s">
        <v>2122</v>
      </c>
      <c r="M734" s="5">
        <f t="shared" si="67"/>
        <v>3</v>
      </c>
      <c r="N734" t="str">
        <f t="shared" si="68"/>
        <v>December</v>
      </c>
      <c r="O734" t="str">
        <f t="shared" si="69"/>
        <v>Tuesday</v>
      </c>
      <c r="P734">
        <f t="shared" si="66"/>
        <v>14</v>
      </c>
      <c r="Q734" s="2">
        <f t="shared" si="70"/>
        <v>2</v>
      </c>
      <c r="R734" s="2">
        <f t="shared" si="71"/>
        <v>12</v>
      </c>
      <c r="S734">
        <f>SUMIF(Table1[product_category],"Bakery",Table1[Total_bill])</f>
        <v>2951.25</v>
      </c>
    </row>
    <row r="735" spans="1:19" x14ac:dyDescent="0.3">
      <c r="A735" s="2">
        <v>10734</v>
      </c>
      <c r="B735" s="4">
        <v>46365</v>
      </c>
      <c r="C735" t="s">
        <v>886</v>
      </c>
      <c r="D735" t="s">
        <v>18</v>
      </c>
      <c r="E735" t="s">
        <v>19</v>
      </c>
      <c r="F735" t="s">
        <v>71</v>
      </c>
      <c r="G735">
        <v>3</v>
      </c>
      <c r="H735" s="5">
        <v>3.75</v>
      </c>
      <c r="I735" t="s">
        <v>36</v>
      </c>
      <c r="J735" t="s">
        <v>211</v>
      </c>
      <c r="K735" t="s">
        <v>212</v>
      </c>
      <c r="L735" t="s">
        <v>2124</v>
      </c>
      <c r="M735" s="5">
        <f t="shared" si="67"/>
        <v>11.25</v>
      </c>
      <c r="N735" t="str">
        <f t="shared" si="68"/>
        <v>December</v>
      </c>
      <c r="O735" t="str">
        <f t="shared" si="69"/>
        <v>Wednesday</v>
      </c>
      <c r="P735">
        <f t="shared" si="66"/>
        <v>12</v>
      </c>
      <c r="Q735" s="2">
        <f t="shared" si="70"/>
        <v>3</v>
      </c>
      <c r="R735" s="2">
        <f t="shared" si="71"/>
        <v>12</v>
      </c>
      <c r="S735">
        <f>SUMIF(Table1[product_category],"Bakery",Table1[Total_bill])</f>
        <v>2951.25</v>
      </c>
    </row>
    <row r="736" spans="1:19" x14ac:dyDescent="0.3">
      <c r="A736" s="2">
        <v>10735</v>
      </c>
      <c r="B736" s="4">
        <v>46366</v>
      </c>
      <c r="C736" t="s">
        <v>887</v>
      </c>
      <c r="D736" t="s">
        <v>18</v>
      </c>
      <c r="E736" t="s">
        <v>19</v>
      </c>
      <c r="F736" t="s">
        <v>75</v>
      </c>
      <c r="G736">
        <v>3</v>
      </c>
      <c r="H736" s="5">
        <v>4</v>
      </c>
      <c r="I736" t="s">
        <v>32</v>
      </c>
      <c r="J736" t="s">
        <v>33</v>
      </c>
      <c r="K736" t="s">
        <v>33</v>
      </c>
      <c r="L736" t="s">
        <v>2124</v>
      </c>
      <c r="M736" s="5">
        <f t="shared" si="67"/>
        <v>12</v>
      </c>
      <c r="N736" t="str">
        <f t="shared" si="68"/>
        <v>December</v>
      </c>
      <c r="O736" t="str">
        <f t="shared" si="69"/>
        <v>Thursday</v>
      </c>
      <c r="P736">
        <f t="shared" si="66"/>
        <v>10</v>
      </c>
      <c r="Q736" s="2">
        <f t="shared" si="70"/>
        <v>4</v>
      </c>
      <c r="R736" s="2">
        <f t="shared" si="71"/>
        <v>12</v>
      </c>
      <c r="S736">
        <f>SUMIF(Table1[product_category],"Bakery",Table1[Total_bill])</f>
        <v>2951.25</v>
      </c>
    </row>
    <row r="737" spans="1:19" x14ac:dyDescent="0.3">
      <c r="A737" s="2">
        <v>10736</v>
      </c>
      <c r="B737" s="4">
        <v>46367</v>
      </c>
      <c r="C737" t="s">
        <v>888</v>
      </c>
      <c r="D737" t="s">
        <v>40</v>
      </c>
      <c r="E737" t="s">
        <v>41</v>
      </c>
      <c r="F737" t="s">
        <v>78</v>
      </c>
      <c r="G737">
        <v>3</v>
      </c>
      <c r="H737" s="5">
        <v>5.5</v>
      </c>
      <c r="I737" t="s">
        <v>72</v>
      </c>
      <c r="J737" t="s">
        <v>72</v>
      </c>
      <c r="K737" t="s">
        <v>73</v>
      </c>
      <c r="L737" t="s">
        <v>2125</v>
      </c>
      <c r="M737" s="5">
        <f t="shared" si="67"/>
        <v>16.5</v>
      </c>
      <c r="N737" t="str">
        <f t="shared" si="68"/>
        <v>December</v>
      </c>
      <c r="O737" t="str">
        <f t="shared" si="69"/>
        <v>Friday</v>
      </c>
      <c r="P737">
        <f t="shared" si="66"/>
        <v>17</v>
      </c>
      <c r="Q737" s="2">
        <f t="shared" si="70"/>
        <v>5</v>
      </c>
      <c r="R737" s="2">
        <f t="shared" si="71"/>
        <v>12</v>
      </c>
      <c r="S737">
        <f>SUMIF(Table1[product_category],"Bakery",Table1[Total_bill])</f>
        <v>2951.25</v>
      </c>
    </row>
    <row r="738" spans="1:19" x14ac:dyDescent="0.3">
      <c r="A738" s="2">
        <v>10737</v>
      </c>
      <c r="B738" s="4">
        <v>46368</v>
      </c>
      <c r="C738" t="s">
        <v>889</v>
      </c>
      <c r="D738" t="s">
        <v>40</v>
      </c>
      <c r="E738" t="s">
        <v>41</v>
      </c>
      <c r="F738" t="s">
        <v>80</v>
      </c>
      <c r="G738">
        <v>2</v>
      </c>
      <c r="H738" s="5">
        <v>11</v>
      </c>
      <c r="I738" t="s">
        <v>98</v>
      </c>
      <c r="J738" t="s">
        <v>98</v>
      </c>
      <c r="K738" t="s">
        <v>215</v>
      </c>
      <c r="L738" t="s">
        <v>2125</v>
      </c>
      <c r="M738" s="5">
        <f t="shared" si="67"/>
        <v>22</v>
      </c>
      <c r="N738" t="str">
        <f t="shared" si="68"/>
        <v>December</v>
      </c>
      <c r="O738" t="str">
        <f t="shared" si="69"/>
        <v>Saturday</v>
      </c>
      <c r="P738">
        <f t="shared" si="66"/>
        <v>10</v>
      </c>
      <c r="Q738" s="2">
        <f t="shared" si="70"/>
        <v>6</v>
      </c>
      <c r="R738" s="2">
        <f t="shared" si="71"/>
        <v>12</v>
      </c>
      <c r="S738">
        <f>SUMIF(Table1[product_category],"Bakery",Table1[Total_bill])</f>
        <v>2951.25</v>
      </c>
    </row>
    <row r="739" spans="1:19" x14ac:dyDescent="0.3">
      <c r="A739" s="2">
        <v>10738</v>
      </c>
      <c r="B739" s="4">
        <v>46369</v>
      </c>
      <c r="C739" t="s">
        <v>890</v>
      </c>
      <c r="D739" t="s">
        <v>18</v>
      </c>
      <c r="E739" t="s">
        <v>19</v>
      </c>
      <c r="F739" t="s">
        <v>84</v>
      </c>
      <c r="G739">
        <v>1</v>
      </c>
      <c r="H739" s="5">
        <v>3.5</v>
      </c>
      <c r="I739" t="s">
        <v>32</v>
      </c>
      <c r="J739" t="s">
        <v>94</v>
      </c>
      <c r="K739" t="s">
        <v>95</v>
      </c>
      <c r="L739" t="s">
        <v>2122</v>
      </c>
      <c r="M739" s="5">
        <f t="shared" si="67"/>
        <v>3.5</v>
      </c>
      <c r="N739" t="str">
        <f t="shared" si="68"/>
        <v>December</v>
      </c>
      <c r="O739" t="str">
        <f t="shared" si="69"/>
        <v>Sunday</v>
      </c>
      <c r="P739">
        <f t="shared" si="66"/>
        <v>16</v>
      </c>
      <c r="Q739" s="2">
        <f t="shared" si="70"/>
        <v>7</v>
      </c>
      <c r="R739" s="2">
        <f t="shared" si="71"/>
        <v>12</v>
      </c>
      <c r="S739">
        <f>SUMIF(Table1[product_category],"Bakery",Table1[Total_bill])</f>
        <v>2951.25</v>
      </c>
    </row>
    <row r="740" spans="1:19" x14ac:dyDescent="0.3">
      <c r="A740" s="2">
        <v>10739</v>
      </c>
      <c r="B740" s="4">
        <v>46370</v>
      </c>
      <c r="C740" t="s">
        <v>891</v>
      </c>
      <c r="D740" t="s">
        <v>40</v>
      </c>
      <c r="E740" t="s">
        <v>41</v>
      </c>
      <c r="F740" t="s">
        <v>86</v>
      </c>
      <c r="G740">
        <v>2</v>
      </c>
      <c r="H740" s="5">
        <v>14</v>
      </c>
      <c r="I740" t="s">
        <v>98</v>
      </c>
      <c r="J740" t="s">
        <v>98</v>
      </c>
      <c r="K740" t="s">
        <v>129</v>
      </c>
      <c r="L740" t="s">
        <v>2125</v>
      </c>
      <c r="M740" s="5">
        <f t="shared" si="67"/>
        <v>28</v>
      </c>
      <c r="N740" t="str">
        <f t="shared" si="68"/>
        <v>December</v>
      </c>
      <c r="O740" t="str">
        <f t="shared" si="69"/>
        <v>Monday</v>
      </c>
      <c r="P740">
        <f t="shared" si="66"/>
        <v>11</v>
      </c>
      <c r="Q740" s="2">
        <f t="shared" si="70"/>
        <v>1</v>
      </c>
      <c r="R740" s="2">
        <f t="shared" si="71"/>
        <v>12</v>
      </c>
      <c r="S740">
        <f>SUMIF(Table1[product_category],"Bakery",Table1[Total_bill])</f>
        <v>2951.25</v>
      </c>
    </row>
    <row r="741" spans="1:19" x14ac:dyDescent="0.3">
      <c r="A741" s="2">
        <v>10740</v>
      </c>
      <c r="B741" s="4">
        <v>46371</v>
      </c>
      <c r="C741" t="s">
        <v>892</v>
      </c>
      <c r="D741" t="s">
        <v>40</v>
      </c>
      <c r="E741" t="s">
        <v>41</v>
      </c>
      <c r="F741" t="s">
        <v>88</v>
      </c>
      <c r="G741">
        <v>2</v>
      </c>
      <c r="H741" s="5">
        <v>3.5</v>
      </c>
      <c r="I741" t="s">
        <v>32</v>
      </c>
      <c r="J741" t="s">
        <v>226</v>
      </c>
      <c r="K741" t="s">
        <v>227</v>
      </c>
      <c r="L741" t="s">
        <v>2123</v>
      </c>
      <c r="M741" s="5">
        <f t="shared" si="67"/>
        <v>7</v>
      </c>
      <c r="N741" t="str">
        <f t="shared" si="68"/>
        <v>December</v>
      </c>
      <c r="O741" t="str">
        <f t="shared" si="69"/>
        <v>Tuesday</v>
      </c>
      <c r="P741">
        <f t="shared" si="66"/>
        <v>10</v>
      </c>
      <c r="Q741" s="2">
        <f t="shared" si="70"/>
        <v>2</v>
      </c>
      <c r="R741" s="2">
        <f t="shared" si="71"/>
        <v>12</v>
      </c>
      <c r="S741">
        <f>SUMIF(Table1[product_category],"Bakery",Table1[Total_bill])</f>
        <v>2951.25</v>
      </c>
    </row>
    <row r="742" spans="1:19" x14ac:dyDescent="0.3">
      <c r="A742" s="2">
        <v>10741</v>
      </c>
      <c r="B742" s="4">
        <v>46372</v>
      </c>
      <c r="C742" t="s">
        <v>893</v>
      </c>
      <c r="D742" t="s">
        <v>25</v>
      </c>
      <c r="E742" t="s">
        <v>26</v>
      </c>
      <c r="F742" t="s">
        <v>93</v>
      </c>
      <c r="G742">
        <v>4</v>
      </c>
      <c r="H742" s="5">
        <v>11</v>
      </c>
      <c r="I742" t="s">
        <v>98</v>
      </c>
      <c r="J742" t="s">
        <v>98</v>
      </c>
      <c r="K742" t="s">
        <v>215</v>
      </c>
      <c r="L742" t="s">
        <v>2125</v>
      </c>
      <c r="M742" s="5">
        <f t="shared" si="67"/>
        <v>44</v>
      </c>
      <c r="N742" t="str">
        <f t="shared" si="68"/>
        <v>December</v>
      </c>
      <c r="O742" t="str">
        <f t="shared" si="69"/>
        <v>Wednesday</v>
      </c>
      <c r="P742">
        <f t="shared" si="66"/>
        <v>11</v>
      </c>
      <c r="Q742" s="2">
        <f t="shared" si="70"/>
        <v>3</v>
      </c>
      <c r="R742" s="2">
        <f t="shared" si="71"/>
        <v>12</v>
      </c>
      <c r="S742">
        <f>SUMIF(Table1[product_category],"Bakery",Table1[Total_bill])</f>
        <v>2951.25</v>
      </c>
    </row>
    <row r="743" spans="1:19" x14ac:dyDescent="0.3">
      <c r="A743" s="2">
        <v>10742</v>
      </c>
      <c r="B743" s="4">
        <v>46373</v>
      </c>
      <c r="C743" t="s">
        <v>894</v>
      </c>
      <c r="D743" t="s">
        <v>18</v>
      </c>
      <c r="E743" t="s">
        <v>19</v>
      </c>
      <c r="F743" t="s">
        <v>97</v>
      </c>
      <c r="G743">
        <v>1</v>
      </c>
      <c r="H743" s="5">
        <v>3.25</v>
      </c>
      <c r="I743" t="s">
        <v>21</v>
      </c>
      <c r="J743" t="s">
        <v>81</v>
      </c>
      <c r="K743" t="s">
        <v>82</v>
      </c>
      <c r="L743" t="s">
        <v>2125</v>
      </c>
      <c r="M743" s="5">
        <f t="shared" si="67"/>
        <v>3.25</v>
      </c>
      <c r="N743" t="str">
        <f t="shared" si="68"/>
        <v>December</v>
      </c>
      <c r="O743" t="str">
        <f t="shared" si="69"/>
        <v>Thursday</v>
      </c>
      <c r="P743">
        <f t="shared" si="66"/>
        <v>9</v>
      </c>
      <c r="Q743" s="2">
        <f t="shared" si="70"/>
        <v>4</v>
      </c>
      <c r="R743" s="2">
        <f t="shared" si="71"/>
        <v>12</v>
      </c>
      <c r="S743">
        <f>SUMIF(Table1[product_category],"Bakery",Table1[Total_bill])</f>
        <v>2951.25</v>
      </c>
    </row>
    <row r="744" spans="1:19" x14ac:dyDescent="0.3">
      <c r="A744" s="2">
        <v>10743</v>
      </c>
      <c r="B744" s="4">
        <v>46374</v>
      </c>
      <c r="C744" t="s">
        <v>895</v>
      </c>
      <c r="D744" t="s">
        <v>18</v>
      </c>
      <c r="E744" t="s">
        <v>19</v>
      </c>
      <c r="F744" t="s">
        <v>100</v>
      </c>
      <c r="G744">
        <v>3</v>
      </c>
      <c r="H744" s="5">
        <v>3.5</v>
      </c>
      <c r="I744" t="s">
        <v>36</v>
      </c>
      <c r="J744" t="s">
        <v>37</v>
      </c>
      <c r="K744" t="s">
        <v>62</v>
      </c>
      <c r="L744" t="s">
        <v>2123</v>
      </c>
      <c r="M744" s="5">
        <f t="shared" si="67"/>
        <v>10.5</v>
      </c>
      <c r="N744" t="str">
        <f t="shared" si="68"/>
        <v>December</v>
      </c>
      <c r="O744" t="str">
        <f t="shared" si="69"/>
        <v>Friday</v>
      </c>
      <c r="P744">
        <f t="shared" si="66"/>
        <v>15</v>
      </c>
      <c r="Q744" s="2">
        <f t="shared" si="70"/>
        <v>5</v>
      </c>
      <c r="R744" s="2">
        <f t="shared" si="71"/>
        <v>12</v>
      </c>
      <c r="S744">
        <f>SUMIF(Table1[product_category],"Bakery",Table1[Total_bill])</f>
        <v>2951.25</v>
      </c>
    </row>
    <row r="745" spans="1:19" x14ac:dyDescent="0.3">
      <c r="A745" s="2">
        <v>10744</v>
      </c>
      <c r="B745" s="4">
        <v>46375</v>
      </c>
      <c r="C745" t="s">
        <v>896</v>
      </c>
      <c r="D745" t="s">
        <v>18</v>
      </c>
      <c r="E745" t="s">
        <v>19</v>
      </c>
      <c r="F745" t="s">
        <v>105</v>
      </c>
      <c r="G745">
        <v>2</v>
      </c>
      <c r="H745" s="5">
        <v>3.25</v>
      </c>
      <c r="I745" t="s">
        <v>32</v>
      </c>
      <c r="J745" t="s">
        <v>144</v>
      </c>
      <c r="K745" t="s">
        <v>144</v>
      </c>
      <c r="L745" t="s">
        <v>2124</v>
      </c>
      <c r="M745" s="5">
        <f t="shared" si="67"/>
        <v>6.5</v>
      </c>
      <c r="N745" t="str">
        <f t="shared" si="68"/>
        <v>December</v>
      </c>
      <c r="O745" t="str">
        <f t="shared" si="69"/>
        <v>Saturday</v>
      </c>
      <c r="P745">
        <f t="shared" si="66"/>
        <v>12</v>
      </c>
      <c r="Q745" s="2">
        <f t="shared" si="70"/>
        <v>6</v>
      </c>
      <c r="R745" s="2">
        <f t="shared" si="71"/>
        <v>12</v>
      </c>
      <c r="S745">
        <f>SUMIF(Table1[product_category],"Bakery",Table1[Total_bill])</f>
        <v>2951.25</v>
      </c>
    </row>
    <row r="746" spans="1:19" x14ac:dyDescent="0.3">
      <c r="A746" s="2">
        <v>10745</v>
      </c>
      <c r="B746" s="4">
        <v>46376</v>
      </c>
      <c r="C746" t="s">
        <v>897</v>
      </c>
      <c r="D746" t="s">
        <v>18</v>
      </c>
      <c r="E746" t="s">
        <v>19</v>
      </c>
      <c r="F746" t="s">
        <v>107</v>
      </c>
      <c r="G746">
        <v>1</v>
      </c>
      <c r="H746" s="5">
        <v>3.5</v>
      </c>
      <c r="I746" t="s">
        <v>89</v>
      </c>
      <c r="J746" t="s">
        <v>261</v>
      </c>
      <c r="K746" t="s">
        <v>261</v>
      </c>
      <c r="L746" t="s">
        <v>2122</v>
      </c>
      <c r="M746" s="5">
        <f t="shared" si="67"/>
        <v>3.5</v>
      </c>
      <c r="N746" t="str">
        <f t="shared" si="68"/>
        <v>December</v>
      </c>
      <c r="O746" t="str">
        <f t="shared" si="69"/>
        <v>Sunday</v>
      </c>
      <c r="P746">
        <f t="shared" si="66"/>
        <v>8</v>
      </c>
      <c r="Q746" s="2">
        <f t="shared" si="70"/>
        <v>7</v>
      </c>
      <c r="R746" s="2">
        <f t="shared" si="71"/>
        <v>12</v>
      </c>
      <c r="S746">
        <f>SUMIF(Table1[product_category],"Bakery",Table1[Total_bill])</f>
        <v>2951.25</v>
      </c>
    </row>
    <row r="747" spans="1:19" x14ac:dyDescent="0.3">
      <c r="A747" s="2">
        <v>10746</v>
      </c>
      <c r="B747" s="4">
        <v>46377</v>
      </c>
      <c r="C747" t="s">
        <v>898</v>
      </c>
      <c r="D747" t="s">
        <v>25</v>
      </c>
      <c r="E747" t="s">
        <v>26</v>
      </c>
      <c r="F747" t="s">
        <v>109</v>
      </c>
      <c r="G747">
        <v>4</v>
      </c>
      <c r="H747" s="5">
        <v>14</v>
      </c>
      <c r="I747" t="s">
        <v>101</v>
      </c>
      <c r="J747" t="s">
        <v>102</v>
      </c>
      <c r="K747" t="s">
        <v>193</v>
      </c>
      <c r="L747" t="s">
        <v>2125</v>
      </c>
      <c r="M747" s="5">
        <f t="shared" si="67"/>
        <v>56</v>
      </c>
      <c r="N747" t="str">
        <f t="shared" si="68"/>
        <v>December</v>
      </c>
      <c r="O747" t="str">
        <f t="shared" si="69"/>
        <v>Monday</v>
      </c>
      <c r="P747">
        <f t="shared" si="66"/>
        <v>18</v>
      </c>
      <c r="Q747" s="2">
        <f t="shared" si="70"/>
        <v>1</v>
      </c>
      <c r="R747" s="2">
        <f t="shared" si="71"/>
        <v>12</v>
      </c>
      <c r="S747">
        <f>SUMIF(Table1[product_category],"Bakery",Table1[Total_bill])</f>
        <v>2951.25</v>
      </c>
    </row>
    <row r="748" spans="1:19" x14ac:dyDescent="0.3">
      <c r="A748" s="2">
        <v>10747</v>
      </c>
      <c r="B748" s="4">
        <v>46378</v>
      </c>
      <c r="C748" t="s">
        <v>899</v>
      </c>
      <c r="D748" t="s">
        <v>25</v>
      </c>
      <c r="E748" t="s">
        <v>26</v>
      </c>
      <c r="F748" t="s">
        <v>112</v>
      </c>
      <c r="G748">
        <v>3</v>
      </c>
      <c r="H748" s="5">
        <v>6</v>
      </c>
      <c r="I748" t="s">
        <v>72</v>
      </c>
      <c r="J748" t="s">
        <v>72</v>
      </c>
      <c r="K748" t="s">
        <v>138</v>
      </c>
      <c r="L748" t="s">
        <v>2125</v>
      </c>
      <c r="M748" s="5">
        <f t="shared" si="67"/>
        <v>18</v>
      </c>
      <c r="N748" t="str">
        <f t="shared" si="68"/>
        <v>December</v>
      </c>
      <c r="O748" t="str">
        <f t="shared" si="69"/>
        <v>Tuesday</v>
      </c>
      <c r="P748">
        <f t="shared" si="66"/>
        <v>10</v>
      </c>
      <c r="Q748" s="2">
        <f t="shared" si="70"/>
        <v>2</v>
      </c>
      <c r="R748" s="2">
        <f t="shared" si="71"/>
        <v>12</v>
      </c>
      <c r="S748">
        <f>SUMIF(Table1[product_category],"Bakery",Table1[Total_bill])</f>
        <v>2951.25</v>
      </c>
    </row>
    <row r="749" spans="1:19" x14ac:dyDescent="0.3">
      <c r="A749" s="2">
        <v>10748</v>
      </c>
      <c r="B749" s="4">
        <v>46379</v>
      </c>
      <c r="C749" t="s">
        <v>900</v>
      </c>
      <c r="D749" t="s">
        <v>25</v>
      </c>
      <c r="E749" t="s">
        <v>26</v>
      </c>
      <c r="F749" t="s">
        <v>115</v>
      </c>
      <c r="G749">
        <v>2</v>
      </c>
      <c r="H749" s="5">
        <v>14</v>
      </c>
      <c r="I749" t="s">
        <v>101</v>
      </c>
      <c r="J749" t="s">
        <v>102</v>
      </c>
      <c r="K749" t="s">
        <v>193</v>
      </c>
      <c r="L749" t="s">
        <v>2125</v>
      </c>
      <c r="M749" s="5">
        <f t="shared" si="67"/>
        <v>28</v>
      </c>
      <c r="N749" t="str">
        <f t="shared" si="68"/>
        <v>December</v>
      </c>
      <c r="O749" t="str">
        <f t="shared" si="69"/>
        <v>Wednesday</v>
      </c>
      <c r="P749">
        <f t="shared" si="66"/>
        <v>12</v>
      </c>
      <c r="Q749" s="2">
        <f t="shared" si="70"/>
        <v>3</v>
      </c>
      <c r="R749" s="2">
        <f t="shared" si="71"/>
        <v>12</v>
      </c>
      <c r="S749">
        <f>SUMIF(Table1[product_category],"Bakery",Table1[Total_bill])</f>
        <v>2951.25</v>
      </c>
    </row>
    <row r="750" spans="1:19" x14ac:dyDescent="0.3">
      <c r="A750" s="2">
        <v>10749</v>
      </c>
      <c r="B750" s="4">
        <v>46380</v>
      </c>
      <c r="C750" t="s">
        <v>901</v>
      </c>
      <c r="D750" t="s">
        <v>40</v>
      </c>
      <c r="E750" t="s">
        <v>41</v>
      </c>
      <c r="F750" t="s">
        <v>117</v>
      </c>
      <c r="G750">
        <v>4</v>
      </c>
      <c r="H750" s="5">
        <v>3</v>
      </c>
      <c r="I750" t="s">
        <v>36</v>
      </c>
      <c r="J750" t="s">
        <v>246</v>
      </c>
      <c r="K750" t="s">
        <v>247</v>
      </c>
      <c r="L750" t="s">
        <v>2124</v>
      </c>
      <c r="M750" s="5">
        <f t="shared" si="67"/>
        <v>12</v>
      </c>
      <c r="N750" t="str">
        <f t="shared" si="68"/>
        <v>December</v>
      </c>
      <c r="O750" t="str">
        <f t="shared" si="69"/>
        <v>Thursday</v>
      </c>
      <c r="P750">
        <f t="shared" si="66"/>
        <v>18</v>
      </c>
      <c r="Q750" s="2">
        <f t="shared" si="70"/>
        <v>4</v>
      </c>
      <c r="R750" s="2">
        <f t="shared" si="71"/>
        <v>12</v>
      </c>
      <c r="S750">
        <f>SUMIF(Table1[product_category],"Bakery",Table1[Total_bill])</f>
        <v>2951.25</v>
      </c>
    </row>
    <row r="751" spans="1:19" x14ac:dyDescent="0.3">
      <c r="A751" s="2">
        <v>10750</v>
      </c>
      <c r="B751" s="4">
        <v>46381</v>
      </c>
      <c r="C751" t="s">
        <v>902</v>
      </c>
      <c r="D751" t="s">
        <v>40</v>
      </c>
      <c r="E751" t="s">
        <v>41</v>
      </c>
      <c r="F751" t="s">
        <v>119</v>
      </c>
      <c r="G751">
        <v>4</v>
      </c>
      <c r="H751" s="5">
        <v>4</v>
      </c>
      <c r="I751" t="s">
        <v>32</v>
      </c>
      <c r="J751" t="s">
        <v>33</v>
      </c>
      <c r="K751" t="s">
        <v>33</v>
      </c>
      <c r="L751" t="s">
        <v>2124</v>
      </c>
      <c r="M751" s="5">
        <f t="shared" si="67"/>
        <v>16</v>
      </c>
      <c r="N751" t="str">
        <f t="shared" si="68"/>
        <v>December</v>
      </c>
      <c r="O751" t="str">
        <f t="shared" si="69"/>
        <v>Friday</v>
      </c>
      <c r="P751">
        <f t="shared" si="66"/>
        <v>13</v>
      </c>
      <c r="Q751" s="2">
        <f t="shared" si="70"/>
        <v>5</v>
      </c>
      <c r="R751" s="2">
        <f t="shared" si="71"/>
        <v>12</v>
      </c>
      <c r="S751">
        <f>SUMIF(Table1[product_category],"Bakery",Table1[Total_bill])</f>
        <v>2951.25</v>
      </c>
    </row>
    <row r="752" spans="1:19" x14ac:dyDescent="0.3">
      <c r="A752" s="2">
        <v>10751</v>
      </c>
      <c r="B752" s="4">
        <v>46382</v>
      </c>
      <c r="C752" t="s">
        <v>903</v>
      </c>
      <c r="D752" t="s">
        <v>18</v>
      </c>
      <c r="E752" t="s">
        <v>19</v>
      </c>
      <c r="F752" t="s">
        <v>121</v>
      </c>
      <c r="G752">
        <v>4</v>
      </c>
      <c r="H752" s="5">
        <v>2.5</v>
      </c>
      <c r="I752" t="s">
        <v>32</v>
      </c>
      <c r="J752" t="s">
        <v>226</v>
      </c>
      <c r="K752" t="s">
        <v>227</v>
      </c>
      <c r="L752" t="s">
        <v>2122</v>
      </c>
      <c r="M752" s="5">
        <f t="shared" si="67"/>
        <v>10</v>
      </c>
      <c r="N752" t="str">
        <f t="shared" si="68"/>
        <v>December</v>
      </c>
      <c r="O752" t="str">
        <f t="shared" si="69"/>
        <v>Saturday</v>
      </c>
      <c r="P752">
        <f t="shared" si="66"/>
        <v>7</v>
      </c>
      <c r="Q752" s="2">
        <f t="shared" si="70"/>
        <v>6</v>
      </c>
      <c r="R752" s="2">
        <f t="shared" si="71"/>
        <v>12</v>
      </c>
      <c r="S752">
        <f>SUMIF(Table1[product_category],"Bakery",Table1[Total_bill])</f>
        <v>2951.25</v>
      </c>
    </row>
    <row r="753" spans="1:19" x14ac:dyDescent="0.3">
      <c r="A753" s="2">
        <v>10752</v>
      </c>
      <c r="B753" s="4">
        <v>46383</v>
      </c>
      <c r="C753" t="s">
        <v>904</v>
      </c>
      <c r="D753" t="s">
        <v>18</v>
      </c>
      <c r="E753" t="s">
        <v>19</v>
      </c>
      <c r="F753" t="s">
        <v>124</v>
      </c>
      <c r="G753">
        <v>3</v>
      </c>
      <c r="H753" s="5">
        <v>1.75</v>
      </c>
      <c r="I753" t="s">
        <v>32</v>
      </c>
      <c r="J753" t="s">
        <v>43</v>
      </c>
      <c r="K753" t="s">
        <v>44</v>
      </c>
      <c r="L753" t="s">
        <v>2122</v>
      </c>
      <c r="M753" s="5">
        <f t="shared" si="67"/>
        <v>5.25</v>
      </c>
      <c r="N753" t="str">
        <f t="shared" si="68"/>
        <v>December</v>
      </c>
      <c r="O753" t="str">
        <f t="shared" si="69"/>
        <v>Sunday</v>
      </c>
      <c r="P753">
        <f t="shared" si="66"/>
        <v>19</v>
      </c>
      <c r="Q753" s="2">
        <f t="shared" si="70"/>
        <v>7</v>
      </c>
      <c r="R753" s="2">
        <f t="shared" si="71"/>
        <v>12</v>
      </c>
      <c r="S753">
        <f>SUMIF(Table1[product_category],"Bakery",Table1[Total_bill])</f>
        <v>2951.25</v>
      </c>
    </row>
    <row r="754" spans="1:19" x14ac:dyDescent="0.3">
      <c r="A754" s="2">
        <v>10753</v>
      </c>
      <c r="B754" s="4">
        <v>46384</v>
      </c>
      <c r="C754" t="s">
        <v>905</v>
      </c>
      <c r="D754" t="s">
        <v>18</v>
      </c>
      <c r="E754" t="s">
        <v>19</v>
      </c>
      <c r="F754" t="s">
        <v>126</v>
      </c>
      <c r="G754">
        <v>3</v>
      </c>
      <c r="H754" s="5">
        <v>5.5</v>
      </c>
      <c r="I754" t="s">
        <v>72</v>
      </c>
      <c r="J754" t="s">
        <v>72</v>
      </c>
      <c r="K754" t="s">
        <v>73</v>
      </c>
      <c r="L754" t="s">
        <v>2125</v>
      </c>
      <c r="M754" s="5">
        <f t="shared" si="67"/>
        <v>16.5</v>
      </c>
      <c r="N754" t="str">
        <f t="shared" si="68"/>
        <v>December</v>
      </c>
      <c r="O754" t="str">
        <f t="shared" si="69"/>
        <v>Monday</v>
      </c>
      <c r="P754">
        <f t="shared" si="66"/>
        <v>13</v>
      </c>
      <c r="Q754" s="2">
        <f t="shared" si="70"/>
        <v>1</v>
      </c>
      <c r="R754" s="2">
        <f t="shared" si="71"/>
        <v>12</v>
      </c>
      <c r="S754">
        <f>SUMIF(Table1[product_category],"Bakery",Table1[Total_bill])</f>
        <v>2951.25</v>
      </c>
    </row>
    <row r="755" spans="1:19" x14ac:dyDescent="0.3">
      <c r="A755" s="2">
        <v>10754</v>
      </c>
      <c r="B755" s="4">
        <v>46385</v>
      </c>
      <c r="C755" t="s">
        <v>906</v>
      </c>
      <c r="D755" t="s">
        <v>25</v>
      </c>
      <c r="E755" t="s">
        <v>26</v>
      </c>
      <c r="F755" t="s">
        <v>128</v>
      </c>
      <c r="G755">
        <v>3</v>
      </c>
      <c r="H755" s="5">
        <v>5.5</v>
      </c>
      <c r="I755" t="s">
        <v>72</v>
      </c>
      <c r="J755" t="s">
        <v>72</v>
      </c>
      <c r="K755" t="s">
        <v>73</v>
      </c>
      <c r="L755" t="s">
        <v>2125</v>
      </c>
      <c r="M755" s="5">
        <f t="shared" si="67"/>
        <v>16.5</v>
      </c>
      <c r="N755" t="str">
        <f t="shared" si="68"/>
        <v>December</v>
      </c>
      <c r="O755" t="str">
        <f t="shared" si="69"/>
        <v>Tuesday</v>
      </c>
      <c r="P755">
        <f t="shared" si="66"/>
        <v>9</v>
      </c>
      <c r="Q755" s="2">
        <f t="shared" si="70"/>
        <v>2</v>
      </c>
      <c r="R755" s="2">
        <f t="shared" si="71"/>
        <v>12</v>
      </c>
      <c r="S755">
        <f>SUMIF(Table1[product_category],"Bakery",Table1[Total_bill])</f>
        <v>2951.25</v>
      </c>
    </row>
    <row r="756" spans="1:19" x14ac:dyDescent="0.3">
      <c r="A756" s="2">
        <v>10755</v>
      </c>
      <c r="B756" s="4">
        <v>46386</v>
      </c>
      <c r="C756" t="s">
        <v>907</v>
      </c>
      <c r="D756" t="s">
        <v>18</v>
      </c>
      <c r="E756" t="s">
        <v>19</v>
      </c>
      <c r="F756" t="s">
        <v>131</v>
      </c>
      <c r="G756">
        <v>3</v>
      </c>
      <c r="H756" s="5">
        <v>5.5</v>
      </c>
      <c r="I756" t="s">
        <v>72</v>
      </c>
      <c r="J756" t="s">
        <v>72</v>
      </c>
      <c r="K756" t="s">
        <v>141</v>
      </c>
      <c r="L756" t="s">
        <v>2125</v>
      </c>
      <c r="M756" s="5">
        <f t="shared" si="67"/>
        <v>16.5</v>
      </c>
      <c r="N756" t="str">
        <f t="shared" si="68"/>
        <v>December</v>
      </c>
      <c r="O756" t="str">
        <f t="shared" si="69"/>
        <v>Wednesday</v>
      </c>
      <c r="P756">
        <f t="shared" si="66"/>
        <v>7</v>
      </c>
      <c r="Q756" s="2">
        <f t="shared" si="70"/>
        <v>3</v>
      </c>
      <c r="R756" s="2">
        <f t="shared" si="71"/>
        <v>12</v>
      </c>
      <c r="S756">
        <f>SUMIF(Table1[product_category],"Bakery",Table1[Total_bill])</f>
        <v>2951.25</v>
      </c>
    </row>
    <row r="757" spans="1:19" x14ac:dyDescent="0.3">
      <c r="A757" s="2">
        <v>10756</v>
      </c>
      <c r="B757" s="4">
        <v>46387</v>
      </c>
      <c r="C757" t="s">
        <v>908</v>
      </c>
      <c r="D757" t="s">
        <v>18</v>
      </c>
      <c r="E757" t="s">
        <v>19</v>
      </c>
      <c r="F757" t="s">
        <v>133</v>
      </c>
      <c r="G757">
        <v>3</v>
      </c>
      <c r="H757" s="5">
        <v>2.5</v>
      </c>
      <c r="I757" t="s">
        <v>36</v>
      </c>
      <c r="J757" t="s">
        <v>37</v>
      </c>
      <c r="K757" t="s">
        <v>62</v>
      </c>
      <c r="L757" t="s">
        <v>2122</v>
      </c>
      <c r="M757" s="5">
        <f t="shared" si="67"/>
        <v>7.5</v>
      </c>
      <c r="N757" t="str">
        <f t="shared" si="68"/>
        <v>December</v>
      </c>
      <c r="O757" t="str">
        <f t="shared" si="69"/>
        <v>Thursday</v>
      </c>
      <c r="P757">
        <f t="shared" si="66"/>
        <v>16</v>
      </c>
      <c r="Q757" s="2">
        <f t="shared" si="70"/>
        <v>4</v>
      </c>
      <c r="R757" s="2">
        <f t="shared" si="71"/>
        <v>12</v>
      </c>
      <c r="S757">
        <f>SUMIF(Table1[product_category],"Bakery",Table1[Total_bill])</f>
        <v>2951.25</v>
      </c>
    </row>
    <row r="758" spans="1:19" x14ac:dyDescent="0.3">
      <c r="A758" s="2">
        <v>10757</v>
      </c>
      <c r="B758" s="4">
        <v>46388</v>
      </c>
      <c r="C758" t="s">
        <v>909</v>
      </c>
      <c r="D758" t="s">
        <v>40</v>
      </c>
      <c r="E758" t="s">
        <v>41</v>
      </c>
      <c r="F758" t="s">
        <v>135</v>
      </c>
      <c r="G758">
        <v>3</v>
      </c>
      <c r="H758" s="5">
        <v>8</v>
      </c>
      <c r="I758" t="s">
        <v>28</v>
      </c>
      <c r="J758" t="s">
        <v>28</v>
      </c>
      <c r="K758" t="s">
        <v>76</v>
      </c>
      <c r="L758" t="s">
        <v>2125</v>
      </c>
      <c r="M758" s="5">
        <f t="shared" si="67"/>
        <v>24</v>
      </c>
      <c r="N758" t="str">
        <f t="shared" si="68"/>
        <v>January</v>
      </c>
      <c r="O758" t="str">
        <f t="shared" si="69"/>
        <v>Friday</v>
      </c>
      <c r="P758">
        <f t="shared" si="66"/>
        <v>13</v>
      </c>
      <c r="Q758" s="2">
        <f t="shared" si="70"/>
        <v>5</v>
      </c>
      <c r="R758" s="2">
        <f t="shared" si="71"/>
        <v>1</v>
      </c>
      <c r="S758">
        <f>SUMIF(Table1[product_category],"Bakery",Table1[Total_bill])</f>
        <v>2951.25</v>
      </c>
    </row>
    <row r="759" spans="1:19" x14ac:dyDescent="0.3">
      <c r="A759" s="2">
        <v>10758</v>
      </c>
      <c r="B759" s="4">
        <v>46389</v>
      </c>
      <c r="C759" t="s">
        <v>910</v>
      </c>
      <c r="D759" t="s">
        <v>25</v>
      </c>
      <c r="E759" t="s">
        <v>26</v>
      </c>
      <c r="F759" t="s">
        <v>137</v>
      </c>
      <c r="G759">
        <v>2</v>
      </c>
      <c r="H759" s="5">
        <v>6</v>
      </c>
      <c r="I759" t="s">
        <v>72</v>
      </c>
      <c r="J759" t="s">
        <v>72</v>
      </c>
      <c r="K759" t="s">
        <v>138</v>
      </c>
      <c r="L759" t="s">
        <v>2125</v>
      </c>
      <c r="M759" s="5">
        <f t="shared" si="67"/>
        <v>12</v>
      </c>
      <c r="N759" t="str">
        <f t="shared" si="68"/>
        <v>January</v>
      </c>
      <c r="O759" t="str">
        <f t="shared" si="69"/>
        <v>Saturday</v>
      </c>
      <c r="P759">
        <f t="shared" si="66"/>
        <v>12</v>
      </c>
      <c r="Q759" s="2">
        <f t="shared" si="70"/>
        <v>6</v>
      </c>
      <c r="R759" s="2">
        <f t="shared" si="71"/>
        <v>1</v>
      </c>
      <c r="S759">
        <f>SUMIF(Table1[product_category],"Bakery",Table1[Total_bill])</f>
        <v>2951.25</v>
      </c>
    </row>
    <row r="760" spans="1:19" x14ac:dyDescent="0.3">
      <c r="A760" s="2">
        <v>10759</v>
      </c>
      <c r="B760" s="4">
        <v>46390</v>
      </c>
      <c r="C760" t="s">
        <v>911</v>
      </c>
      <c r="D760" t="s">
        <v>18</v>
      </c>
      <c r="E760" t="s">
        <v>19</v>
      </c>
      <c r="F760" t="s">
        <v>140</v>
      </c>
      <c r="G760">
        <v>1</v>
      </c>
      <c r="H760" s="5">
        <v>2.5</v>
      </c>
      <c r="I760" t="s">
        <v>36</v>
      </c>
      <c r="J760" t="s">
        <v>37</v>
      </c>
      <c r="K760" t="s">
        <v>38</v>
      </c>
      <c r="L760" t="s">
        <v>2122</v>
      </c>
      <c r="M760" s="5">
        <f t="shared" si="67"/>
        <v>2.5</v>
      </c>
      <c r="N760" t="str">
        <f t="shared" si="68"/>
        <v>January</v>
      </c>
      <c r="O760" t="str">
        <f t="shared" si="69"/>
        <v>Sunday</v>
      </c>
      <c r="P760">
        <f t="shared" si="66"/>
        <v>18</v>
      </c>
      <c r="Q760" s="2">
        <f t="shared" si="70"/>
        <v>7</v>
      </c>
      <c r="R760" s="2">
        <f t="shared" si="71"/>
        <v>1</v>
      </c>
      <c r="S760">
        <f>SUMIF(Table1[product_category],"Bakery",Table1[Total_bill])</f>
        <v>2951.25</v>
      </c>
    </row>
    <row r="761" spans="1:19" x14ac:dyDescent="0.3">
      <c r="A761" s="2">
        <v>10760</v>
      </c>
      <c r="B761" s="4">
        <v>46391</v>
      </c>
      <c r="C761" t="s">
        <v>912</v>
      </c>
      <c r="D761" t="s">
        <v>25</v>
      </c>
      <c r="E761" t="s">
        <v>26</v>
      </c>
      <c r="F761" t="s">
        <v>143</v>
      </c>
      <c r="G761">
        <v>1</v>
      </c>
      <c r="H761" s="5">
        <v>2.5</v>
      </c>
      <c r="I761" t="s">
        <v>21</v>
      </c>
      <c r="J761" t="s">
        <v>47</v>
      </c>
      <c r="K761" t="s">
        <v>48</v>
      </c>
      <c r="L761" t="s">
        <v>2125</v>
      </c>
      <c r="M761" s="5">
        <f t="shared" si="67"/>
        <v>2.5</v>
      </c>
      <c r="N761" t="str">
        <f t="shared" si="68"/>
        <v>January</v>
      </c>
      <c r="O761" t="str">
        <f t="shared" si="69"/>
        <v>Monday</v>
      </c>
      <c r="P761">
        <f t="shared" si="66"/>
        <v>16</v>
      </c>
      <c r="Q761" s="2">
        <f t="shared" si="70"/>
        <v>1</v>
      </c>
      <c r="R761" s="2">
        <f t="shared" si="71"/>
        <v>1</v>
      </c>
      <c r="S761">
        <f>SUMIF(Table1[product_category],"Bakery",Table1[Total_bill])</f>
        <v>2951.25</v>
      </c>
    </row>
    <row r="762" spans="1:19" x14ac:dyDescent="0.3">
      <c r="A762" s="2">
        <v>10761</v>
      </c>
      <c r="B762" s="4">
        <v>46392</v>
      </c>
      <c r="C762" t="s">
        <v>913</v>
      </c>
      <c r="D762" t="s">
        <v>18</v>
      </c>
      <c r="E762" t="s">
        <v>19</v>
      </c>
      <c r="F762" t="s">
        <v>146</v>
      </c>
      <c r="G762">
        <v>4</v>
      </c>
      <c r="H762" s="5">
        <v>3.5</v>
      </c>
      <c r="I762" t="s">
        <v>32</v>
      </c>
      <c r="J762" t="s">
        <v>55</v>
      </c>
      <c r="K762" t="s">
        <v>55</v>
      </c>
      <c r="L762" t="s">
        <v>2124</v>
      </c>
      <c r="M762" s="5">
        <f t="shared" si="67"/>
        <v>14</v>
      </c>
      <c r="N762" t="str">
        <f t="shared" si="68"/>
        <v>January</v>
      </c>
      <c r="O762" t="str">
        <f t="shared" si="69"/>
        <v>Tuesday</v>
      </c>
      <c r="P762">
        <f t="shared" si="66"/>
        <v>7</v>
      </c>
      <c r="Q762" s="2">
        <f t="shared" si="70"/>
        <v>2</v>
      </c>
      <c r="R762" s="2">
        <f t="shared" si="71"/>
        <v>1</v>
      </c>
      <c r="S762">
        <f>SUMIF(Table1[product_category],"Bakery",Table1[Total_bill])</f>
        <v>2951.25</v>
      </c>
    </row>
    <row r="763" spans="1:19" x14ac:dyDescent="0.3">
      <c r="A763" s="2">
        <v>10762</v>
      </c>
      <c r="B763" s="4">
        <v>46393</v>
      </c>
      <c r="C763" t="s">
        <v>914</v>
      </c>
      <c r="D763" t="s">
        <v>25</v>
      </c>
      <c r="E763" t="s">
        <v>26</v>
      </c>
      <c r="F763" t="s">
        <v>148</v>
      </c>
      <c r="G763">
        <v>1</v>
      </c>
      <c r="H763" s="5">
        <v>6</v>
      </c>
      <c r="I763" t="s">
        <v>72</v>
      </c>
      <c r="J763" t="s">
        <v>72</v>
      </c>
      <c r="K763" t="s">
        <v>138</v>
      </c>
      <c r="L763" t="s">
        <v>2125</v>
      </c>
      <c r="M763" s="5">
        <f t="shared" si="67"/>
        <v>6</v>
      </c>
      <c r="N763" t="str">
        <f t="shared" si="68"/>
        <v>January</v>
      </c>
      <c r="O763" t="str">
        <f t="shared" si="69"/>
        <v>Wednesday</v>
      </c>
      <c r="P763">
        <f t="shared" si="66"/>
        <v>9</v>
      </c>
      <c r="Q763" s="2">
        <f t="shared" si="70"/>
        <v>3</v>
      </c>
      <c r="R763" s="2">
        <f t="shared" si="71"/>
        <v>1</v>
      </c>
      <c r="S763">
        <f>SUMIF(Table1[product_category],"Bakery",Table1[Total_bill])</f>
        <v>2951.25</v>
      </c>
    </row>
    <row r="764" spans="1:19" x14ac:dyDescent="0.3">
      <c r="A764" s="2">
        <v>10763</v>
      </c>
      <c r="B764" s="4">
        <v>46394</v>
      </c>
      <c r="C764" t="s">
        <v>915</v>
      </c>
      <c r="D764" t="s">
        <v>18</v>
      </c>
      <c r="E764" t="s">
        <v>19</v>
      </c>
      <c r="F764" t="s">
        <v>150</v>
      </c>
      <c r="G764">
        <v>4</v>
      </c>
      <c r="H764" s="5">
        <v>13</v>
      </c>
      <c r="I764" t="s">
        <v>98</v>
      </c>
      <c r="J764" t="s">
        <v>98</v>
      </c>
      <c r="K764" t="s">
        <v>95</v>
      </c>
      <c r="L764" t="s">
        <v>2125</v>
      </c>
      <c r="M764" s="5">
        <f t="shared" si="67"/>
        <v>52</v>
      </c>
      <c r="N764" t="str">
        <f t="shared" si="68"/>
        <v>January</v>
      </c>
      <c r="O764" t="str">
        <f t="shared" si="69"/>
        <v>Thursday</v>
      </c>
      <c r="P764">
        <f t="shared" si="66"/>
        <v>8</v>
      </c>
      <c r="Q764" s="2">
        <f t="shared" si="70"/>
        <v>4</v>
      </c>
      <c r="R764" s="2">
        <f t="shared" si="71"/>
        <v>1</v>
      </c>
      <c r="S764">
        <f>SUMIF(Table1[product_category],"Bakery",Table1[Total_bill])</f>
        <v>2951.25</v>
      </c>
    </row>
    <row r="765" spans="1:19" x14ac:dyDescent="0.3">
      <c r="A765" s="2">
        <v>10764</v>
      </c>
      <c r="B765" s="4">
        <v>46395</v>
      </c>
      <c r="C765" t="s">
        <v>916</v>
      </c>
      <c r="D765" t="s">
        <v>25</v>
      </c>
      <c r="E765" t="s">
        <v>26</v>
      </c>
      <c r="F765" t="s">
        <v>152</v>
      </c>
      <c r="G765">
        <v>2</v>
      </c>
      <c r="H765" s="5">
        <v>4.25</v>
      </c>
      <c r="I765" t="s">
        <v>36</v>
      </c>
      <c r="J765" t="s">
        <v>211</v>
      </c>
      <c r="K765" t="s">
        <v>239</v>
      </c>
      <c r="L765" t="s">
        <v>2123</v>
      </c>
      <c r="M765" s="5">
        <f t="shared" si="67"/>
        <v>8.5</v>
      </c>
      <c r="N765" t="str">
        <f t="shared" si="68"/>
        <v>January</v>
      </c>
      <c r="O765" t="str">
        <f t="shared" si="69"/>
        <v>Friday</v>
      </c>
      <c r="P765">
        <f t="shared" si="66"/>
        <v>15</v>
      </c>
      <c r="Q765" s="2">
        <f t="shared" si="70"/>
        <v>5</v>
      </c>
      <c r="R765" s="2">
        <f t="shared" si="71"/>
        <v>1</v>
      </c>
      <c r="S765">
        <f>SUMIF(Table1[product_category],"Bakery",Table1[Total_bill])</f>
        <v>2951.25</v>
      </c>
    </row>
    <row r="766" spans="1:19" x14ac:dyDescent="0.3">
      <c r="A766" s="2">
        <v>10765</v>
      </c>
      <c r="B766" s="4">
        <v>46396</v>
      </c>
      <c r="C766" t="s">
        <v>917</v>
      </c>
      <c r="D766" t="s">
        <v>18</v>
      </c>
      <c r="E766" t="s">
        <v>19</v>
      </c>
      <c r="F766" t="s">
        <v>154</v>
      </c>
      <c r="G766">
        <v>4</v>
      </c>
      <c r="H766" s="5">
        <v>3.25</v>
      </c>
      <c r="I766" t="s">
        <v>21</v>
      </c>
      <c r="J766" t="s">
        <v>81</v>
      </c>
      <c r="K766" t="s">
        <v>82</v>
      </c>
      <c r="L766" t="s">
        <v>2125</v>
      </c>
      <c r="M766" s="5">
        <f t="shared" si="67"/>
        <v>13</v>
      </c>
      <c r="N766" t="str">
        <f t="shared" si="68"/>
        <v>January</v>
      </c>
      <c r="O766" t="str">
        <f t="shared" si="69"/>
        <v>Saturday</v>
      </c>
      <c r="P766">
        <f t="shared" si="66"/>
        <v>6</v>
      </c>
      <c r="Q766" s="2">
        <f t="shared" si="70"/>
        <v>6</v>
      </c>
      <c r="R766" s="2">
        <f t="shared" si="71"/>
        <v>1</v>
      </c>
      <c r="S766">
        <f>SUMIF(Table1[product_category],"Bakery",Table1[Total_bill])</f>
        <v>2951.25</v>
      </c>
    </row>
    <row r="767" spans="1:19" x14ac:dyDescent="0.3">
      <c r="A767" s="2">
        <v>10766</v>
      </c>
      <c r="B767" s="4">
        <v>46397</v>
      </c>
      <c r="C767" t="s">
        <v>918</v>
      </c>
      <c r="D767" t="s">
        <v>18</v>
      </c>
      <c r="E767" t="s">
        <v>19</v>
      </c>
      <c r="F767" t="s">
        <v>156</v>
      </c>
      <c r="G767">
        <v>4</v>
      </c>
      <c r="H767" s="5">
        <v>3.5</v>
      </c>
      <c r="I767" t="s">
        <v>36</v>
      </c>
      <c r="J767" t="s">
        <v>246</v>
      </c>
      <c r="K767" t="s">
        <v>247</v>
      </c>
      <c r="L767" t="s">
        <v>2123</v>
      </c>
      <c r="M767" s="5">
        <f t="shared" si="67"/>
        <v>14</v>
      </c>
      <c r="N767" t="str">
        <f t="shared" si="68"/>
        <v>January</v>
      </c>
      <c r="O767" t="str">
        <f t="shared" si="69"/>
        <v>Sunday</v>
      </c>
      <c r="P767">
        <f t="shared" si="66"/>
        <v>12</v>
      </c>
      <c r="Q767" s="2">
        <f t="shared" si="70"/>
        <v>7</v>
      </c>
      <c r="R767" s="2">
        <f t="shared" si="71"/>
        <v>1</v>
      </c>
      <c r="S767">
        <f>SUMIF(Table1[product_category],"Bakery",Table1[Total_bill])</f>
        <v>2951.25</v>
      </c>
    </row>
    <row r="768" spans="1:19" x14ac:dyDescent="0.3">
      <c r="A768" s="2">
        <v>10767</v>
      </c>
      <c r="B768" s="4">
        <v>46398</v>
      </c>
      <c r="C768" t="s">
        <v>919</v>
      </c>
      <c r="D768" t="s">
        <v>25</v>
      </c>
      <c r="E768" t="s">
        <v>26</v>
      </c>
      <c r="F768" t="s">
        <v>158</v>
      </c>
      <c r="G768">
        <v>3</v>
      </c>
      <c r="H768" s="5">
        <v>4.75</v>
      </c>
      <c r="I768" t="s">
        <v>32</v>
      </c>
      <c r="J768" t="s">
        <v>122</v>
      </c>
      <c r="K768" t="s">
        <v>122</v>
      </c>
      <c r="L768" t="s">
        <v>2123</v>
      </c>
      <c r="M768" s="5">
        <f t="shared" si="67"/>
        <v>14.25</v>
      </c>
      <c r="N768" t="str">
        <f t="shared" si="68"/>
        <v>January</v>
      </c>
      <c r="O768" t="str">
        <f t="shared" si="69"/>
        <v>Monday</v>
      </c>
      <c r="P768">
        <f t="shared" si="66"/>
        <v>15</v>
      </c>
      <c r="Q768" s="2">
        <f t="shared" si="70"/>
        <v>1</v>
      </c>
      <c r="R768" s="2">
        <f t="shared" si="71"/>
        <v>1</v>
      </c>
      <c r="S768">
        <f>SUMIF(Table1[product_category],"Bakery",Table1[Total_bill])</f>
        <v>2951.25</v>
      </c>
    </row>
    <row r="769" spans="1:19" x14ac:dyDescent="0.3">
      <c r="A769" s="2">
        <v>10768</v>
      </c>
      <c r="B769" s="4">
        <v>46399</v>
      </c>
      <c r="C769" t="s">
        <v>920</v>
      </c>
      <c r="D769" t="s">
        <v>40</v>
      </c>
      <c r="E769" t="s">
        <v>41</v>
      </c>
      <c r="F769" t="s">
        <v>160</v>
      </c>
      <c r="G769">
        <v>2</v>
      </c>
      <c r="H769" s="5">
        <v>8</v>
      </c>
      <c r="I769" t="s">
        <v>28</v>
      </c>
      <c r="J769" t="s">
        <v>28</v>
      </c>
      <c r="K769" t="s">
        <v>76</v>
      </c>
      <c r="L769" t="s">
        <v>2125</v>
      </c>
      <c r="M769" s="5">
        <f t="shared" si="67"/>
        <v>16</v>
      </c>
      <c r="N769" t="str">
        <f t="shared" si="68"/>
        <v>January</v>
      </c>
      <c r="O769" t="str">
        <f t="shared" si="69"/>
        <v>Tuesday</v>
      </c>
      <c r="P769">
        <f t="shared" si="66"/>
        <v>17</v>
      </c>
      <c r="Q769" s="2">
        <f t="shared" si="70"/>
        <v>2</v>
      </c>
      <c r="R769" s="2">
        <f t="shared" si="71"/>
        <v>1</v>
      </c>
      <c r="S769">
        <f>SUMIF(Table1[product_category],"Bakery",Table1[Total_bill])</f>
        <v>2951.25</v>
      </c>
    </row>
    <row r="770" spans="1:19" x14ac:dyDescent="0.3">
      <c r="A770" s="2">
        <v>10769</v>
      </c>
      <c r="B770" s="4">
        <v>46400</v>
      </c>
      <c r="C770" t="s">
        <v>921</v>
      </c>
      <c r="D770" t="s">
        <v>18</v>
      </c>
      <c r="E770" t="s">
        <v>19</v>
      </c>
      <c r="F770" t="s">
        <v>162</v>
      </c>
      <c r="G770">
        <v>3</v>
      </c>
      <c r="H770" s="5">
        <v>3</v>
      </c>
      <c r="I770" t="s">
        <v>21</v>
      </c>
      <c r="J770" t="s">
        <v>181</v>
      </c>
      <c r="K770" t="s">
        <v>182</v>
      </c>
      <c r="L770" t="s">
        <v>2125</v>
      </c>
      <c r="M770" s="5">
        <f t="shared" si="67"/>
        <v>9</v>
      </c>
      <c r="N770" t="str">
        <f t="shared" si="68"/>
        <v>January</v>
      </c>
      <c r="O770" t="str">
        <f t="shared" si="69"/>
        <v>Wednesday</v>
      </c>
      <c r="P770">
        <f t="shared" ref="P770:P833" si="72">HOUR(TIMEVALUE(C770))</f>
        <v>9</v>
      </c>
      <c r="Q770" s="2">
        <f t="shared" si="70"/>
        <v>3</v>
      </c>
      <c r="R770" s="2">
        <f t="shared" si="71"/>
        <v>1</v>
      </c>
      <c r="S770">
        <f>SUMIF(Table1[product_category],"Bakery",Table1[Total_bill])</f>
        <v>2951.25</v>
      </c>
    </row>
    <row r="771" spans="1:19" x14ac:dyDescent="0.3">
      <c r="A771" s="2">
        <v>10770</v>
      </c>
      <c r="B771" s="4">
        <v>46401</v>
      </c>
      <c r="C771" t="s">
        <v>922</v>
      </c>
      <c r="D771" t="s">
        <v>18</v>
      </c>
      <c r="E771" t="s">
        <v>19</v>
      </c>
      <c r="F771" t="s">
        <v>164</v>
      </c>
      <c r="G771">
        <v>3</v>
      </c>
      <c r="H771" s="5">
        <v>4.25</v>
      </c>
      <c r="I771" t="s">
        <v>36</v>
      </c>
      <c r="J771" t="s">
        <v>211</v>
      </c>
      <c r="K771" t="s">
        <v>239</v>
      </c>
      <c r="L771" t="s">
        <v>2123</v>
      </c>
      <c r="M771" s="5">
        <f t="shared" ref="M771:M834" si="73">G771*H771</f>
        <v>12.75</v>
      </c>
      <c r="N771" t="str">
        <f t="shared" ref="N771:N834" si="74">TEXT(B771,"mmmm")</f>
        <v>January</v>
      </c>
      <c r="O771" t="str">
        <f t="shared" ref="O771:O834" si="75">TEXT(B771,"dddd")</f>
        <v>Thursday</v>
      </c>
      <c r="P771">
        <f t="shared" si="72"/>
        <v>16</v>
      </c>
      <c r="Q771" s="2">
        <f t="shared" ref="Q771:Q834" si="76">WEEKDAY(B771,2)</f>
        <v>4</v>
      </c>
      <c r="R771" s="2">
        <f t="shared" ref="R771:R834" si="77">MONTH(B771)</f>
        <v>1</v>
      </c>
      <c r="S771">
        <f>SUMIF(Table1[product_category],"Bakery",Table1[Total_bill])</f>
        <v>2951.25</v>
      </c>
    </row>
    <row r="772" spans="1:19" x14ac:dyDescent="0.3">
      <c r="A772" s="2">
        <v>10771</v>
      </c>
      <c r="B772" s="4">
        <v>46402</v>
      </c>
      <c r="C772" t="s">
        <v>923</v>
      </c>
      <c r="D772" t="s">
        <v>40</v>
      </c>
      <c r="E772" t="s">
        <v>41</v>
      </c>
      <c r="F772" t="s">
        <v>166</v>
      </c>
      <c r="G772">
        <v>4</v>
      </c>
      <c r="H772" s="5">
        <v>8</v>
      </c>
      <c r="I772" t="s">
        <v>28</v>
      </c>
      <c r="J772" t="s">
        <v>28</v>
      </c>
      <c r="K772" t="s">
        <v>76</v>
      </c>
      <c r="L772" t="s">
        <v>2125</v>
      </c>
      <c r="M772" s="5">
        <f t="shared" si="73"/>
        <v>32</v>
      </c>
      <c r="N772" t="str">
        <f t="shared" si="74"/>
        <v>January</v>
      </c>
      <c r="O772" t="str">
        <f t="shared" si="75"/>
        <v>Friday</v>
      </c>
      <c r="P772">
        <f t="shared" si="72"/>
        <v>7</v>
      </c>
      <c r="Q772" s="2">
        <f t="shared" si="76"/>
        <v>5</v>
      </c>
      <c r="R772" s="2">
        <f t="shared" si="77"/>
        <v>1</v>
      </c>
      <c r="S772">
        <f>SUMIF(Table1[product_category],"Bakery",Table1[Total_bill])</f>
        <v>2951.25</v>
      </c>
    </row>
    <row r="773" spans="1:19" x14ac:dyDescent="0.3">
      <c r="A773" s="2">
        <v>10772</v>
      </c>
      <c r="B773" s="4">
        <v>46403</v>
      </c>
      <c r="C773" t="s">
        <v>924</v>
      </c>
      <c r="D773" t="s">
        <v>18</v>
      </c>
      <c r="E773" t="s">
        <v>19</v>
      </c>
      <c r="F773" t="s">
        <v>168</v>
      </c>
      <c r="G773">
        <v>3</v>
      </c>
      <c r="H773" s="5">
        <v>11</v>
      </c>
      <c r="I773" t="s">
        <v>98</v>
      </c>
      <c r="J773" t="s">
        <v>98</v>
      </c>
      <c r="K773" t="s">
        <v>215</v>
      </c>
      <c r="L773" t="s">
        <v>2125</v>
      </c>
      <c r="M773" s="5">
        <f t="shared" si="73"/>
        <v>33</v>
      </c>
      <c r="N773" t="str">
        <f t="shared" si="74"/>
        <v>January</v>
      </c>
      <c r="O773" t="str">
        <f t="shared" si="75"/>
        <v>Saturday</v>
      </c>
      <c r="P773">
        <f t="shared" si="72"/>
        <v>17</v>
      </c>
      <c r="Q773" s="2">
        <f t="shared" si="76"/>
        <v>6</v>
      </c>
      <c r="R773" s="2">
        <f t="shared" si="77"/>
        <v>1</v>
      </c>
      <c r="S773">
        <f>SUMIF(Table1[product_category],"Bakery",Table1[Total_bill])</f>
        <v>2951.25</v>
      </c>
    </row>
    <row r="774" spans="1:19" x14ac:dyDescent="0.3">
      <c r="A774" s="2">
        <v>10773</v>
      </c>
      <c r="B774" s="4">
        <v>46404</v>
      </c>
      <c r="C774" t="s">
        <v>925</v>
      </c>
      <c r="D774" t="s">
        <v>18</v>
      </c>
      <c r="E774" t="s">
        <v>19</v>
      </c>
      <c r="F774" t="s">
        <v>170</v>
      </c>
      <c r="G774">
        <v>4</v>
      </c>
      <c r="H774" s="5">
        <v>2.75</v>
      </c>
      <c r="I774" t="s">
        <v>32</v>
      </c>
      <c r="J774" t="s">
        <v>144</v>
      </c>
      <c r="K774" t="s">
        <v>144</v>
      </c>
      <c r="L774" t="s">
        <v>2122</v>
      </c>
      <c r="M774" s="5">
        <f t="shared" si="73"/>
        <v>11</v>
      </c>
      <c r="N774" t="str">
        <f t="shared" si="74"/>
        <v>January</v>
      </c>
      <c r="O774" t="str">
        <f t="shared" si="75"/>
        <v>Sunday</v>
      </c>
      <c r="P774">
        <f t="shared" si="72"/>
        <v>7</v>
      </c>
      <c r="Q774" s="2">
        <f t="shared" si="76"/>
        <v>7</v>
      </c>
      <c r="R774" s="2">
        <f t="shared" si="77"/>
        <v>1</v>
      </c>
      <c r="S774">
        <f>SUMIF(Table1[product_category],"Bakery",Table1[Total_bill])</f>
        <v>2951.25</v>
      </c>
    </row>
    <row r="775" spans="1:19" x14ac:dyDescent="0.3">
      <c r="A775" s="2">
        <v>10774</v>
      </c>
      <c r="B775" s="4">
        <v>46405</v>
      </c>
      <c r="C775" t="s">
        <v>926</v>
      </c>
      <c r="D775" t="s">
        <v>25</v>
      </c>
      <c r="E775" t="s">
        <v>26</v>
      </c>
      <c r="F775" t="s">
        <v>172</v>
      </c>
      <c r="G775">
        <v>2</v>
      </c>
      <c r="H775" s="5">
        <v>3</v>
      </c>
      <c r="I775" t="s">
        <v>36</v>
      </c>
      <c r="J775" t="s">
        <v>37</v>
      </c>
      <c r="K775" t="s">
        <v>38</v>
      </c>
      <c r="L775" t="s">
        <v>2124</v>
      </c>
      <c r="M775" s="5">
        <f t="shared" si="73"/>
        <v>6</v>
      </c>
      <c r="N775" t="str">
        <f t="shared" si="74"/>
        <v>January</v>
      </c>
      <c r="O775" t="str">
        <f t="shared" si="75"/>
        <v>Monday</v>
      </c>
      <c r="P775">
        <f t="shared" si="72"/>
        <v>10</v>
      </c>
      <c r="Q775" s="2">
        <f t="shared" si="76"/>
        <v>1</v>
      </c>
      <c r="R775" s="2">
        <f t="shared" si="77"/>
        <v>1</v>
      </c>
      <c r="S775">
        <f>SUMIF(Table1[product_category],"Bakery",Table1[Total_bill])</f>
        <v>2951.25</v>
      </c>
    </row>
    <row r="776" spans="1:19" x14ac:dyDescent="0.3">
      <c r="A776" s="2">
        <v>10775</v>
      </c>
      <c r="B776" s="4">
        <v>46406</v>
      </c>
      <c r="C776" t="s">
        <v>927</v>
      </c>
      <c r="D776" t="s">
        <v>25</v>
      </c>
      <c r="E776" t="s">
        <v>26</v>
      </c>
      <c r="F776" t="s">
        <v>174</v>
      </c>
      <c r="G776">
        <v>3</v>
      </c>
      <c r="H776" s="5">
        <v>4.5</v>
      </c>
      <c r="I776" t="s">
        <v>32</v>
      </c>
      <c r="J776" t="s">
        <v>94</v>
      </c>
      <c r="K776" t="s">
        <v>95</v>
      </c>
      <c r="L776" t="s">
        <v>2123</v>
      </c>
      <c r="M776" s="5">
        <f t="shared" si="73"/>
        <v>13.5</v>
      </c>
      <c r="N776" t="str">
        <f t="shared" si="74"/>
        <v>January</v>
      </c>
      <c r="O776" t="str">
        <f t="shared" si="75"/>
        <v>Tuesday</v>
      </c>
      <c r="P776">
        <f t="shared" si="72"/>
        <v>16</v>
      </c>
      <c r="Q776" s="2">
        <f t="shared" si="76"/>
        <v>2</v>
      </c>
      <c r="R776" s="2">
        <f t="shared" si="77"/>
        <v>1</v>
      </c>
      <c r="S776">
        <f>SUMIF(Table1[product_category],"Bakery",Table1[Total_bill])</f>
        <v>2951.25</v>
      </c>
    </row>
    <row r="777" spans="1:19" x14ac:dyDescent="0.3">
      <c r="A777" s="2">
        <v>10776</v>
      </c>
      <c r="B777" s="4">
        <v>46407</v>
      </c>
      <c r="C777" t="s">
        <v>928</v>
      </c>
      <c r="D777" t="s">
        <v>25</v>
      </c>
      <c r="E777" t="s">
        <v>26</v>
      </c>
      <c r="F777" t="s">
        <v>176</v>
      </c>
      <c r="G777">
        <v>4</v>
      </c>
      <c r="H777" s="5">
        <v>3.5</v>
      </c>
      <c r="I777" t="s">
        <v>21</v>
      </c>
      <c r="J777" t="s">
        <v>51</v>
      </c>
      <c r="K777" t="s">
        <v>52</v>
      </c>
      <c r="L777" t="s">
        <v>2125</v>
      </c>
      <c r="M777" s="5">
        <f t="shared" si="73"/>
        <v>14</v>
      </c>
      <c r="N777" t="str">
        <f t="shared" si="74"/>
        <v>January</v>
      </c>
      <c r="O777" t="str">
        <f t="shared" si="75"/>
        <v>Wednesday</v>
      </c>
      <c r="P777">
        <f t="shared" si="72"/>
        <v>7</v>
      </c>
      <c r="Q777" s="2">
        <f t="shared" si="76"/>
        <v>3</v>
      </c>
      <c r="R777" s="2">
        <f t="shared" si="77"/>
        <v>1</v>
      </c>
      <c r="S777">
        <f>SUMIF(Table1[product_category],"Bakery",Table1[Total_bill])</f>
        <v>2951.25</v>
      </c>
    </row>
    <row r="778" spans="1:19" x14ac:dyDescent="0.3">
      <c r="A778" s="2">
        <v>10777</v>
      </c>
      <c r="B778" s="4">
        <v>46408</v>
      </c>
      <c r="C778" t="s">
        <v>929</v>
      </c>
      <c r="D778" t="s">
        <v>18</v>
      </c>
      <c r="E778" t="s">
        <v>19</v>
      </c>
      <c r="F778" t="s">
        <v>178</v>
      </c>
      <c r="G778">
        <v>2</v>
      </c>
      <c r="H778" s="5">
        <v>8</v>
      </c>
      <c r="I778" t="s">
        <v>28</v>
      </c>
      <c r="J778" t="s">
        <v>28</v>
      </c>
      <c r="K778" t="s">
        <v>76</v>
      </c>
      <c r="L778" t="s">
        <v>2125</v>
      </c>
      <c r="M778" s="5">
        <f t="shared" si="73"/>
        <v>16</v>
      </c>
      <c r="N778" t="str">
        <f t="shared" si="74"/>
        <v>January</v>
      </c>
      <c r="O778" t="str">
        <f t="shared" si="75"/>
        <v>Thursday</v>
      </c>
      <c r="P778">
        <f t="shared" si="72"/>
        <v>8</v>
      </c>
      <c r="Q778" s="2">
        <f t="shared" si="76"/>
        <v>4</v>
      </c>
      <c r="R778" s="2">
        <f t="shared" si="77"/>
        <v>1</v>
      </c>
      <c r="S778">
        <f>SUMIF(Table1[product_category],"Bakery",Table1[Total_bill])</f>
        <v>2951.25</v>
      </c>
    </row>
    <row r="779" spans="1:19" x14ac:dyDescent="0.3">
      <c r="A779" s="2">
        <v>10778</v>
      </c>
      <c r="B779" s="4">
        <v>46409</v>
      </c>
      <c r="C779" t="s">
        <v>930</v>
      </c>
      <c r="D779" t="s">
        <v>25</v>
      </c>
      <c r="E779" t="s">
        <v>26</v>
      </c>
      <c r="F779" t="s">
        <v>180</v>
      </c>
      <c r="G779">
        <v>3</v>
      </c>
      <c r="H779" s="5">
        <v>14</v>
      </c>
      <c r="I779" t="s">
        <v>101</v>
      </c>
      <c r="J779" t="s">
        <v>102</v>
      </c>
      <c r="K779" t="s">
        <v>193</v>
      </c>
      <c r="L779" t="s">
        <v>2125</v>
      </c>
      <c r="M779" s="5">
        <f t="shared" si="73"/>
        <v>42</v>
      </c>
      <c r="N779" t="str">
        <f t="shared" si="74"/>
        <v>January</v>
      </c>
      <c r="O779" t="str">
        <f t="shared" si="75"/>
        <v>Friday</v>
      </c>
      <c r="P779">
        <f t="shared" si="72"/>
        <v>15</v>
      </c>
      <c r="Q779" s="2">
        <f t="shared" si="76"/>
        <v>5</v>
      </c>
      <c r="R779" s="2">
        <f t="shared" si="77"/>
        <v>1</v>
      </c>
      <c r="S779">
        <f>SUMIF(Table1[product_category],"Bakery",Table1[Total_bill])</f>
        <v>2951.25</v>
      </c>
    </row>
    <row r="780" spans="1:19" x14ac:dyDescent="0.3">
      <c r="A780" s="2">
        <v>10779</v>
      </c>
      <c r="B780" s="4">
        <v>46410</v>
      </c>
      <c r="C780" t="s">
        <v>931</v>
      </c>
      <c r="D780" t="s">
        <v>40</v>
      </c>
      <c r="E780" t="s">
        <v>41</v>
      </c>
      <c r="F780" t="s">
        <v>184</v>
      </c>
      <c r="G780">
        <v>3</v>
      </c>
      <c r="H780" s="5">
        <v>4</v>
      </c>
      <c r="I780" t="s">
        <v>89</v>
      </c>
      <c r="J780" t="s">
        <v>261</v>
      </c>
      <c r="K780" t="s">
        <v>261</v>
      </c>
      <c r="L780" t="s">
        <v>2124</v>
      </c>
      <c r="M780" s="5">
        <f t="shared" si="73"/>
        <v>12</v>
      </c>
      <c r="N780" t="str">
        <f t="shared" si="74"/>
        <v>January</v>
      </c>
      <c r="O780" t="str">
        <f t="shared" si="75"/>
        <v>Saturday</v>
      </c>
      <c r="P780">
        <f t="shared" si="72"/>
        <v>15</v>
      </c>
      <c r="Q780" s="2">
        <f t="shared" si="76"/>
        <v>6</v>
      </c>
      <c r="R780" s="2">
        <f t="shared" si="77"/>
        <v>1</v>
      </c>
      <c r="S780">
        <f>SUMIF(Table1[product_category],"Bakery",Table1[Total_bill])</f>
        <v>2951.25</v>
      </c>
    </row>
    <row r="781" spans="1:19" x14ac:dyDescent="0.3">
      <c r="A781" s="2">
        <v>10780</v>
      </c>
      <c r="B781" s="4">
        <v>46411</v>
      </c>
      <c r="C781" t="s">
        <v>932</v>
      </c>
      <c r="D781" t="s">
        <v>18</v>
      </c>
      <c r="E781" t="s">
        <v>19</v>
      </c>
      <c r="F781" t="s">
        <v>186</v>
      </c>
      <c r="G781">
        <v>4</v>
      </c>
      <c r="H781" s="5">
        <v>4</v>
      </c>
      <c r="I781" t="s">
        <v>36</v>
      </c>
      <c r="J781" t="s">
        <v>110</v>
      </c>
      <c r="K781" t="s">
        <v>110</v>
      </c>
      <c r="L781" t="s">
        <v>2122</v>
      </c>
      <c r="M781" s="5">
        <f t="shared" si="73"/>
        <v>16</v>
      </c>
      <c r="N781" t="str">
        <f t="shared" si="74"/>
        <v>January</v>
      </c>
      <c r="O781" t="str">
        <f t="shared" si="75"/>
        <v>Sunday</v>
      </c>
      <c r="P781">
        <f t="shared" si="72"/>
        <v>14</v>
      </c>
      <c r="Q781" s="2">
        <f t="shared" si="76"/>
        <v>7</v>
      </c>
      <c r="R781" s="2">
        <f t="shared" si="77"/>
        <v>1</v>
      </c>
      <c r="S781">
        <f>SUMIF(Table1[product_category],"Bakery",Table1[Total_bill])</f>
        <v>2951.25</v>
      </c>
    </row>
    <row r="782" spans="1:19" x14ac:dyDescent="0.3">
      <c r="A782" s="2">
        <v>10781</v>
      </c>
      <c r="B782" s="4">
        <v>46412</v>
      </c>
      <c r="C782" t="s">
        <v>933</v>
      </c>
      <c r="D782" t="s">
        <v>18</v>
      </c>
      <c r="E782" t="s">
        <v>19</v>
      </c>
      <c r="F782" t="s">
        <v>188</v>
      </c>
      <c r="G782">
        <v>2</v>
      </c>
      <c r="H782" s="5">
        <v>2.25</v>
      </c>
      <c r="I782" t="s">
        <v>21</v>
      </c>
      <c r="J782" t="s">
        <v>58</v>
      </c>
      <c r="K782" t="s">
        <v>59</v>
      </c>
      <c r="L782" t="s">
        <v>2125</v>
      </c>
      <c r="M782" s="5">
        <f t="shared" si="73"/>
        <v>4.5</v>
      </c>
      <c r="N782" t="str">
        <f t="shared" si="74"/>
        <v>January</v>
      </c>
      <c r="O782" t="str">
        <f t="shared" si="75"/>
        <v>Monday</v>
      </c>
      <c r="P782">
        <f t="shared" si="72"/>
        <v>14</v>
      </c>
      <c r="Q782" s="2">
        <f t="shared" si="76"/>
        <v>1</v>
      </c>
      <c r="R782" s="2">
        <f t="shared" si="77"/>
        <v>1</v>
      </c>
      <c r="S782">
        <f>SUMIF(Table1[product_category],"Bakery",Table1[Total_bill])</f>
        <v>2951.25</v>
      </c>
    </row>
    <row r="783" spans="1:19" x14ac:dyDescent="0.3">
      <c r="A783" s="2">
        <v>10782</v>
      </c>
      <c r="B783" s="4">
        <v>46413</v>
      </c>
      <c r="C783" t="s">
        <v>934</v>
      </c>
      <c r="D783" t="s">
        <v>25</v>
      </c>
      <c r="E783" t="s">
        <v>26</v>
      </c>
      <c r="F783" t="s">
        <v>190</v>
      </c>
      <c r="G783">
        <v>2</v>
      </c>
      <c r="H783" s="5">
        <v>3.75</v>
      </c>
      <c r="I783" t="s">
        <v>32</v>
      </c>
      <c r="J783" t="s">
        <v>69</v>
      </c>
      <c r="K783" t="s">
        <v>69</v>
      </c>
      <c r="L783" t="s">
        <v>2122</v>
      </c>
      <c r="M783" s="5">
        <f t="shared" si="73"/>
        <v>7.5</v>
      </c>
      <c r="N783" t="str">
        <f t="shared" si="74"/>
        <v>January</v>
      </c>
      <c r="O783" t="str">
        <f t="shared" si="75"/>
        <v>Tuesday</v>
      </c>
      <c r="P783">
        <f t="shared" si="72"/>
        <v>12</v>
      </c>
      <c r="Q783" s="2">
        <f t="shared" si="76"/>
        <v>2</v>
      </c>
      <c r="R783" s="2">
        <f t="shared" si="77"/>
        <v>1</v>
      </c>
      <c r="S783">
        <f>SUMIF(Table1[product_category],"Bakery",Table1[Total_bill])</f>
        <v>2951.25</v>
      </c>
    </row>
    <row r="784" spans="1:19" x14ac:dyDescent="0.3">
      <c r="A784" s="2">
        <v>10783</v>
      </c>
      <c r="B784" s="4">
        <v>46414</v>
      </c>
      <c r="C784" t="s">
        <v>935</v>
      </c>
      <c r="D784" t="s">
        <v>25</v>
      </c>
      <c r="E784" t="s">
        <v>26</v>
      </c>
      <c r="F784" t="s">
        <v>192</v>
      </c>
      <c r="G784">
        <v>3</v>
      </c>
      <c r="H784" s="5">
        <v>13</v>
      </c>
      <c r="I784" t="s">
        <v>98</v>
      </c>
      <c r="J784" t="s">
        <v>98</v>
      </c>
      <c r="K784" t="s">
        <v>95</v>
      </c>
      <c r="L784" t="s">
        <v>2125</v>
      </c>
      <c r="M784" s="5">
        <f t="shared" si="73"/>
        <v>39</v>
      </c>
      <c r="N784" t="str">
        <f t="shared" si="74"/>
        <v>January</v>
      </c>
      <c r="O784" t="str">
        <f t="shared" si="75"/>
        <v>Wednesday</v>
      </c>
      <c r="P784">
        <f t="shared" si="72"/>
        <v>8</v>
      </c>
      <c r="Q784" s="2">
        <f t="shared" si="76"/>
        <v>3</v>
      </c>
      <c r="R784" s="2">
        <f t="shared" si="77"/>
        <v>1</v>
      </c>
      <c r="S784">
        <f>SUMIF(Table1[product_category],"Bakery",Table1[Total_bill])</f>
        <v>2951.25</v>
      </c>
    </row>
    <row r="785" spans="1:19" x14ac:dyDescent="0.3">
      <c r="A785" s="2">
        <v>10784</v>
      </c>
      <c r="B785" s="4">
        <v>46415</v>
      </c>
      <c r="C785" t="s">
        <v>936</v>
      </c>
      <c r="D785" t="s">
        <v>25</v>
      </c>
      <c r="E785" t="s">
        <v>26</v>
      </c>
      <c r="F785" t="s">
        <v>195</v>
      </c>
      <c r="G785">
        <v>3</v>
      </c>
      <c r="H785" s="5">
        <v>4</v>
      </c>
      <c r="I785" t="s">
        <v>36</v>
      </c>
      <c r="J785" t="s">
        <v>110</v>
      </c>
      <c r="K785" t="s">
        <v>110</v>
      </c>
      <c r="L785" t="s">
        <v>2122</v>
      </c>
      <c r="M785" s="5">
        <f t="shared" si="73"/>
        <v>12</v>
      </c>
      <c r="N785" t="str">
        <f t="shared" si="74"/>
        <v>January</v>
      </c>
      <c r="O785" t="str">
        <f t="shared" si="75"/>
        <v>Thursday</v>
      </c>
      <c r="P785">
        <f t="shared" si="72"/>
        <v>9</v>
      </c>
      <c r="Q785" s="2">
        <f t="shared" si="76"/>
        <v>4</v>
      </c>
      <c r="R785" s="2">
        <f t="shared" si="77"/>
        <v>1</v>
      </c>
      <c r="S785">
        <f>SUMIF(Table1[product_category],"Bakery",Table1[Total_bill])</f>
        <v>2951.25</v>
      </c>
    </row>
    <row r="786" spans="1:19" x14ac:dyDescent="0.3">
      <c r="A786" s="2">
        <v>10785</v>
      </c>
      <c r="B786" s="4">
        <v>46416</v>
      </c>
      <c r="C786" t="s">
        <v>937</v>
      </c>
      <c r="D786" t="s">
        <v>25</v>
      </c>
      <c r="E786" t="s">
        <v>26</v>
      </c>
      <c r="F786" t="s">
        <v>197</v>
      </c>
      <c r="G786">
        <v>3</v>
      </c>
      <c r="H786" s="5">
        <v>2.75</v>
      </c>
      <c r="I786" t="s">
        <v>32</v>
      </c>
      <c r="J786" t="s">
        <v>226</v>
      </c>
      <c r="K786" t="s">
        <v>273</v>
      </c>
      <c r="L786" t="s">
        <v>2122</v>
      </c>
      <c r="M786" s="5">
        <f t="shared" si="73"/>
        <v>8.25</v>
      </c>
      <c r="N786" t="str">
        <f t="shared" si="74"/>
        <v>January</v>
      </c>
      <c r="O786" t="str">
        <f t="shared" si="75"/>
        <v>Friday</v>
      </c>
      <c r="P786">
        <f t="shared" si="72"/>
        <v>8</v>
      </c>
      <c r="Q786" s="2">
        <f t="shared" si="76"/>
        <v>5</v>
      </c>
      <c r="R786" s="2">
        <f t="shared" si="77"/>
        <v>1</v>
      </c>
      <c r="S786">
        <f>SUMIF(Table1[product_category],"Bakery",Table1[Total_bill])</f>
        <v>2951.25</v>
      </c>
    </row>
    <row r="787" spans="1:19" x14ac:dyDescent="0.3">
      <c r="A787" s="2">
        <v>10786</v>
      </c>
      <c r="B787" s="4">
        <v>46417</v>
      </c>
      <c r="C787" t="s">
        <v>938</v>
      </c>
      <c r="D787" t="s">
        <v>18</v>
      </c>
      <c r="E787" t="s">
        <v>19</v>
      </c>
      <c r="F787" t="s">
        <v>199</v>
      </c>
      <c r="G787">
        <v>4</v>
      </c>
      <c r="H787" s="5">
        <v>3.25</v>
      </c>
      <c r="I787" t="s">
        <v>21</v>
      </c>
      <c r="J787" t="s">
        <v>81</v>
      </c>
      <c r="K787" t="s">
        <v>113</v>
      </c>
      <c r="L787" t="s">
        <v>2125</v>
      </c>
      <c r="M787" s="5">
        <f t="shared" si="73"/>
        <v>13</v>
      </c>
      <c r="N787" t="str">
        <f t="shared" si="74"/>
        <v>January</v>
      </c>
      <c r="O787" t="str">
        <f t="shared" si="75"/>
        <v>Saturday</v>
      </c>
      <c r="P787">
        <f t="shared" si="72"/>
        <v>18</v>
      </c>
      <c r="Q787" s="2">
        <f t="shared" si="76"/>
        <v>6</v>
      </c>
      <c r="R787" s="2">
        <f t="shared" si="77"/>
        <v>1</v>
      </c>
      <c r="S787">
        <f>SUMIF(Table1[product_category],"Bakery",Table1[Total_bill])</f>
        <v>2951.25</v>
      </c>
    </row>
    <row r="788" spans="1:19" x14ac:dyDescent="0.3">
      <c r="A788" s="2">
        <v>10787</v>
      </c>
      <c r="B788" s="4">
        <v>46418</v>
      </c>
      <c r="C788" t="s">
        <v>939</v>
      </c>
      <c r="D788" t="s">
        <v>25</v>
      </c>
      <c r="E788" t="s">
        <v>26</v>
      </c>
      <c r="F788" t="s">
        <v>201</v>
      </c>
      <c r="G788">
        <v>2</v>
      </c>
      <c r="H788" s="5">
        <v>3.25</v>
      </c>
      <c r="I788" t="s">
        <v>21</v>
      </c>
      <c r="J788" t="s">
        <v>81</v>
      </c>
      <c r="K788" t="s">
        <v>82</v>
      </c>
      <c r="L788" t="s">
        <v>2125</v>
      </c>
      <c r="M788" s="5">
        <f t="shared" si="73"/>
        <v>6.5</v>
      </c>
      <c r="N788" t="str">
        <f t="shared" si="74"/>
        <v>January</v>
      </c>
      <c r="O788" t="str">
        <f t="shared" si="75"/>
        <v>Sunday</v>
      </c>
      <c r="P788">
        <f t="shared" si="72"/>
        <v>13</v>
      </c>
      <c r="Q788" s="2">
        <f t="shared" si="76"/>
        <v>7</v>
      </c>
      <c r="R788" s="2">
        <f t="shared" si="77"/>
        <v>1</v>
      </c>
      <c r="S788">
        <f>SUMIF(Table1[product_category],"Bakery",Table1[Total_bill])</f>
        <v>2951.25</v>
      </c>
    </row>
    <row r="789" spans="1:19" x14ac:dyDescent="0.3">
      <c r="A789" s="2">
        <v>10788</v>
      </c>
      <c r="B789" s="4">
        <v>46419</v>
      </c>
      <c r="C789" t="s">
        <v>940</v>
      </c>
      <c r="D789" t="s">
        <v>18</v>
      </c>
      <c r="E789" t="s">
        <v>19</v>
      </c>
      <c r="F789" t="s">
        <v>204</v>
      </c>
      <c r="G789">
        <v>4</v>
      </c>
      <c r="H789" s="5">
        <v>3.75</v>
      </c>
      <c r="I789" t="s">
        <v>36</v>
      </c>
      <c r="J789" t="s">
        <v>211</v>
      </c>
      <c r="K789" t="s">
        <v>212</v>
      </c>
      <c r="L789" t="s">
        <v>2124</v>
      </c>
      <c r="M789" s="5">
        <f t="shared" si="73"/>
        <v>15</v>
      </c>
      <c r="N789" t="str">
        <f t="shared" si="74"/>
        <v>February</v>
      </c>
      <c r="O789" t="str">
        <f t="shared" si="75"/>
        <v>Monday</v>
      </c>
      <c r="P789">
        <f t="shared" si="72"/>
        <v>10</v>
      </c>
      <c r="Q789" s="2">
        <f t="shared" si="76"/>
        <v>1</v>
      </c>
      <c r="R789" s="2">
        <f t="shared" si="77"/>
        <v>2</v>
      </c>
      <c r="S789">
        <f>SUMIF(Table1[product_category],"Bakery",Table1[Total_bill])</f>
        <v>2951.25</v>
      </c>
    </row>
    <row r="790" spans="1:19" x14ac:dyDescent="0.3">
      <c r="A790" s="2">
        <v>10789</v>
      </c>
      <c r="B790" s="4">
        <v>46420</v>
      </c>
      <c r="C790" t="s">
        <v>941</v>
      </c>
      <c r="D790" t="s">
        <v>25</v>
      </c>
      <c r="E790" t="s">
        <v>26</v>
      </c>
      <c r="F790" t="s">
        <v>206</v>
      </c>
      <c r="G790">
        <v>3</v>
      </c>
      <c r="H790" s="5">
        <v>2.5</v>
      </c>
      <c r="I790" t="s">
        <v>21</v>
      </c>
      <c r="J790" t="s">
        <v>47</v>
      </c>
      <c r="K790" t="s">
        <v>48</v>
      </c>
      <c r="L790" t="s">
        <v>2125</v>
      </c>
      <c r="M790" s="5">
        <f t="shared" si="73"/>
        <v>7.5</v>
      </c>
      <c r="N790" t="str">
        <f t="shared" si="74"/>
        <v>February</v>
      </c>
      <c r="O790" t="str">
        <f t="shared" si="75"/>
        <v>Tuesday</v>
      </c>
      <c r="P790">
        <f t="shared" si="72"/>
        <v>11</v>
      </c>
      <c r="Q790" s="2">
        <f t="shared" si="76"/>
        <v>2</v>
      </c>
      <c r="R790" s="2">
        <f t="shared" si="77"/>
        <v>2</v>
      </c>
      <c r="S790">
        <f>SUMIF(Table1[product_category],"Bakery",Table1[Total_bill])</f>
        <v>2951.25</v>
      </c>
    </row>
    <row r="791" spans="1:19" x14ac:dyDescent="0.3">
      <c r="A791" s="2">
        <v>10790</v>
      </c>
      <c r="B791" s="4">
        <v>46421</v>
      </c>
      <c r="C791" t="s">
        <v>942</v>
      </c>
      <c r="D791" t="s">
        <v>18</v>
      </c>
      <c r="E791" t="s">
        <v>19</v>
      </c>
      <c r="F791" t="s">
        <v>208</v>
      </c>
      <c r="G791">
        <v>4</v>
      </c>
      <c r="H791" s="5">
        <v>24</v>
      </c>
      <c r="I791" t="s">
        <v>101</v>
      </c>
      <c r="J791" t="s">
        <v>102</v>
      </c>
      <c r="K791" t="s">
        <v>103</v>
      </c>
      <c r="L791" t="s">
        <v>2125</v>
      </c>
      <c r="M791" s="5">
        <f t="shared" si="73"/>
        <v>96</v>
      </c>
      <c r="N791" t="str">
        <f t="shared" si="74"/>
        <v>February</v>
      </c>
      <c r="O791" t="str">
        <f t="shared" si="75"/>
        <v>Wednesday</v>
      </c>
      <c r="P791">
        <f t="shared" si="72"/>
        <v>19</v>
      </c>
      <c r="Q791" s="2">
        <f t="shared" si="76"/>
        <v>3</v>
      </c>
      <c r="R791" s="2">
        <f t="shared" si="77"/>
        <v>2</v>
      </c>
      <c r="S791">
        <f>SUMIF(Table1[product_category],"Bakery",Table1[Total_bill])</f>
        <v>2951.25</v>
      </c>
    </row>
    <row r="792" spans="1:19" x14ac:dyDescent="0.3">
      <c r="A792" s="2">
        <v>10791</v>
      </c>
      <c r="B792" s="4">
        <v>46422</v>
      </c>
      <c r="C792" t="s">
        <v>943</v>
      </c>
      <c r="D792" t="s">
        <v>18</v>
      </c>
      <c r="E792" t="s">
        <v>19</v>
      </c>
      <c r="F792" t="s">
        <v>210</v>
      </c>
      <c r="G792">
        <v>3</v>
      </c>
      <c r="H792" s="5">
        <v>1.75</v>
      </c>
      <c r="I792" t="s">
        <v>32</v>
      </c>
      <c r="J792" t="s">
        <v>43</v>
      </c>
      <c r="K792" t="s">
        <v>44</v>
      </c>
      <c r="L792" t="s">
        <v>2122</v>
      </c>
      <c r="M792" s="5">
        <f t="shared" si="73"/>
        <v>5.25</v>
      </c>
      <c r="N792" t="str">
        <f t="shared" si="74"/>
        <v>February</v>
      </c>
      <c r="O792" t="str">
        <f t="shared" si="75"/>
        <v>Thursday</v>
      </c>
      <c r="P792">
        <f t="shared" si="72"/>
        <v>7</v>
      </c>
      <c r="Q792" s="2">
        <f t="shared" si="76"/>
        <v>4</v>
      </c>
      <c r="R792" s="2">
        <f t="shared" si="77"/>
        <v>2</v>
      </c>
      <c r="S792">
        <f>SUMIF(Table1[product_category],"Bakery",Table1[Total_bill])</f>
        <v>2951.25</v>
      </c>
    </row>
    <row r="793" spans="1:19" x14ac:dyDescent="0.3">
      <c r="A793" s="2">
        <v>10792</v>
      </c>
      <c r="B793" s="4">
        <v>46423</v>
      </c>
      <c r="C793" t="s">
        <v>944</v>
      </c>
      <c r="D793" t="s">
        <v>18</v>
      </c>
      <c r="E793" t="s">
        <v>19</v>
      </c>
      <c r="F793" t="s">
        <v>214</v>
      </c>
      <c r="G793">
        <v>3</v>
      </c>
      <c r="H793" s="5">
        <v>3</v>
      </c>
      <c r="I793" t="s">
        <v>36</v>
      </c>
      <c r="J793" t="s">
        <v>246</v>
      </c>
      <c r="K793" t="s">
        <v>247</v>
      </c>
      <c r="L793" t="s">
        <v>2124</v>
      </c>
      <c r="M793" s="5">
        <f t="shared" si="73"/>
        <v>9</v>
      </c>
      <c r="N793" t="str">
        <f t="shared" si="74"/>
        <v>February</v>
      </c>
      <c r="O793" t="str">
        <f t="shared" si="75"/>
        <v>Friday</v>
      </c>
      <c r="P793">
        <f t="shared" si="72"/>
        <v>13</v>
      </c>
      <c r="Q793" s="2">
        <f t="shared" si="76"/>
        <v>5</v>
      </c>
      <c r="R793" s="2">
        <f t="shared" si="77"/>
        <v>2</v>
      </c>
      <c r="S793">
        <f>SUMIF(Table1[product_category],"Bakery",Table1[Total_bill])</f>
        <v>2951.25</v>
      </c>
    </row>
    <row r="794" spans="1:19" x14ac:dyDescent="0.3">
      <c r="A794" s="2">
        <v>10793</v>
      </c>
      <c r="B794" s="4">
        <v>46424</v>
      </c>
      <c r="C794" t="s">
        <v>945</v>
      </c>
      <c r="D794" t="s">
        <v>25</v>
      </c>
      <c r="E794" t="s">
        <v>26</v>
      </c>
      <c r="F794" t="s">
        <v>217</v>
      </c>
      <c r="G794">
        <v>3</v>
      </c>
      <c r="H794" s="5">
        <v>4</v>
      </c>
      <c r="I794" t="s">
        <v>89</v>
      </c>
      <c r="J794" t="s">
        <v>261</v>
      </c>
      <c r="K794" t="s">
        <v>261</v>
      </c>
      <c r="L794" t="s">
        <v>2124</v>
      </c>
      <c r="M794" s="5">
        <f t="shared" si="73"/>
        <v>12</v>
      </c>
      <c r="N794" t="str">
        <f t="shared" si="74"/>
        <v>February</v>
      </c>
      <c r="O794" t="str">
        <f t="shared" si="75"/>
        <v>Saturday</v>
      </c>
      <c r="P794">
        <f t="shared" si="72"/>
        <v>12</v>
      </c>
      <c r="Q794" s="2">
        <f t="shared" si="76"/>
        <v>6</v>
      </c>
      <c r="R794" s="2">
        <f t="shared" si="77"/>
        <v>2</v>
      </c>
      <c r="S794">
        <f>SUMIF(Table1[product_category],"Bakery",Table1[Total_bill])</f>
        <v>2951.25</v>
      </c>
    </row>
    <row r="795" spans="1:19" x14ac:dyDescent="0.3">
      <c r="A795" s="2">
        <v>10794</v>
      </c>
      <c r="B795" s="4">
        <v>46425</v>
      </c>
      <c r="C795" t="s">
        <v>946</v>
      </c>
      <c r="D795" t="s">
        <v>40</v>
      </c>
      <c r="E795" t="s">
        <v>41</v>
      </c>
      <c r="F795" t="s">
        <v>219</v>
      </c>
      <c r="G795">
        <v>4</v>
      </c>
      <c r="H795" s="5">
        <v>14</v>
      </c>
      <c r="I795" t="s">
        <v>101</v>
      </c>
      <c r="J795" t="s">
        <v>102</v>
      </c>
      <c r="K795" t="s">
        <v>193</v>
      </c>
      <c r="L795" t="s">
        <v>2125</v>
      </c>
      <c r="M795" s="5">
        <f t="shared" si="73"/>
        <v>56</v>
      </c>
      <c r="N795" t="str">
        <f t="shared" si="74"/>
        <v>February</v>
      </c>
      <c r="O795" t="str">
        <f t="shared" si="75"/>
        <v>Sunday</v>
      </c>
      <c r="P795">
        <f t="shared" si="72"/>
        <v>13</v>
      </c>
      <c r="Q795" s="2">
        <f t="shared" si="76"/>
        <v>7</v>
      </c>
      <c r="R795" s="2">
        <f t="shared" si="77"/>
        <v>2</v>
      </c>
      <c r="S795">
        <f>SUMIF(Table1[product_category],"Bakery",Table1[Total_bill])</f>
        <v>2951.25</v>
      </c>
    </row>
    <row r="796" spans="1:19" x14ac:dyDescent="0.3">
      <c r="A796" s="2">
        <v>10795</v>
      </c>
      <c r="B796" s="4">
        <v>46426</v>
      </c>
      <c r="C796" t="s">
        <v>947</v>
      </c>
      <c r="D796" t="s">
        <v>18</v>
      </c>
      <c r="E796" t="s">
        <v>19</v>
      </c>
      <c r="F796" t="s">
        <v>221</v>
      </c>
      <c r="G796">
        <v>1</v>
      </c>
      <c r="H796" s="5">
        <v>3</v>
      </c>
      <c r="I796" t="s">
        <v>36</v>
      </c>
      <c r="J796" t="s">
        <v>37</v>
      </c>
      <c r="K796" t="s">
        <v>38</v>
      </c>
      <c r="L796" t="s">
        <v>2124</v>
      </c>
      <c r="M796" s="5">
        <f t="shared" si="73"/>
        <v>3</v>
      </c>
      <c r="N796" t="str">
        <f t="shared" si="74"/>
        <v>February</v>
      </c>
      <c r="O796" t="str">
        <f t="shared" si="75"/>
        <v>Monday</v>
      </c>
      <c r="P796">
        <f t="shared" si="72"/>
        <v>6</v>
      </c>
      <c r="Q796" s="2">
        <f t="shared" si="76"/>
        <v>1</v>
      </c>
      <c r="R796" s="2">
        <f t="shared" si="77"/>
        <v>2</v>
      </c>
      <c r="S796">
        <f>SUMIF(Table1[product_category],"Bakery",Table1[Total_bill])</f>
        <v>2951.25</v>
      </c>
    </row>
    <row r="797" spans="1:19" x14ac:dyDescent="0.3">
      <c r="A797" s="2">
        <v>10796</v>
      </c>
      <c r="B797" s="4">
        <v>46427</v>
      </c>
      <c r="C797" t="s">
        <v>948</v>
      </c>
      <c r="D797" t="s">
        <v>18</v>
      </c>
      <c r="E797" t="s">
        <v>19</v>
      </c>
      <c r="F797" t="s">
        <v>223</v>
      </c>
      <c r="G797">
        <v>1</v>
      </c>
      <c r="H797" s="5">
        <v>9.5</v>
      </c>
      <c r="I797" t="s">
        <v>28</v>
      </c>
      <c r="J797" t="s">
        <v>28</v>
      </c>
      <c r="K797" t="s">
        <v>29</v>
      </c>
      <c r="L797" t="s">
        <v>2125</v>
      </c>
      <c r="M797" s="5">
        <f t="shared" si="73"/>
        <v>9.5</v>
      </c>
      <c r="N797" t="str">
        <f t="shared" si="74"/>
        <v>February</v>
      </c>
      <c r="O797" t="str">
        <f t="shared" si="75"/>
        <v>Tuesday</v>
      </c>
      <c r="P797">
        <f t="shared" si="72"/>
        <v>17</v>
      </c>
      <c r="Q797" s="2">
        <f t="shared" si="76"/>
        <v>2</v>
      </c>
      <c r="R797" s="2">
        <f t="shared" si="77"/>
        <v>2</v>
      </c>
      <c r="S797">
        <f>SUMIF(Table1[product_category],"Bakery",Table1[Total_bill])</f>
        <v>2951.25</v>
      </c>
    </row>
    <row r="798" spans="1:19" x14ac:dyDescent="0.3">
      <c r="A798" s="2">
        <v>10797</v>
      </c>
      <c r="B798" s="4">
        <v>46428</v>
      </c>
      <c r="C798" t="s">
        <v>949</v>
      </c>
      <c r="D798" t="s">
        <v>18</v>
      </c>
      <c r="E798" t="s">
        <v>19</v>
      </c>
      <c r="F798" t="s">
        <v>225</v>
      </c>
      <c r="G798">
        <v>4</v>
      </c>
      <c r="H798" s="5">
        <v>3.5</v>
      </c>
      <c r="I798" t="s">
        <v>36</v>
      </c>
      <c r="J798" t="s">
        <v>37</v>
      </c>
      <c r="K798" t="s">
        <v>276</v>
      </c>
      <c r="L798" t="s">
        <v>2123</v>
      </c>
      <c r="M798" s="5">
        <f t="shared" si="73"/>
        <v>14</v>
      </c>
      <c r="N798" t="str">
        <f t="shared" si="74"/>
        <v>February</v>
      </c>
      <c r="O798" t="str">
        <f t="shared" si="75"/>
        <v>Wednesday</v>
      </c>
      <c r="P798">
        <f t="shared" si="72"/>
        <v>19</v>
      </c>
      <c r="Q798" s="2">
        <f t="shared" si="76"/>
        <v>3</v>
      </c>
      <c r="R798" s="2">
        <f t="shared" si="77"/>
        <v>2</v>
      </c>
      <c r="S798">
        <f>SUMIF(Table1[product_category],"Bakery",Table1[Total_bill])</f>
        <v>2951.25</v>
      </c>
    </row>
    <row r="799" spans="1:19" x14ac:dyDescent="0.3">
      <c r="A799" s="2">
        <v>10798</v>
      </c>
      <c r="B799" s="4">
        <v>46429</v>
      </c>
      <c r="C799" t="s">
        <v>950</v>
      </c>
      <c r="D799" t="s">
        <v>18</v>
      </c>
      <c r="E799" t="s">
        <v>19</v>
      </c>
      <c r="F799" t="s">
        <v>229</v>
      </c>
      <c r="G799">
        <v>1</v>
      </c>
      <c r="H799" s="5">
        <v>13</v>
      </c>
      <c r="I799" t="s">
        <v>98</v>
      </c>
      <c r="J799" t="s">
        <v>98</v>
      </c>
      <c r="K799" t="s">
        <v>95</v>
      </c>
      <c r="L799" t="s">
        <v>2125</v>
      </c>
      <c r="M799" s="5">
        <f t="shared" si="73"/>
        <v>13</v>
      </c>
      <c r="N799" t="str">
        <f t="shared" si="74"/>
        <v>February</v>
      </c>
      <c r="O799" t="str">
        <f t="shared" si="75"/>
        <v>Thursday</v>
      </c>
      <c r="P799">
        <f t="shared" si="72"/>
        <v>12</v>
      </c>
      <c r="Q799" s="2">
        <f t="shared" si="76"/>
        <v>4</v>
      </c>
      <c r="R799" s="2">
        <f t="shared" si="77"/>
        <v>2</v>
      </c>
      <c r="S799">
        <f>SUMIF(Table1[product_category],"Bakery",Table1[Total_bill])</f>
        <v>2951.25</v>
      </c>
    </row>
    <row r="800" spans="1:19" x14ac:dyDescent="0.3">
      <c r="A800" s="2">
        <v>10799</v>
      </c>
      <c r="B800" s="4">
        <v>46430</v>
      </c>
      <c r="C800" t="s">
        <v>951</v>
      </c>
      <c r="D800" t="s">
        <v>40</v>
      </c>
      <c r="E800" t="s">
        <v>41</v>
      </c>
      <c r="F800" t="s">
        <v>231</v>
      </c>
      <c r="G800">
        <v>1</v>
      </c>
      <c r="H800" s="5">
        <v>2.5</v>
      </c>
      <c r="I800" t="s">
        <v>21</v>
      </c>
      <c r="J800" t="s">
        <v>47</v>
      </c>
      <c r="K800" t="s">
        <v>48</v>
      </c>
      <c r="L800" t="s">
        <v>2125</v>
      </c>
      <c r="M800" s="5">
        <f t="shared" si="73"/>
        <v>2.5</v>
      </c>
      <c r="N800" t="str">
        <f t="shared" si="74"/>
        <v>February</v>
      </c>
      <c r="O800" t="str">
        <f t="shared" si="75"/>
        <v>Friday</v>
      </c>
      <c r="P800">
        <f t="shared" si="72"/>
        <v>14</v>
      </c>
      <c r="Q800" s="2">
        <f t="shared" si="76"/>
        <v>5</v>
      </c>
      <c r="R800" s="2">
        <f t="shared" si="77"/>
        <v>2</v>
      </c>
      <c r="S800">
        <f>SUMIF(Table1[product_category],"Bakery",Table1[Total_bill])</f>
        <v>2951.25</v>
      </c>
    </row>
    <row r="801" spans="1:19" x14ac:dyDescent="0.3">
      <c r="A801" s="2">
        <v>10800</v>
      </c>
      <c r="B801" s="4">
        <v>46431</v>
      </c>
      <c r="C801" t="s">
        <v>952</v>
      </c>
      <c r="D801" t="s">
        <v>25</v>
      </c>
      <c r="E801" t="s">
        <v>26</v>
      </c>
      <c r="F801" t="s">
        <v>233</v>
      </c>
      <c r="G801">
        <v>1</v>
      </c>
      <c r="H801" s="5">
        <v>5</v>
      </c>
      <c r="I801" t="s">
        <v>36</v>
      </c>
      <c r="J801" t="s">
        <v>110</v>
      </c>
      <c r="K801" t="s">
        <v>110</v>
      </c>
      <c r="L801" t="s">
        <v>2123</v>
      </c>
      <c r="M801" s="5">
        <f t="shared" si="73"/>
        <v>5</v>
      </c>
      <c r="N801" t="str">
        <f t="shared" si="74"/>
        <v>February</v>
      </c>
      <c r="O801" t="str">
        <f t="shared" si="75"/>
        <v>Saturday</v>
      </c>
      <c r="P801">
        <f t="shared" si="72"/>
        <v>18</v>
      </c>
      <c r="Q801" s="2">
        <f t="shared" si="76"/>
        <v>6</v>
      </c>
      <c r="R801" s="2">
        <f t="shared" si="77"/>
        <v>2</v>
      </c>
      <c r="S801">
        <f>SUMIF(Table1[product_category],"Bakery",Table1[Total_bill])</f>
        <v>2951.25</v>
      </c>
    </row>
    <row r="802" spans="1:19" x14ac:dyDescent="0.3">
      <c r="A802" s="2">
        <v>10801</v>
      </c>
      <c r="B802" s="4">
        <v>46432</v>
      </c>
      <c r="C802" t="s">
        <v>953</v>
      </c>
      <c r="D802" t="s">
        <v>40</v>
      </c>
      <c r="E802" t="s">
        <v>41</v>
      </c>
      <c r="F802" t="s">
        <v>20</v>
      </c>
      <c r="G802">
        <v>4</v>
      </c>
      <c r="H802" s="5">
        <v>11</v>
      </c>
      <c r="I802" t="s">
        <v>98</v>
      </c>
      <c r="J802" t="s">
        <v>98</v>
      </c>
      <c r="K802" t="s">
        <v>215</v>
      </c>
      <c r="L802" t="s">
        <v>2125</v>
      </c>
      <c r="M802" s="5">
        <f t="shared" si="73"/>
        <v>44</v>
      </c>
      <c r="N802" t="str">
        <f t="shared" si="74"/>
        <v>February</v>
      </c>
      <c r="O802" t="str">
        <f t="shared" si="75"/>
        <v>Sunday</v>
      </c>
      <c r="P802">
        <f t="shared" si="72"/>
        <v>14</v>
      </c>
      <c r="Q802" s="2">
        <f t="shared" si="76"/>
        <v>7</v>
      </c>
      <c r="R802" s="2">
        <f t="shared" si="77"/>
        <v>2</v>
      </c>
      <c r="S802">
        <f>SUMIF(Table1[product_category],"Bakery",Table1[Total_bill])</f>
        <v>2951.25</v>
      </c>
    </row>
    <row r="803" spans="1:19" x14ac:dyDescent="0.3">
      <c r="A803" s="2">
        <v>10802</v>
      </c>
      <c r="B803" s="4">
        <v>46433</v>
      </c>
      <c r="C803" t="s">
        <v>954</v>
      </c>
      <c r="D803" t="s">
        <v>40</v>
      </c>
      <c r="E803" t="s">
        <v>41</v>
      </c>
      <c r="F803" t="s">
        <v>27</v>
      </c>
      <c r="G803">
        <v>1</v>
      </c>
      <c r="H803" s="5">
        <v>3.25</v>
      </c>
      <c r="I803" t="s">
        <v>21</v>
      </c>
      <c r="J803" t="s">
        <v>81</v>
      </c>
      <c r="K803" t="s">
        <v>82</v>
      </c>
      <c r="L803" t="s">
        <v>2125</v>
      </c>
      <c r="M803" s="5">
        <f t="shared" si="73"/>
        <v>3.25</v>
      </c>
      <c r="N803" t="str">
        <f t="shared" si="74"/>
        <v>February</v>
      </c>
      <c r="O803" t="str">
        <f t="shared" si="75"/>
        <v>Monday</v>
      </c>
      <c r="P803">
        <f t="shared" si="72"/>
        <v>7</v>
      </c>
      <c r="Q803" s="2">
        <f t="shared" si="76"/>
        <v>1</v>
      </c>
      <c r="R803" s="2">
        <f t="shared" si="77"/>
        <v>2</v>
      </c>
      <c r="S803">
        <f>SUMIF(Table1[product_category],"Bakery",Table1[Total_bill])</f>
        <v>2951.25</v>
      </c>
    </row>
    <row r="804" spans="1:19" x14ac:dyDescent="0.3">
      <c r="A804" s="2">
        <v>10803</v>
      </c>
      <c r="B804" s="4">
        <v>46434</v>
      </c>
      <c r="C804" t="s">
        <v>955</v>
      </c>
      <c r="D804" t="s">
        <v>18</v>
      </c>
      <c r="E804" t="s">
        <v>19</v>
      </c>
      <c r="F804" t="s">
        <v>31</v>
      </c>
      <c r="G804">
        <v>1</v>
      </c>
      <c r="H804" s="5">
        <v>2.75</v>
      </c>
      <c r="I804" t="s">
        <v>32</v>
      </c>
      <c r="J804" t="s">
        <v>43</v>
      </c>
      <c r="K804" t="s">
        <v>44</v>
      </c>
      <c r="L804" t="s">
        <v>2123</v>
      </c>
      <c r="M804" s="5">
        <f t="shared" si="73"/>
        <v>2.75</v>
      </c>
      <c r="N804" t="str">
        <f t="shared" si="74"/>
        <v>February</v>
      </c>
      <c r="O804" t="str">
        <f t="shared" si="75"/>
        <v>Tuesday</v>
      </c>
      <c r="P804">
        <f t="shared" si="72"/>
        <v>13</v>
      </c>
      <c r="Q804" s="2">
        <f t="shared" si="76"/>
        <v>2</v>
      </c>
      <c r="R804" s="2">
        <f t="shared" si="77"/>
        <v>2</v>
      </c>
      <c r="S804">
        <f>SUMIF(Table1[product_category],"Bakery",Table1[Total_bill])</f>
        <v>2951.25</v>
      </c>
    </row>
    <row r="805" spans="1:19" x14ac:dyDescent="0.3">
      <c r="A805" s="2">
        <v>10804</v>
      </c>
      <c r="B805" s="4">
        <v>46435</v>
      </c>
      <c r="C805" t="s">
        <v>956</v>
      </c>
      <c r="D805" t="s">
        <v>25</v>
      </c>
      <c r="E805" t="s">
        <v>26</v>
      </c>
      <c r="F805" t="s">
        <v>35</v>
      </c>
      <c r="G805">
        <v>1</v>
      </c>
      <c r="H805" s="5">
        <v>3.5</v>
      </c>
      <c r="I805" t="s">
        <v>21</v>
      </c>
      <c r="J805" t="s">
        <v>51</v>
      </c>
      <c r="K805" t="s">
        <v>52</v>
      </c>
      <c r="L805" t="s">
        <v>2125</v>
      </c>
      <c r="M805" s="5">
        <f t="shared" si="73"/>
        <v>3.5</v>
      </c>
      <c r="N805" t="str">
        <f t="shared" si="74"/>
        <v>February</v>
      </c>
      <c r="O805" t="str">
        <f t="shared" si="75"/>
        <v>Wednesday</v>
      </c>
      <c r="P805">
        <f t="shared" si="72"/>
        <v>13</v>
      </c>
      <c r="Q805" s="2">
        <f t="shared" si="76"/>
        <v>3</v>
      </c>
      <c r="R805" s="2">
        <f t="shared" si="77"/>
        <v>2</v>
      </c>
      <c r="S805">
        <f>SUMIF(Table1[product_category],"Bakery",Table1[Total_bill])</f>
        <v>2951.25</v>
      </c>
    </row>
    <row r="806" spans="1:19" x14ac:dyDescent="0.3">
      <c r="A806" s="2">
        <v>10805</v>
      </c>
      <c r="B806" s="4">
        <v>46436</v>
      </c>
      <c r="C806" t="s">
        <v>957</v>
      </c>
      <c r="D806" t="s">
        <v>40</v>
      </c>
      <c r="E806" t="s">
        <v>41</v>
      </c>
      <c r="F806" t="s">
        <v>42</v>
      </c>
      <c r="G806">
        <v>4</v>
      </c>
      <c r="H806" s="5">
        <v>4</v>
      </c>
      <c r="I806" t="s">
        <v>32</v>
      </c>
      <c r="J806" t="s">
        <v>33</v>
      </c>
      <c r="K806" t="s">
        <v>33</v>
      </c>
      <c r="L806" t="s">
        <v>2124</v>
      </c>
      <c r="M806" s="5">
        <f t="shared" si="73"/>
        <v>16</v>
      </c>
      <c r="N806" t="str">
        <f t="shared" si="74"/>
        <v>February</v>
      </c>
      <c r="O806" t="str">
        <f t="shared" si="75"/>
        <v>Thursday</v>
      </c>
      <c r="P806">
        <f t="shared" si="72"/>
        <v>10</v>
      </c>
      <c r="Q806" s="2">
        <f t="shared" si="76"/>
        <v>4</v>
      </c>
      <c r="R806" s="2">
        <f t="shared" si="77"/>
        <v>2</v>
      </c>
      <c r="S806">
        <f>SUMIF(Table1[product_category],"Bakery",Table1[Total_bill])</f>
        <v>2951.25</v>
      </c>
    </row>
    <row r="807" spans="1:19" x14ac:dyDescent="0.3">
      <c r="A807" s="2">
        <v>10806</v>
      </c>
      <c r="B807" s="4">
        <v>46437</v>
      </c>
      <c r="C807" t="s">
        <v>958</v>
      </c>
      <c r="D807" t="s">
        <v>18</v>
      </c>
      <c r="E807" t="s">
        <v>19</v>
      </c>
      <c r="F807" t="s">
        <v>46</v>
      </c>
      <c r="G807">
        <v>2</v>
      </c>
      <c r="H807" s="5">
        <v>3</v>
      </c>
      <c r="I807" t="s">
        <v>32</v>
      </c>
      <c r="J807" t="s">
        <v>226</v>
      </c>
      <c r="K807" t="s">
        <v>227</v>
      </c>
      <c r="L807" t="s">
        <v>2124</v>
      </c>
      <c r="M807" s="5">
        <f t="shared" si="73"/>
        <v>6</v>
      </c>
      <c r="N807" t="str">
        <f t="shared" si="74"/>
        <v>February</v>
      </c>
      <c r="O807" t="str">
        <f t="shared" si="75"/>
        <v>Friday</v>
      </c>
      <c r="P807">
        <f t="shared" si="72"/>
        <v>15</v>
      </c>
      <c r="Q807" s="2">
        <f t="shared" si="76"/>
        <v>5</v>
      </c>
      <c r="R807" s="2">
        <f t="shared" si="77"/>
        <v>2</v>
      </c>
      <c r="S807">
        <f>SUMIF(Table1[product_category],"Bakery",Table1[Total_bill])</f>
        <v>2951.25</v>
      </c>
    </row>
    <row r="808" spans="1:19" x14ac:dyDescent="0.3">
      <c r="A808" s="2">
        <v>10807</v>
      </c>
      <c r="B808" s="4">
        <v>46438</v>
      </c>
      <c r="C808" t="s">
        <v>959</v>
      </c>
      <c r="D808" t="s">
        <v>18</v>
      </c>
      <c r="E808" t="s">
        <v>19</v>
      </c>
      <c r="F808" t="s">
        <v>50</v>
      </c>
      <c r="G808">
        <v>3</v>
      </c>
      <c r="H808" s="5">
        <v>5</v>
      </c>
      <c r="I808" t="s">
        <v>89</v>
      </c>
      <c r="J808" t="s">
        <v>90</v>
      </c>
      <c r="K808" t="s">
        <v>91</v>
      </c>
      <c r="L808" t="s">
        <v>2123</v>
      </c>
      <c r="M808" s="5">
        <f t="shared" si="73"/>
        <v>15</v>
      </c>
      <c r="N808" t="str">
        <f t="shared" si="74"/>
        <v>February</v>
      </c>
      <c r="O808" t="str">
        <f t="shared" si="75"/>
        <v>Saturday</v>
      </c>
      <c r="P808">
        <f t="shared" si="72"/>
        <v>19</v>
      </c>
      <c r="Q808" s="2">
        <f t="shared" si="76"/>
        <v>6</v>
      </c>
      <c r="R808" s="2">
        <f t="shared" si="77"/>
        <v>2</v>
      </c>
      <c r="S808">
        <f>SUMIF(Table1[product_category],"Bakery",Table1[Total_bill])</f>
        <v>2951.25</v>
      </c>
    </row>
    <row r="809" spans="1:19" x14ac:dyDescent="0.3">
      <c r="A809" s="2">
        <v>10808</v>
      </c>
      <c r="B809" s="4">
        <v>46439</v>
      </c>
      <c r="C809" t="s">
        <v>960</v>
      </c>
      <c r="D809" t="s">
        <v>18</v>
      </c>
      <c r="E809" t="s">
        <v>19</v>
      </c>
      <c r="F809" t="s">
        <v>54</v>
      </c>
      <c r="G809">
        <v>1</v>
      </c>
      <c r="H809" s="5">
        <v>2.25</v>
      </c>
      <c r="I809" t="s">
        <v>21</v>
      </c>
      <c r="J809" t="s">
        <v>58</v>
      </c>
      <c r="K809" t="s">
        <v>59</v>
      </c>
      <c r="L809" t="s">
        <v>2125</v>
      </c>
      <c r="M809" s="5">
        <f t="shared" si="73"/>
        <v>2.25</v>
      </c>
      <c r="N809" t="str">
        <f t="shared" si="74"/>
        <v>February</v>
      </c>
      <c r="O809" t="str">
        <f t="shared" si="75"/>
        <v>Sunday</v>
      </c>
      <c r="P809">
        <f t="shared" si="72"/>
        <v>18</v>
      </c>
      <c r="Q809" s="2">
        <f t="shared" si="76"/>
        <v>7</v>
      </c>
      <c r="R809" s="2">
        <f t="shared" si="77"/>
        <v>2</v>
      </c>
      <c r="S809">
        <f>SUMIF(Table1[product_category],"Bakery",Table1[Total_bill])</f>
        <v>2951.25</v>
      </c>
    </row>
    <row r="810" spans="1:19" x14ac:dyDescent="0.3">
      <c r="A810" s="2">
        <v>10809</v>
      </c>
      <c r="B810" s="4">
        <v>46440</v>
      </c>
      <c r="C810" t="s">
        <v>961</v>
      </c>
      <c r="D810" t="s">
        <v>25</v>
      </c>
      <c r="E810" t="s">
        <v>26</v>
      </c>
      <c r="F810" t="s">
        <v>57</v>
      </c>
      <c r="G810">
        <v>1</v>
      </c>
      <c r="H810" s="5">
        <v>3</v>
      </c>
      <c r="I810" t="s">
        <v>32</v>
      </c>
      <c r="J810" t="s">
        <v>55</v>
      </c>
      <c r="K810" t="s">
        <v>55</v>
      </c>
      <c r="L810" t="s">
        <v>2122</v>
      </c>
      <c r="M810" s="5">
        <f t="shared" si="73"/>
        <v>3</v>
      </c>
      <c r="N810" t="str">
        <f t="shared" si="74"/>
        <v>February</v>
      </c>
      <c r="O810" t="str">
        <f t="shared" si="75"/>
        <v>Monday</v>
      </c>
      <c r="P810">
        <f t="shared" si="72"/>
        <v>11</v>
      </c>
      <c r="Q810" s="2">
        <f t="shared" si="76"/>
        <v>1</v>
      </c>
      <c r="R810" s="2">
        <f t="shared" si="77"/>
        <v>2</v>
      </c>
      <c r="S810">
        <f>SUMIF(Table1[product_category],"Bakery",Table1[Total_bill])</f>
        <v>2951.25</v>
      </c>
    </row>
    <row r="811" spans="1:19" x14ac:dyDescent="0.3">
      <c r="A811" s="2">
        <v>10810</v>
      </c>
      <c r="B811" s="4">
        <v>46441</v>
      </c>
      <c r="C811" t="s">
        <v>962</v>
      </c>
      <c r="D811" t="s">
        <v>18</v>
      </c>
      <c r="E811" t="s">
        <v>19</v>
      </c>
      <c r="F811" t="s">
        <v>61</v>
      </c>
      <c r="G811">
        <v>1</v>
      </c>
      <c r="H811" s="5">
        <v>8</v>
      </c>
      <c r="I811" t="s">
        <v>28</v>
      </c>
      <c r="J811" t="s">
        <v>28</v>
      </c>
      <c r="K811" t="s">
        <v>76</v>
      </c>
      <c r="L811" t="s">
        <v>2125</v>
      </c>
      <c r="M811" s="5">
        <f t="shared" si="73"/>
        <v>8</v>
      </c>
      <c r="N811" t="str">
        <f t="shared" si="74"/>
        <v>February</v>
      </c>
      <c r="O811" t="str">
        <f t="shared" si="75"/>
        <v>Tuesday</v>
      </c>
      <c r="P811">
        <f t="shared" si="72"/>
        <v>7</v>
      </c>
      <c r="Q811" s="2">
        <f t="shared" si="76"/>
        <v>2</v>
      </c>
      <c r="R811" s="2">
        <f t="shared" si="77"/>
        <v>2</v>
      </c>
      <c r="S811">
        <f>SUMIF(Table1[product_category],"Bakery",Table1[Total_bill])</f>
        <v>2951.25</v>
      </c>
    </row>
    <row r="812" spans="1:19" x14ac:dyDescent="0.3">
      <c r="A812" s="2">
        <v>10811</v>
      </c>
      <c r="B812" s="4">
        <v>46442</v>
      </c>
      <c r="C812" t="s">
        <v>963</v>
      </c>
      <c r="D812" t="s">
        <v>18</v>
      </c>
      <c r="E812" t="s">
        <v>19</v>
      </c>
      <c r="F812" t="s">
        <v>64</v>
      </c>
      <c r="G812">
        <v>2</v>
      </c>
      <c r="H812" s="5">
        <v>3.5</v>
      </c>
      <c r="I812" t="s">
        <v>21</v>
      </c>
      <c r="J812" t="s">
        <v>51</v>
      </c>
      <c r="K812" t="s">
        <v>52</v>
      </c>
      <c r="L812" t="s">
        <v>2125</v>
      </c>
      <c r="M812" s="5">
        <f t="shared" si="73"/>
        <v>7</v>
      </c>
      <c r="N812" t="str">
        <f t="shared" si="74"/>
        <v>February</v>
      </c>
      <c r="O812" t="str">
        <f t="shared" si="75"/>
        <v>Wednesday</v>
      </c>
      <c r="P812">
        <f t="shared" si="72"/>
        <v>20</v>
      </c>
      <c r="Q812" s="2">
        <f t="shared" si="76"/>
        <v>3</v>
      </c>
      <c r="R812" s="2">
        <f t="shared" si="77"/>
        <v>2</v>
      </c>
      <c r="S812">
        <f>SUMIF(Table1[product_category],"Bakery",Table1[Total_bill])</f>
        <v>2951.25</v>
      </c>
    </row>
    <row r="813" spans="1:19" x14ac:dyDescent="0.3">
      <c r="A813" s="2">
        <v>10812</v>
      </c>
      <c r="B813" s="4">
        <v>46443</v>
      </c>
      <c r="C813" t="s">
        <v>964</v>
      </c>
      <c r="D813" t="s">
        <v>18</v>
      </c>
      <c r="E813" t="s">
        <v>19</v>
      </c>
      <c r="F813" t="s">
        <v>66</v>
      </c>
      <c r="G813">
        <v>2</v>
      </c>
      <c r="H813" s="5">
        <v>4.25</v>
      </c>
      <c r="I813" t="s">
        <v>32</v>
      </c>
      <c r="J813" t="s">
        <v>202</v>
      </c>
      <c r="K813" t="s">
        <v>202</v>
      </c>
      <c r="L813" t="s">
        <v>2124</v>
      </c>
      <c r="M813" s="5">
        <f t="shared" si="73"/>
        <v>8.5</v>
      </c>
      <c r="N813" t="str">
        <f t="shared" si="74"/>
        <v>February</v>
      </c>
      <c r="O813" t="str">
        <f t="shared" si="75"/>
        <v>Thursday</v>
      </c>
      <c r="P813">
        <f t="shared" si="72"/>
        <v>16</v>
      </c>
      <c r="Q813" s="2">
        <f t="shared" si="76"/>
        <v>4</v>
      </c>
      <c r="R813" s="2">
        <f t="shared" si="77"/>
        <v>2</v>
      </c>
      <c r="S813">
        <f>SUMIF(Table1[product_category],"Bakery",Table1[Total_bill])</f>
        <v>2951.25</v>
      </c>
    </row>
    <row r="814" spans="1:19" x14ac:dyDescent="0.3">
      <c r="A814" s="2">
        <v>10813</v>
      </c>
      <c r="B814" s="4">
        <v>46444</v>
      </c>
      <c r="C814" t="s">
        <v>965</v>
      </c>
      <c r="D814" t="s">
        <v>40</v>
      </c>
      <c r="E814" t="s">
        <v>41</v>
      </c>
      <c r="F814" t="s">
        <v>68</v>
      </c>
      <c r="G814">
        <v>2</v>
      </c>
      <c r="H814" s="5">
        <v>2.5</v>
      </c>
      <c r="I814" t="s">
        <v>36</v>
      </c>
      <c r="J814" t="s">
        <v>37</v>
      </c>
      <c r="K814" t="s">
        <v>38</v>
      </c>
      <c r="L814" t="s">
        <v>2122</v>
      </c>
      <c r="M814" s="5">
        <f t="shared" si="73"/>
        <v>5</v>
      </c>
      <c r="N814" t="str">
        <f t="shared" si="74"/>
        <v>February</v>
      </c>
      <c r="O814" t="str">
        <f t="shared" si="75"/>
        <v>Friday</v>
      </c>
      <c r="P814">
        <f t="shared" si="72"/>
        <v>7</v>
      </c>
      <c r="Q814" s="2">
        <f t="shared" si="76"/>
        <v>5</v>
      </c>
      <c r="R814" s="2">
        <f t="shared" si="77"/>
        <v>2</v>
      </c>
      <c r="S814">
        <f>SUMIF(Table1[product_category],"Bakery",Table1[Total_bill])</f>
        <v>2951.25</v>
      </c>
    </row>
    <row r="815" spans="1:19" x14ac:dyDescent="0.3">
      <c r="A815" s="2">
        <v>10814</v>
      </c>
      <c r="B815" s="4">
        <v>46445</v>
      </c>
      <c r="C815" t="s">
        <v>966</v>
      </c>
      <c r="D815" t="s">
        <v>25</v>
      </c>
      <c r="E815" t="s">
        <v>26</v>
      </c>
      <c r="F815" t="s">
        <v>71</v>
      </c>
      <c r="G815">
        <v>4</v>
      </c>
      <c r="H815" s="5">
        <v>8</v>
      </c>
      <c r="I815" t="s">
        <v>28</v>
      </c>
      <c r="J815" t="s">
        <v>28</v>
      </c>
      <c r="K815" t="s">
        <v>76</v>
      </c>
      <c r="L815" t="s">
        <v>2125</v>
      </c>
      <c r="M815" s="5">
        <f t="shared" si="73"/>
        <v>32</v>
      </c>
      <c r="N815" t="str">
        <f t="shared" si="74"/>
        <v>February</v>
      </c>
      <c r="O815" t="str">
        <f t="shared" si="75"/>
        <v>Saturday</v>
      </c>
      <c r="P815">
        <f t="shared" si="72"/>
        <v>18</v>
      </c>
      <c r="Q815" s="2">
        <f t="shared" si="76"/>
        <v>6</v>
      </c>
      <c r="R815" s="2">
        <f t="shared" si="77"/>
        <v>2</v>
      </c>
      <c r="S815">
        <f>SUMIF(Table1[product_category],"Bakery",Table1[Total_bill])</f>
        <v>2951.25</v>
      </c>
    </row>
    <row r="816" spans="1:19" x14ac:dyDescent="0.3">
      <c r="A816" s="2">
        <v>10815</v>
      </c>
      <c r="B816" s="4">
        <v>46446</v>
      </c>
      <c r="C816" t="s">
        <v>967</v>
      </c>
      <c r="D816" t="s">
        <v>40</v>
      </c>
      <c r="E816" t="s">
        <v>41</v>
      </c>
      <c r="F816" t="s">
        <v>75</v>
      </c>
      <c r="G816">
        <v>1</v>
      </c>
      <c r="H816" s="5">
        <v>4.25</v>
      </c>
      <c r="I816" t="s">
        <v>32</v>
      </c>
      <c r="J816" t="s">
        <v>69</v>
      </c>
      <c r="K816" t="s">
        <v>69</v>
      </c>
      <c r="L816" t="s">
        <v>2124</v>
      </c>
      <c r="M816" s="5">
        <f t="shared" si="73"/>
        <v>4.25</v>
      </c>
      <c r="N816" t="str">
        <f t="shared" si="74"/>
        <v>February</v>
      </c>
      <c r="O816" t="str">
        <f t="shared" si="75"/>
        <v>Sunday</v>
      </c>
      <c r="P816">
        <f t="shared" si="72"/>
        <v>17</v>
      </c>
      <c r="Q816" s="2">
        <f t="shared" si="76"/>
        <v>7</v>
      </c>
      <c r="R816" s="2">
        <f t="shared" si="77"/>
        <v>2</v>
      </c>
      <c r="S816">
        <f>SUMIF(Table1[product_category],"Bakery",Table1[Total_bill])</f>
        <v>2951.25</v>
      </c>
    </row>
    <row r="817" spans="1:19" x14ac:dyDescent="0.3">
      <c r="A817" s="2">
        <v>10816</v>
      </c>
      <c r="B817" s="4">
        <v>46447</v>
      </c>
      <c r="C817" t="s">
        <v>968</v>
      </c>
      <c r="D817" t="s">
        <v>40</v>
      </c>
      <c r="E817" t="s">
        <v>41</v>
      </c>
      <c r="F817" t="s">
        <v>78</v>
      </c>
      <c r="G817">
        <v>3</v>
      </c>
      <c r="H817" s="5">
        <v>2.5</v>
      </c>
      <c r="I817" t="s">
        <v>21</v>
      </c>
      <c r="J817" t="s">
        <v>47</v>
      </c>
      <c r="K817" t="s">
        <v>48</v>
      </c>
      <c r="L817" t="s">
        <v>2125</v>
      </c>
      <c r="M817" s="5">
        <f t="shared" si="73"/>
        <v>7.5</v>
      </c>
      <c r="N817" t="str">
        <f t="shared" si="74"/>
        <v>March</v>
      </c>
      <c r="O817" t="str">
        <f t="shared" si="75"/>
        <v>Monday</v>
      </c>
      <c r="P817">
        <f t="shared" si="72"/>
        <v>12</v>
      </c>
      <c r="Q817" s="2">
        <f t="shared" si="76"/>
        <v>1</v>
      </c>
      <c r="R817" s="2">
        <f t="shared" si="77"/>
        <v>3</v>
      </c>
      <c r="S817">
        <f>SUMIF(Table1[product_category],"Bakery",Table1[Total_bill])</f>
        <v>2951.25</v>
      </c>
    </row>
    <row r="818" spans="1:19" x14ac:dyDescent="0.3">
      <c r="A818" s="2">
        <v>10817</v>
      </c>
      <c r="B818" s="4">
        <v>46448</v>
      </c>
      <c r="C818" t="s">
        <v>969</v>
      </c>
      <c r="D818" t="s">
        <v>25</v>
      </c>
      <c r="E818" t="s">
        <v>26</v>
      </c>
      <c r="F818" t="s">
        <v>80</v>
      </c>
      <c r="G818">
        <v>1</v>
      </c>
      <c r="H818" s="5">
        <v>3.25</v>
      </c>
      <c r="I818" t="s">
        <v>32</v>
      </c>
      <c r="J818" t="s">
        <v>144</v>
      </c>
      <c r="K818" t="s">
        <v>144</v>
      </c>
      <c r="L818" t="s">
        <v>2124</v>
      </c>
      <c r="M818" s="5">
        <f t="shared" si="73"/>
        <v>3.25</v>
      </c>
      <c r="N818" t="str">
        <f t="shared" si="74"/>
        <v>March</v>
      </c>
      <c r="O818" t="str">
        <f t="shared" si="75"/>
        <v>Tuesday</v>
      </c>
      <c r="P818">
        <f t="shared" si="72"/>
        <v>13</v>
      </c>
      <c r="Q818" s="2">
        <f t="shared" si="76"/>
        <v>2</v>
      </c>
      <c r="R818" s="2">
        <f t="shared" si="77"/>
        <v>3</v>
      </c>
      <c r="S818">
        <f>SUMIF(Table1[product_category],"Bakery",Table1[Total_bill])</f>
        <v>2951.25</v>
      </c>
    </row>
    <row r="819" spans="1:19" x14ac:dyDescent="0.3">
      <c r="A819" s="2">
        <v>10818</v>
      </c>
      <c r="B819" s="4">
        <v>46449</v>
      </c>
      <c r="C819" t="s">
        <v>970</v>
      </c>
      <c r="D819" t="s">
        <v>40</v>
      </c>
      <c r="E819" t="s">
        <v>41</v>
      </c>
      <c r="F819" t="s">
        <v>84</v>
      </c>
      <c r="G819">
        <v>3</v>
      </c>
      <c r="H819" s="5">
        <v>2.5</v>
      </c>
      <c r="I819" t="s">
        <v>21</v>
      </c>
      <c r="J819" t="s">
        <v>47</v>
      </c>
      <c r="K819" t="s">
        <v>48</v>
      </c>
      <c r="L819" t="s">
        <v>2125</v>
      </c>
      <c r="M819" s="5">
        <f t="shared" si="73"/>
        <v>7.5</v>
      </c>
      <c r="N819" t="str">
        <f t="shared" si="74"/>
        <v>March</v>
      </c>
      <c r="O819" t="str">
        <f t="shared" si="75"/>
        <v>Wednesday</v>
      </c>
      <c r="P819">
        <f t="shared" si="72"/>
        <v>10</v>
      </c>
      <c r="Q819" s="2">
        <f t="shared" si="76"/>
        <v>3</v>
      </c>
      <c r="R819" s="2">
        <f t="shared" si="77"/>
        <v>3</v>
      </c>
      <c r="S819">
        <f>SUMIF(Table1[product_category],"Bakery",Table1[Total_bill])</f>
        <v>2951.25</v>
      </c>
    </row>
    <row r="820" spans="1:19" x14ac:dyDescent="0.3">
      <c r="A820" s="2">
        <v>10819</v>
      </c>
      <c r="B820" s="4">
        <v>46450</v>
      </c>
      <c r="C820" t="s">
        <v>971</v>
      </c>
      <c r="D820" t="s">
        <v>18</v>
      </c>
      <c r="E820" t="s">
        <v>19</v>
      </c>
      <c r="F820" t="s">
        <v>86</v>
      </c>
      <c r="G820">
        <v>3</v>
      </c>
      <c r="H820" s="5">
        <v>2.25</v>
      </c>
      <c r="I820" t="s">
        <v>21</v>
      </c>
      <c r="J820" t="s">
        <v>58</v>
      </c>
      <c r="K820" t="s">
        <v>59</v>
      </c>
      <c r="L820" t="s">
        <v>2125</v>
      </c>
      <c r="M820" s="5">
        <f t="shared" si="73"/>
        <v>6.75</v>
      </c>
      <c r="N820" t="str">
        <f t="shared" si="74"/>
        <v>March</v>
      </c>
      <c r="O820" t="str">
        <f t="shared" si="75"/>
        <v>Thursday</v>
      </c>
      <c r="P820">
        <f t="shared" si="72"/>
        <v>6</v>
      </c>
      <c r="Q820" s="2">
        <f t="shared" si="76"/>
        <v>4</v>
      </c>
      <c r="R820" s="2">
        <f t="shared" si="77"/>
        <v>3</v>
      </c>
      <c r="S820">
        <f>SUMIF(Table1[product_category],"Bakery",Table1[Total_bill])</f>
        <v>2951.25</v>
      </c>
    </row>
    <row r="821" spans="1:19" x14ac:dyDescent="0.3">
      <c r="A821" s="2">
        <v>10820</v>
      </c>
      <c r="B821" s="4">
        <v>46451</v>
      </c>
      <c r="C821" t="s">
        <v>972</v>
      </c>
      <c r="D821" t="s">
        <v>40</v>
      </c>
      <c r="E821" t="s">
        <v>41</v>
      </c>
      <c r="F821" t="s">
        <v>88</v>
      </c>
      <c r="G821">
        <v>4</v>
      </c>
      <c r="H821" s="5">
        <v>3</v>
      </c>
      <c r="I821" t="s">
        <v>36</v>
      </c>
      <c r="J821" t="s">
        <v>246</v>
      </c>
      <c r="K821" t="s">
        <v>247</v>
      </c>
      <c r="L821" t="s">
        <v>2124</v>
      </c>
      <c r="M821" s="5">
        <f t="shared" si="73"/>
        <v>12</v>
      </c>
      <c r="N821" t="str">
        <f t="shared" si="74"/>
        <v>March</v>
      </c>
      <c r="O821" t="str">
        <f t="shared" si="75"/>
        <v>Friday</v>
      </c>
      <c r="P821">
        <f t="shared" si="72"/>
        <v>9</v>
      </c>
      <c r="Q821" s="2">
        <f t="shared" si="76"/>
        <v>5</v>
      </c>
      <c r="R821" s="2">
        <f t="shared" si="77"/>
        <v>3</v>
      </c>
      <c r="S821">
        <f>SUMIF(Table1[product_category],"Bakery",Table1[Total_bill])</f>
        <v>2951.25</v>
      </c>
    </row>
    <row r="822" spans="1:19" x14ac:dyDescent="0.3">
      <c r="A822" s="2">
        <v>10821</v>
      </c>
      <c r="B822" s="4">
        <v>46452</v>
      </c>
      <c r="C822" t="s">
        <v>973</v>
      </c>
      <c r="D822" t="s">
        <v>25</v>
      </c>
      <c r="E822" t="s">
        <v>26</v>
      </c>
      <c r="F822" t="s">
        <v>93</v>
      </c>
      <c r="G822">
        <v>4</v>
      </c>
      <c r="H822" s="5">
        <v>2.5</v>
      </c>
      <c r="I822" t="s">
        <v>21</v>
      </c>
      <c r="J822" t="s">
        <v>47</v>
      </c>
      <c r="K822" t="s">
        <v>48</v>
      </c>
      <c r="L822" t="s">
        <v>2125</v>
      </c>
      <c r="M822" s="5">
        <f t="shared" si="73"/>
        <v>10</v>
      </c>
      <c r="N822" t="str">
        <f t="shared" si="74"/>
        <v>March</v>
      </c>
      <c r="O822" t="str">
        <f t="shared" si="75"/>
        <v>Saturday</v>
      </c>
      <c r="P822">
        <f t="shared" si="72"/>
        <v>16</v>
      </c>
      <c r="Q822" s="2">
        <f t="shared" si="76"/>
        <v>6</v>
      </c>
      <c r="R822" s="2">
        <f t="shared" si="77"/>
        <v>3</v>
      </c>
      <c r="S822">
        <f>SUMIF(Table1[product_category],"Bakery",Table1[Total_bill])</f>
        <v>2951.25</v>
      </c>
    </row>
    <row r="823" spans="1:19" x14ac:dyDescent="0.3">
      <c r="A823" s="2">
        <v>10822</v>
      </c>
      <c r="B823" s="4">
        <v>46453</v>
      </c>
      <c r="C823" t="s">
        <v>974</v>
      </c>
      <c r="D823" t="s">
        <v>40</v>
      </c>
      <c r="E823" t="s">
        <v>41</v>
      </c>
      <c r="F823" t="s">
        <v>97</v>
      </c>
      <c r="G823">
        <v>1</v>
      </c>
      <c r="H823" s="5">
        <v>6</v>
      </c>
      <c r="I823" t="s">
        <v>72</v>
      </c>
      <c r="J823" t="s">
        <v>72</v>
      </c>
      <c r="K823" t="s">
        <v>138</v>
      </c>
      <c r="L823" t="s">
        <v>2125</v>
      </c>
      <c r="M823" s="5">
        <f t="shared" si="73"/>
        <v>6</v>
      </c>
      <c r="N823" t="str">
        <f t="shared" si="74"/>
        <v>March</v>
      </c>
      <c r="O823" t="str">
        <f t="shared" si="75"/>
        <v>Sunday</v>
      </c>
      <c r="P823">
        <f t="shared" si="72"/>
        <v>6</v>
      </c>
      <c r="Q823" s="2">
        <f t="shared" si="76"/>
        <v>7</v>
      </c>
      <c r="R823" s="2">
        <f t="shared" si="77"/>
        <v>3</v>
      </c>
      <c r="S823">
        <f>SUMIF(Table1[product_category],"Bakery",Table1[Total_bill])</f>
        <v>2951.25</v>
      </c>
    </row>
    <row r="824" spans="1:19" x14ac:dyDescent="0.3">
      <c r="A824" s="2">
        <v>10823</v>
      </c>
      <c r="B824" s="4">
        <v>46454</v>
      </c>
      <c r="C824" t="s">
        <v>975</v>
      </c>
      <c r="D824" t="s">
        <v>25</v>
      </c>
      <c r="E824" t="s">
        <v>26</v>
      </c>
      <c r="F824" t="s">
        <v>100</v>
      </c>
      <c r="G824">
        <v>2</v>
      </c>
      <c r="H824" s="5">
        <v>2.75</v>
      </c>
      <c r="I824" t="s">
        <v>21</v>
      </c>
      <c r="J824" t="s">
        <v>22</v>
      </c>
      <c r="K824" t="s">
        <v>23</v>
      </c>
      <c r="L824" t="s">
        <v>2125</v>
      </c>
      <c r="M824" s="5">
        <f t="shared" si="73"/>
        <v>5.5</v>
      </c>
      <c r="N824" t="str">
        <f t="shared" si="74"/>
        <v>March</v>
      </c>
      <c r="O824" t="str">
        <f t="shared" si="75"/>
        <v>Monday</v>
      </c>
      <c r="P824">
        <f t="shared" si="72"/>
        <v>9</v>
      </c>
      <c r="Q824" s="2">
        <f t="shared" si="76"/>
        <v>1</v>
      </c>
      <c r="R824" s="2">
        <f t="shared" si="77"/>
        <v>3</v>
      </c>
      <c r="S824">
        <f>SUMIF(Table1[product_category],"Bakery",Table1[Total_bill])</f>
        <v>2951.25</v>
      </c>
    </row>
    <row r="825" spans="1:19" x14ac:dyDescent="0.3">
      <c r="A825" s="2">
        <v>10824</v>
      </c>
      <c r="B825" s="4">
        <v>46455</v>
      </c>
      <c r="C825" t="s">
        <v>976</v>
      </c>
      <c r="D825" t="s">
        <v>18</v>
      </c>
      <c r="E825" t="s">
        <v>19</v>
      </c>
      <c r="F825" t="s">
        <v>105</v>
      </c>
      <c r="G825">
        <v>1</v>
      </c>
      <c r="H825" s="5">
        <v>4.75</v>
      </c>
      <c r="I825" t="s">
        <v>32</v>
      </c>
      <c r="J825" t="s">
        <v>69</v>
      </c>
      <c r="K825" t="s">
        <v>69</v>
      </c>
      <c r="L825" t="s">
        <v>2123</v>
      </c>
      <c r="M825" s="5">
        <f t="shared" si="73"/>
        <v>4.75</v>
      </c>
      <c r="N825" t="str">
        <f t="shared" si="74"/>
        <v>March</v>
      </c>
      <c r="O825" t="str">
        <f t="shared" si="75"/>
        <v>Tuesday</v>
      </c>
      <c r="P825">
        <f t="shared" si="72"/>
        <v>10</v>
      </c>
      <c r="Q825" s="2">
        <f t="shared" si="76"/>
        <v>2</v>
      </c>
      <c r="R825" s="2">
        <f t="shared" si="77"/>
        <v>3</v>
      </c>
      <c r="S825">
        <f>SUMIF(Table1[product_category],"Bakery",Table1[Total_bill])</f>
        <v>2951.25</v>
      </c>
    </row>
    <row r="826" spans="1:19" x14ac:dyDescent="0.3">
      <c r="A826" s="2">
        <v>10825</v>
      </c>
      <c r="B826" s="4">
        <v>46456</v>
      </c>
      <c r="C826" t="s">
        <v>977</v>
      </c>
      <c r="D826" t="s">
        <v>18</v>
      </c>
      <c r="E826" t="s">
        <v>19</v>
      </c>
      <c r="F826" t="s">
        <v>107</v>
      </c>
      <c r="G826">
        <v>4</v>
      </c>
      <c r="H826" s="5">
        <v>3.5</v>
      </c>
      <c r="I826" t="s">
        <v>32</v>
      </c>
      <c r="J826" t="s">
        <v>226</v>
      </c>
      <c r="K826" t="s">
        <v>227</v>
      </c>
      <c r="L826" t="s">
        <v>2123</v>
      </c>
      <c r="M826" s="5">
        <f t="shared" si="73"/>
        <v>14</v>
      </c>
      <c r="N826" t="str">
        <f t="shared" si="74"/>
        <v>March</v>
      </c>
      <c r="O826" t="str">
        <f t="shared" si="75"/>
        <v>Wednesday</v>
      </c>
      <c r="P826">
        <f t="shared" si="72"/>
        <v>12</v>
      </c>
      <c r="Q826" s="2">
        <f t="shared" si="76"/>
        <v>3</v>
      </c>
      <c r="R826" s="2">
        <f t="shared" si="77"/>
        <v>3</v>
      </c>
      <c r="S826">
        <f>SUMIF(Table1[product_category],"Bakery",Table1[Total_bill])</f>
        <v>2951.25</v>
      </c>
    </row>
    <row r="827" spans="1:19" x14ac:dyDescent="0.3">
      <c r="A827" s="2">
        <v>10826</v>
      </c>
      <c r="B827" s="4">
        <v>46457</v>
      </c>
      <c r="C827" t="s">
        <v>978</v>
      </c>
      <c r="D827" t="s">
        <v>25</v>
      </c>
      <c r="E827" t="s">
        <v>26</v>
      </c>
      <c r="F827" t="s">
        <v>109</v>
      </c>
      <c r="G827">
        <v>3</v>
      </c>
      <c r="H827" s="5">
        <v>8</v>
      </c>
      <c r="I827" t="s">
        <v>28</v>
      </c>
      <c r="J827" t="s">
        <v>28</v>
      </c>
      <c r="K827" t="s">
        <v>76</v>
      </c>
      <c r="L827" t="s">
        <v>2125</v>
      </c>
      <c r="M827" s="5">
        <f t="shared" si="73"/>
        <v>24</v>
      </c>
      <c r="N827" t="str">
        <f t="shared" si="74"/>
        <v>March</v>
      </c>
      <c r="O827" t="str">
        <f t="shared" si="75"/>
        <v>Thursday</v>
      </c>
      <c r="P827">
        <f t="shared" si="72"/>
        <v>18</v>
      </c>
      <c r="Q827" s="2">
        <f t="shared" si="76"/>
        <v>4</v>
      </c>
      <c r="R827" s="2">
        <f t="shared" si="77"/>
        <v>3</v>
      </c>
      <c r="S827">
        <f>SUMIF(Table1[product_category],"Bakery",Table1[Total_bill])</f>
        <v>2951.25</v>
      </c>
    </row>
    <row r="828" spans="1:19" x14ac:dyDescent="0.3">
      <c r="A828" s="2">
        <v>10827</v>
      </c>
      <c r="B828" s="4">
        <v>46458</v>
      </c>
      <c r="C828" t="s">
        <v>979</v>
      </c>
      <c r="D828" t="s">
        <v>40</v>
      </c>
      <c r="E828" t="s">
        <v>41</v>
      </c>
      <c r="F828" t="s">
        <v>112</v>
      </c>
      <c r="G828">
        <v>4</v>
      </c>
      <c r="H828" s="5">
        <v>4.75</v>
      </c>
      <c r="I828" t="s">
        <v>32</v>
      </c>
      <c r="J828" t="s">
        <v>202</v>
      </c>
      <c r="K828" t="s">
        <v>202</v>
      </c>
      <c r="L828" t="s">
        <v>2123</v>
      </c>
      <c r="M828" s="5">
        <f t="shared" si="73"/>
        <v>19</v>
      </c>
      <c r="N828" t="str">
        <f t="shared" si="74"/>
        <v>March</v>
      </c>
      <c r="O828" t="str">
        <f t="shared" si="75"/>
        <v>Friday</v>
      </c>
      <c r="P828">
        <f t="shared" si="72"/>
        <v>9</v>
      </c>
      <c r="Q828" s="2">
        <f t="shared" si="76"/>
        <v>5</v>
      </c>
      <c r="R828" s="2">
        <f t="shared" si="77"/>
        <v>3</v>
      </c>
      <c r="S828">
        <f>SUMIF(Table1[product_category],"Bakery",Table1[Total_bill])</f>
        <v>2951.25</v>
      </c>
    </row>
    <row r="829" spans="1:19" x14ac:dyDescent="0.3">
      <c r="A829" s="2">
        <v>10828</v>
      </c>
      <c r="B829" s="4">
        <v>46459</v>
      </c>
      <c r="C829" t="s">
        <v>980</v>
      </c>
      <c r="D829" t="s">
        <v>18</v>
      </c>
      <c r="E829" t="s">
        <v>19</v>
      </c>
      <c r="F829" t="s">
        <v>115</v>
      </c>
      <c r="G829">
        <v>2</v>
      </c>
      <c r="H829" s="5">
        <v>3</v>
      </c>
      <c r="I829" t="s">
        <v>21</v>
      </c>
      <c r="J829" t="s">
        <v>181</v>
      </c>
      <c r="K829" t="s">
        <v>182</v>
      </c>
      <c r="L829" t="s">
        <v>2125</v>
      </c>
      <c r="M829" s="5">
        <f t="shared" si="73"/>
        <v>6</v>
      </c>
      <c r="N829" t="str">
        <f t="shared" si="74"/>
        <v>March</v>
      </c>
      <c r="O829" t="str">
        <f t="shared" si="75"/>
        <v>Saturday</v>
      </c>
      <c r="P829">
        <f t="shared" si="72"/>
        <v>9</v>
      </c>
      <c r="Q829" s="2">
        <f t="shared" si="76"/>
        <v>6</v>
      </c>
      <c r="R829" s="2">
        <f t="shared" si="77"/>
        <v>3</v>
      </c>
      <c r="S829">
        <f>SUMIF(Table1[product_category],"Bakery",Table1[Total_bill])</f>
        <v>2951.25</v>
      </c>
    </row>
    <row r="830" spans="1:19" x14ac:dyDescent="0.3">
      <c r="A830" s="2">
        <v>10829</v>
      </c>
      <c r="B830" s="4">
        <v>46460</v>
      </c>
      <c r="C830" t="s">
        <v>981</v>
      </c>
      <c r="D830" t="s">
        <v>25</v>
      </c>
      <c r="E830" t="s">
        <v>26</v>
      </c>
      <c r="F830" t="s">
        <v>117</v>
      </c>
      <c r="G830">
        <v>1</v>
      </c>
      <c r="H830" s="5">
        <v>4.5</v>
      </c>
      <c r="I830" t="s">
        <v>89</v>
      </c>
      <c r="J830" t="s">
        <v>90</v>
      </c>
      <c r="K830" t="s">
        <v>91</v>
      </c>
      <c r="L830" t="s">
        <v>2124</v>
      </c>
      <c r="M830" s="5">
        <f t="shared" si="73"/>
        <v>4.5</v>
      </c>
      <c r="N830" t="str">
        <f t="shared" si="74"/>
        <v>March</v>
      </c>
      <c r="O830" t="str">
        <f t="shared" si="75"/>
        <v>Sunday</v>
      </c>
      <c r="P830">
        <f t="shared" si="72"/>
        <v>15</v>
      </c>
      <c r="Q830" s="2">
        <f t="shared" si="76"/>
        <v>7</v>
      </c>
      <c r="R830" s="2">
        <f t="shared" si="77"/>
        <v>3</v>
      </c>
      <c r="S830">
        <f>SUMIF(Table1[product_category],"Bakery",Table1[Total_bill])</f>
        <v>2951.25</v>
      </c>
    </row>
    <row r="831" spans="1:19" x14ac:dyDescent="0.3">
      <c r="A831" s="2">
        <v>10830</v>
      </c>
      <c r="B831" s="4">
        <v>46461</v>
      </c>
      <c r="C831" t="s">
        <v>982</v>
      </c>
      <c r="D831" t="s">
        <v>18</v>
      </c>
      <c r="E831" t="s">
        <v>19</v>
      </c>
      <c r="F831" t="s">
        <v>119</v>
      </c>
      <c r="G831">
        <v>2</v>
      </c>
      <c r="H831" s="5">
        <v>4.25</v>
      </c>
      <c r="I831" t="s">
        <v>36</v>
      </c>
      <c r="J831" t="s">
        <v>211</v>
      </c>
      <c r="K831" t="s">
        <v>212</v>
      </c>
      <c r="L831" t="s">
        <v>2123</v>
      </c>
      <c r="M831" s="5">
        <f t="shared" si="73"/>
        <v>8.5</v>
      </c>
      <c r="N831" t="str">
        <f t="shared" si="74"/>
        <v>March</v>
      </c>
      <c r="O831" t="str">
        <f t="shared" si="75"/>
        <v>Monday</v>
      </c>
      <c r="P831">
        <f t="shared" si="72"/>
        <v>11</v>
      </c>
      <c r="Q831" s="2">
        <f t="shared" si="76"/>
        <v>1</v>
      </c>
      <c r="R831" s="2">
        <f t="shared" si="77"/>
        <v>3</v>
      </c>
      <c r="S831">
        <f>SUMIF(Table1[product_category],"Bakery",Table1[Total_bill])</f>
        <v>2951.25</v>
      </c>
    </row>
    <row r="832" spans="1:19" x14ac:dyDescent="0.3">
      <c r="A832" s="2">
        <v>10831</v>
      </c>
      <c r="B832" s="4">
        <v>46462</v>
      </c>
      <c r="C832" t="s">
        <v>983</v>
      </c>
      <c r="D832" t="s">
        <v>18</v>
      </c>
      <c r="E832" t="s">
        <v>19</v>
      </c>
      <c r="F832" t="s">
        <v>121</v>
      </c>
      <c r="G832">
        <v>3</v>
      </c>
      <c r="H832" s="5">
        <v>4.75</v>
      </c>
      <c r="I832" t="s">
        <v>32</v>
      </c>
      <c r="J832" t="s">
        <v>202</v>
      </c>
      <c r="K832" t="s">
        <v>202</v>
      </c>
      <c r="L832" t="s">
        <v>2123</v>
      </c>
      <c r="M832" s="5">
        <f t="shared" si="73"/>
        <v>14.25</v>
      </c>
      <c r="N832" t="str">
        <f t="shared" si="74"/>
        <v>March</v>
      </c>
      <c r="O832" t="str">
        <f t="shared" si="75"/>
        <v>Tuesday</v>
      </c>
      <c r="P832">
        <f t="shared" si="72"/>
        <v>8</v>
      </c>
      <c r="Q832" s="2">
        <f t="shared" si="76"/>
        <v>2</v>
      </c>
      <c r="R832" s="2">
        <f t="shared" si="77"/>
        <v>3</v>
      </c>
      <c r="S832">
        <f>SUMIF(Table1[product_category],"Bakery",Table1[Total_bill])</f>
        <v>2951.25</v>
      </c>
    </row>
    <row r="833" spans="1:19" x14ac:dyDescent="0.3">
      <c r="A833" s="2">
        <v>10832</v>
      </c>
      <c r="B833" s="4">
        <v>46463</v>
      </c>
      <c r="C833" t="s">
        <v>984</v>
      </c>
      <c r="D833" t="s">
        <v>40</v>
      </c>
      <c r="E833" t="s">
        <v>41</v>
      </c>
      <c r="F833" t="s">
        <v>124</v>
      </c>
      <c r="G833">
        <v>3</v>
      </c>
      <c r="H833" s="5">
        <v>2.5</v>
      </c>
      <c r="I833" t="s">
        <v>36</v>
      </c>
      <c r="J833" t="s">
        <v>37</v>
      </c>
      <c r="K833" t="s">
        <v>62</v>
      </c>
      <c r="L833" t="s">
        <v>2122</v>
      </c>
      <c r="M833" s="5">
        <f t="shared" si="73"/>
        <v>7.5</v>
      </c>
      <c r="N833" t="str">
        <f t="shared" si="74"/>
        <v>March</v>
      </c>
      <c r="O833" t="str">
        <f t="shared" si="75"/>
        <v>Wednesday</v>
      </c>
      <c r="P833">
        <f t="shared" si="72"/>
        <v>11</v>
      </c>
      <c r="Q833" s="2">
        <f t="shared" si="76"/>
        <v>3</v>
      </c>
      <c r="R833" s="2">
        <f t="shared" si="77"/>
        <v>3</v>
      </c>
      <c r="S833">
        <f>SUMIF(Table1[product_category],"Bakery",Table1[Total_bill])</f>
        <v>2951.25</v>
      </c>
    </row>
    <row r="834" spans="1:19" x14ac:dyDescent="0.3">
      <c r="A834" s="2">
        <v>10833</v>
      </c>
      <c r="B834" s="4">
        <v>46464</v>
      </c>
      <c r="C834" t="s">
        <v>985</v>
      </c>
      <c r="D834" t="s">
        <v>18</v>
      </c>
      <c r="E834" t="s">
        <v>19</v>
      </c>
      <c r="F834" t="s">
        <v>126</v>
      </c>
      <c r="G834">
        <v>3</v>
      </c>
      <c r="H834" s="5">
        <v>3.5</v>
      </c>
      <c r="I834" t="s">
        <v>36</v>
      </c>
      <c r="J834" t="s">
        <v>37</v>
      </c>
      <c r="K834" t="s">
        <v>276</v>
      </c>
      <c r="L834" t="s">
        <v>2123</v>
      </c>
      <c r="M834" s="5">
        <f t="shared" si="73"/>
        <v>10.5</v>
      </c>
      <c r="N834" t="str">
        <f t="shared" si="74"/>
        <v>March</v>
      </c>
      <c r="O834" t="str">
        <f t="shared" si="75"/>
        <v>Thursday</v>
      </c>
      <c r="P834">
        <f t="shared" ref="P834:P897" si="78">HOUR(TIMEVALUE(C834))</f>
        <v>7</v>
      </c>
      <c r="Q834" s="2">
        <f t="shared" si="76"/>
        <v>4</v>
      </c>
      <c r="R834" s="2">
        <f t="shared" si="77"/>
        <v>3</v>
      </c>
      <c r="S834">
        <f>SUMIF(Table1[product_category],"Bakery",Table1[Total_bill])</f>
        <v>2951.25</v>
      </c>
    </row>
    <row r="835" spans="1:19" x14ac:dyDescent="0.3">
      <c r="A835" s="2">
        <v>10834</v>
      </c>
      <c r="B835" s="4">
        <v>46465</v>
      </c>
      <c r="C835" t="s">
        <v>986</v>
      </c>
      <c r="D835" t="s">
        <v>40</v>
      </c>
      <c r="E835" t="s">
        <v>41</v>
      </c>
      <c r="F835" t="s">
        <v>128</v>
      </c>
      <c r="G835">
        <v>3</v>
      </c>
      <c r="H835" s="5">
        <v>2.75</v>
      </c>
      <c r="I835" t="s">
        <v>32</v>
      </c>
      <c r="J835" t="s">
        <v>226</v>
      </c>
      <c r="K835" t="s">
        <v>273</v>
      </c>
      <c r="L835" t="s">
        <v>2122</v>
      </c>
      <c r="M835" s="5">
        <f t="shared" ref="M835:M898" si="79">G835*H835</f>
        <v>8.25</v>
      </c>
      <c r="N835" t="str">
        <f t="shared" ref="N835:N898" si="80">TEXT(B835,"mmmm")</f>
        <v>March</v>
      </c>
      <c r="O835" t="str">
        <f t="shared" ref="O835:O898" si="81">TEXT(B835,"dddd")</f>
        <v>Friday</v>
      </c>
      <c r="P835">
        <f t="shared" si="78"/>
        <v>8</v>
      </c>
      <c r="Q835" s="2">
        <f t="shared" ref="Q835:Q898" si="82">WEEKDAY(B835,2)</f>
        <v>5</v>
      </c>
      <c r="R835" s="2">
        <f t="shared" ref="R835:R898" si="83">MONTH(B835)</f>
        <v>3</v>
      </c>
      <c r="S835">
        <f>SUMIF(Table1[product_category],"Bakery",Table1[Total_bill])</f>
        <v>2951.25</v>
      </c>
    </row>
    <row r="836" spans="1:19" x14ac:dyDescent="0.3">
      <c r="A836" s="2">
        <v>10835</v>
      </c>
      <c r="B836" s="4">
        <v>46466</v>
      </c>
      <c r="C836" t="s">
        <v>987</v>
      </c>
      <c r="D836" t="s">
        <v>18</v>
      </c>
      <c r="E836" t="s">
        <v>19</v>
      </c>
      <c r="F836" t="s">
        <v>131</v>
      </c>
      <c r="G836">
        <v>3</v>
      </c>
      <c r="H836" s="5">
        <v>2.75</v>
      </c>
      <c r="I836" t="s">
        <v>21</v>
      </c>
      <c r="J836" t="s">
        <v>22</v>
      </c>
      <c r="K836" t="s">
        <v>23</v>
      </c>
      <c r="L836" t="s">
        <v>2125</v>
      </c>
      <c r="M836" s="5">
        <f t="shared" si="79"/>
        <v>8.25</v>
      </c>
      <c r="N836" t="str">
        <f t="shared" si="80"/>
        <v>March</v>
      </c>
      <c r="O836" t="str">
        <f t="shared" si="81"/>
        <v>Saturday</v>
      </c>
      <c r="P836">
        <f t="shared" si="78"/>
        <v>11</v>
      </c>
      <c r="Q836" s="2">
        <f t="shared" si="82"/>
        <v>6</v>
      </c>
      <c r="R836" s="2">
        <f t="shared" si="83"/>
        <v>3</v>
      </c>
      <c r="S836">
        <f>SUMIF(Table1[product_category],"Bakery",Table1[Total_bill])</f>
        <v>2951.25</v>
      </c>
    </row>
    <row r="837" spans="1:19" x14ac:dyDescent="0.3">
      <c r="A837" s="2">
        <v>10836</v>
      </c>
      <c r="B837" s="4">
        <v>46467</v>
      </c>
      <c r="C837" t="s">
        <v>988</v>
      </c>
      <c r="D837" t="s">
        <v>25</v>
      </c>
      <c r="E837" t="s">
        <v>26</v>
      </c>
      <c r="F837" t="s">
        <v>133</v>
      </c>
      <c r="G837">
        <v>4</v>
      </c>
      <c r="H837" s="5">
        <v>4.5</v>
      </c>
      <c r="I837" t="s">
        <v>89</v>
      </c>
      <c r="J837" t="s">
        <v>261</v>
      </c>
      <c r="K837" t="s">
        <v>261</v>
      </c>
      <c r="L837" t="s">
        <v>2123</v>
      </c>
      <c r="M837" s="5">
        <f t="shared" si="79"/>
        <v>18</v>
      </c>
      <c r="N837" t="str">
        <f t="shared" si="80"/>
        <v>March</v>
      </c>
      <c r="O837" t="str">
        <f t="shared" si="81"/>
        <v>Sunday</v>
      </c>
      <c r="P837">
        <f t="shared" si="78"/>
        <v>10</v>
      </c>
      <c r="Q837" s="2">
        <f t="shared" si="82"/>
        <v>7</v>
      </c>
      <c r="R837" s="2">
        <f t="shared" si="83"/>
        <v>3</v>
      </c>
      <c r="S837">
        <f>SUMIF(Table1[product_category],"Bakery",Table1[Total_bill])</f>
        <v>2951.25</v>
      </c>
    </row>
    <row r="838" spans="1:19" x14ac:dyDescent="0.3">
      <c r="A838" s="2">
        <v>10837</v>
      </c>
      <c r="B838" s="4">
        <v>46468</v>
      </c>
      <c r="C838" t="s">
        <v>989</v>
      </c>
      <c r="D838" t="s">
        <v>25</v>
      </c>
      <c r="E838" t="s">
        <v>26</v>
      </c>
      <c r="F838" t="s">
        <v>135</v>
      </c>
      <c r="G838">
        <v>3</v>
      </c>
      <c r="H838" s="5">
        <v>24</v>
      </c>
      <c r="I838" t="s">
        <v>101</v>
      </c>
      <c r="J838" t="s">
        <v>102</v>
      </c>
      <c r="K838" t="s">
        <v>103</v>
      </c>
      <c r="L838" t="s">
        <v>2125</v>
      </c>
      <c r="M838" s="5">
        <f t="shared" si="79"/>
        <v>72</v>
      </c>
      <c r="N838" t="str">
        <f t="shared" si="80"/>
        <v>March</v>
      </c>
      <c r="O838" t="str">
        <f t="shared" si="81"/>
        <v>Monday</v>
      </c>
      <c r="P838">
        <f t="shared" si="78"/>
        <v>18</v>
      </c>
      <c r="Q838" s="2">
        <f t="shared" si="82"/>
        <v>1</v>
      </c>
      <c r="R838" s="2">
        <f t="shared" si="83"/>
        <v>3</v>
      </c>
      <c r="S838">
        <f>SUMIF(Table1[product_category],"Bakery",Table1[Total_bill])</f>
        <v>2951.25</v>
      </c>
    </row>
    <row r="839" spans="1:19" x14ac:dyDescent="0.3">
      <c r="A839" s="2">
        <v>10838</v>
      </c>
      <c r="B839" s="4">
        <v>46469</v>
      </c>
      <c r="C839" t="s">
        <v>990</v>
      </c>
      <c r="D839" t="s">
        <v>18</v>
      </c>
      <c r="E839" t="s">
        <v>19</v>
      </c>
      <c r="F839" t="s">
        <v>137</v>
      </c>
      <c r="G839">
        <v>3</v>
      </c>
      <c r="H839" s="5">
        <v>4.5</v>
      </c>
      <c r="I839" t="s">
        <v>89</v>
      </c>
      <c r="J839" t="s">
        <v>90</v>
      </c>
      <c r="K839" t="s">
        <v>91</v>
      </c>
      <c r="L839" t="s">
        <v>2124</v>
      </c>
      <c r="M839" s="5">
        <f t="shared" si="79"/>
        <v>13.5</v>
      </c>
      <c r="N839" t="str">
        <f t="shared" si="80"/>
        <v>March</v>
      </c>
      <c r="O839" t="str">
        <f t="shared" si="81"/>
        <v>Tuesday</v>
      </c>
      <c r="P839">
        <f t="shared" si="78"/>
        <v>10</v>
      </c>
      <c r="Q839" s="2">
        <f t="shared" si="82"/>
        <v>2</v>
      </c>
      <c r="R839" s="2">
        <f t="shared" si="83"/>
        <v>3</v>
      </c>
      <c r="S839">
        <f>SUMIF(Table1[product_category],"Bakery",Table1[Total_bill])</f>
        <v>2951.25</v>
      </c>
    </row>
    <row r="840" spans="1:19" x14ac:dyDescent="0.3">
      <c r="A840" s="2">
        <v>10839</v>
      </c>
      <c r="B840" s="4">
        <v>46470</v>
      </c>
      <c r="C840" t="s">
        <v>991</v>
      </c>
      <c r="D840" t="s">
        <v>18</v>
      </c>
      <c r="E840" t="s">
        <v>19</v>
      </c>
      <c r="F840" t="s">
        <v>140</v>
      </c>
      <c r="G840">
        <v>2</v>
      </c>
      <c r="H840" s="5">
        <v>2.75</v>
      </c>
      <c r="I840" t="s">
        <v>32</v>
      </c>
      <c r="J840" t="s">
        <v>43</v>
      </c>
      <c r="K840" t="s">
        <v>44</v>
      </c>
      <c r="L840" t="s">
        <v>2123</v>
      </c>
      <c r="M840" s="5">
        <f t="shared" si="79"/>
        <v>5.5</v>
      </c>
      <c r="N840" t="str">
        <f t="shared" si="80"/>
        <v>March</v>
      </c>
      <c r="O840" t="str">
        <f t="shared" si="81"/>
        <v>Wednesday</v>
      </c>
      <c r="P840">
        <f t="shared" si="78"/>
        <v>13</v>
      </c>
      <c r="Q840" s="2">
        <f t="shared" si="82"/>
        <v>3</v>
      </c>
      <c r="R840" s="2">
        <f t="shared" si="83"/>
        <v>3</v>
      </c>
      <c r="S840">
        <f>SUMIF(Table1[product_category],"Bakery",Table1[Total_bill])</f>
        <v>2951.25</v>
      </c>
    </row>
    <row r="841" spans="1:19" x14ac:dyDescent="0.3">
      <c r="A841" s="2">
        <v>10840</v>
      </c>
      <c r="B841" s="4">
        <v>46471</v>
      </c>
      <c r="C841" t="s">
        <v>992</v>
      </c>
      <c r="D841" t="s">
        <v>25</v>
      </c>
      <c r="E841" t="s">
        <v>26</v>
      </c>
      <c r="F841" t="s">
        <v>143</v>
      </c>
      <c r="G841">
        <v>3</v>
      </c>
      <c r="H841" s="5">
        <v>14</v>
      </c>
      <c r="I841" t="s">
        <v>101</v>
      </c>
      <c r="J841" t="s">
        <v>102</v>
      </c>
      <c r="K841" t="s">
        <v>193</v>
      </c>
      <c r="L841" t="s">
        <v>2125</v>
      </c>
      <c r="M841" s="5">
        <f t="shared" si="79"/>
        <v>42</v>
      </c>
      <c r="N841" t="str">
        <f t="shared" si="80"/>
        <v>March</v>
      </c>
      <c r="O841" t="str">
        <f t="shared" si="81"/>
        <v>Thursday</v>
      </c>
      <c r="P841">
        <f t="shared" si="78"/>
        <v>13</v>
      </c>
      <c r="Q841" s="2">
        <f t="shared" si="82"/>
        <v>4</v>
      </c>
      <c r="R841" s="2">
        <f t="shared" si="83"/>
        <v>3</v>
      </c>
      <c r="S841">
        <f>SUMIF(Table1[product_category],"Bakery",Table1[Total_bill])</f>
        <v>2951.25</v>
      </c>
    </row>
    <row r="842" spans="1:19" x14ac:dyDescent="0.3">
      <c r="A842" s="2">
        <v>10841</v>
      </c>
      <c r="B842" s="4">
        <v>46472</v>
      </c>
      <c r="C842" t="s">
        <v>993</v>
      </c>
      <c r="D842" t="s">
        <v>25</v>
      </c>
      <c r="E842" t="s">
        <v>26</v>
      </c>
      <c r="F842" t="s">
        <v>146</v>
      </c>
      <c r="G842">
        <v>1</v>
      </c>
      <c r="H842" s="5">
        <v>2.25</v>
      </c>
      <c r="I842" t="s">
        <v>21</v>
      </c>
      <c r="J842" t="s">
        <v>58</v>
      </c>
      <c r="K842" t="s">
        <v>59</v>
      </c>
      <c r="L842" t="s">
        <v>2125</v>
      </c>
      <c r="M842" s="5">
        <f t="shared" si="79"/>
        <v>2.25</v>
      </c>
      <c r="N842" t="str">
        <f t="shared" si="80"/>
        <v>March</v>
      </c>
      <c r="O842" t="str">
        <f t="shared" si="81"/>
        <v>Friday</v>
      </c>
      <c r="P842">
        <f t="shared" si="78"/>
        <v>6</v>
      </c>
      <c r="Q842" s="2">
        <f t="shared" si="82"/>
        <v>5</v>
      </c>
      <c r="R842" s="2">
        <f t="shared" si="83"/>
        <v>3</v>
      </c>
      <c r="S842">
        <f>SUMIF(Table1[product_category],"Bakery",Table1[Total_bill])</f>
        <v>2951.25</v>
      </c>
    </row>
    <row r="843" spans="1:19" x14ac:dyDescent="0.3">
      <c r="A843" s="2">
        <v>10842</v>
      </c>
      <c r="B843" s="4">
        <v>46473</v>
      </c>
      <c r="C843" t="s">
        <v>994</v>
      </c>
      <c r="D843" t="s">
        <v>40</v>
      </c>
      <c r="E843" t="s">
        <v>41</v>
      </c>
      <c r="F843" t="s">
        <v>148</v>
      </c>
      <c r="G843">
        <v>4</v>
      </c>
      <c r="H843" s="5">
        <v>3.5</v>
      </c>
      <c r="I843" t="s">
        <v>32</v>
      </c>
      <c r="J843" t="s">
        <v>55</v>
      </c>
      <c r="K843" t="s">
        <v>55</v>
      </c>
      <c r="L843" t="s">
        <v>2124</v>
      </c>
      <c r="M843" s="5">
        <f t="shared" si="79"/>
        <v>14</v>
      </c>
      <c r="N843" t="str">
        <f t="shared" si="80"/>
        <v>March</v>
      </c>
      <c r="O843" t="str">
        <f t="shared" si="81"/>
        <v>Saturday</v>
      </c>
      <c r="P843">
        <f t="shared" si="78"/>
        <v>14</v>
      </c>
      <c r="Q843" s="2">
        <f t="shared" si="82"/>
        <v>6</v>
      </c>
      <c r="R843" s="2">
        <f t="shared" si="83"/>
        <v>3</v>
      </c>
      <c r="S843">
        <f>SUMIF(Table1[product_category],"Bakery",Table1[Total_bill])</f>
        <v>2951.25</v>
      </c>
    </row>
    <row r="844" spans="1:19" x14ac:dyDescent="0.3">
      <c r="A844" s="2">
        <v>10843</v>
      </c>
      <c r="B844" s="4">
        <v>46474</v>
      </c>
      <c r="C844" t="s">
        <v>995</v>
      </c>
      <c r="D844" t="s">
        <v>25</v>
      </c>
      <c r="E844" t="s">
        <v>26</v>
      </c>
      <c r="F844" t="s">
        <v>150</v>
      </c>
      <c r="G844">
        <v>1</v>
      </c>
      <c r="H844" s="5">
        <v>11</v>
      </c>
      <c r="I844" t="s">
        <v>98</v>
      </c>
      <c r="J844" t="s">
        <v>98</v>
      </c>
      <c r="K844" t="s">
        <v>215</v>
      </c>
      <c r="L844" t="s">
        <v>2125</v>
      </c>
      <c r="M844" s="5">
        <f t="shared" si="79"/>
        <v>11</v>
      </c>
      <c r="N844" t="str">
        <f t="shared" si="80"/>
        <v>March</v>
      </c>
      <c r="O844" t="str">
        <f t="shared" si="81"/>
        <v>Sunday</v>
      </c>
      <c r="P844">
        <f t="shared" si="78"/>
        <v>8</v>
      </c>
      <c r="Q844" s="2">
        <f t="shared" si="82"/>
        <v>7</v>
      </c>
      <c r="R844" s="2">
        <f t="shared" si="83"/>
        <v>3</v>
      </c>
      <c r="S844">
        <f>SUMIF(Table1[product_category],"Bakery",Table1[Total_bill])</f>
        <v>2951.25</v>
      </c>
    </row>
    <row r="845" spans="1:19" x14ac:dyDescent="0.3">
      <c r="A845" s="2">
        <v>10844</v>
      </c>
      <c r="B845" s="4">
        <v>46475</v>
      </c>
      <c r="C845" t="s">
        <v>996</v>
      </c>
      <c r="D845" t="s">
        <v>18</v>
      </c>
      <c r="E845" t="s">
        <v>19</v>
      </c>
      <c r="F845" t="s">
        <v>152</v>
      </c>
      <c r="G845">
        <v>1</v>
      </c>
      <c r="H845" s="5">
        <v>3.25</v>
      </c>
      <c r="I845" t="s">
        <v>36</v>
      </c>
      <c r="J845" t="s">
        <v>211</v>
      </c>
      <c r="K845" t="s">
        <v>212</v>
      </c>
      <c r="L845" t="s">
        <v>2122</v>
      </c>
      <c r="M845" s="5">
        <f t="shared" si="79"/>
        <v>3.25</v>
      </c>
      <c r="N845" t="str">
        <f t="shared" si="80"/>
        <v>March</v>
      </c>
      <c r="O845" t="str">
        <f t="shared" si="81"/>
        <v>Monday</v>
      </c>
      <c r="P845">
        <f t="shared" si="78"/>
        <v>20</v>
      </c>
      <c r="Q845" s="2">
        <f t="shared" si="82"/>
        <v>1</v>
      </c>
      <c r="R845" s="2">
        <f t="shared" si="83"/>
        <v>3</v>
      </c>
      <c r="S845">
        <f>SUMIF(Table1[product_category],"Bakery",Table1[Total_bill])</f>
        <v>2951.25</v>
      </c>
    </row>
    <row r="846" spans="1:19" x14ac:dyDescent="0.3">
      <c r="A846" s="2">
        <v>10845</v>
      </c>
      <c r="B846" s="4">
        <v>46476</v>
      </c>
      <c r="C846" t="s">
        <v>997</v>
      </c>
      <c r="D846" t="s">
        <v>25</v>
      </c>
      <c r="E846" t="s">
        <v>26</v>
      </c>
      <c r="F846" t="s">
        <v>154</v>
      </c>
      <c r="G846">
        <v>4</v>
      </c>
      <c r="H846" s="5">
        <v>4</v>
      </c>
      <c r="I846" t="s">
        <v>36</v>
      </c>
      <c r="J846" t="s">
        <v>110</v>
      </c>
      <c r="K846" t="s">
        <v>110</v>
      </c>
      <c r="L846" t="s">
        <v>2122</v>
      </c>
      <c r="M846" s="5">
        <f t="shared" si="79"/>
        <v>16</v>
      </c>
      <c r="N846" t="str">
        <f t="shared" si="80"/>
        <v>March</v>
      </c>
      <c r="O846" t="str">
        <f t="shared" si="81"/>
        <v>Tuesday</v>
      </c>
      <c r="P846">
        <f t="shared" si="78"/>
        <v>7</v>
      </c>
      <c r="Q846" s="2">
        <f t="shared" si="82"/>
        <v>2</v>
      </c>
      <c r="R846" s="2">
        <f t="shared" si="83"/>
        <v>3</v>
      </c>
      <c r="S846">
        <f>SUMIF(Table1[product_category],"Bakery",Table1[Total_bill])</f>
        <v>2951.25</v>
      </c>
    </row>
    <row r="847" spans="1:19" x14ac:dyDescent="0.3">
      <c r="A847" s="2">
        <v>10846</v>
      </c>
      <c r="B847" s="4">
        <v>46477</v>
      </c>
      <c r="C847" t="s">
        <v>998</v>
      </c>
      <c r="D847" t="s">
        <v>25</v>
      </c>
      <c r="E847" t="s">
        <v>26</v>
      </c>
      <c r="F847" t="s">
        <v>156</v>
      </c>
      <c r="G847">
        <v>1</v>
      </c>
      <c r="H847" s="5">
        <v>3</v>
      </c>
      <c r="I847" t="s">
        <v>21</v>
      </c>
      <c r="J847" t="s">
        <v>181</v>
      </c>
      <c r="K847" t="s">
        <v>182</v>
      </c>
      <c r="L847" t="s">
        <v>2125</v>
      </c>
      <c r="M847" s="5">
        <f t="shared" si="79"/>
        <v>3</v>
      </c>
      <c r="N847" t="str">
        <f t="shared" si="80"/>
        <v>March</v>
      </c>
      <c r="O847" t="str">
        <f t="shared" si="81"/>
        <v>Wednesday</v>
      </c>
      <c r="P847">
        <f t="shared" si="78"/>
        <v>10</v>
      </c>
      <c r="Q847" s="2">
        <f t="shared" si="82"/>
        <v>3</v>
      </c>
      <c r="R847" s="2">
        <f t="shared" si="83"/>
        <v>3</v>
      </c>
      <c r="S847">
        <f>SUMIF(Table1[product_category],"Bakery",Table1[Total_bill])</f>
        <v>2951.25</v>
      </c>
    </row>
    <row r="848" spans="1:19" x14ac:dyDescent="0.3">
      <c r="A848" s="2">
        <v>10847</v>
      </c>
      <c r="B848" s="4">
        <v>46478</v>
      </c>
      <c r="C848" t="s">
        <v>999</v>
      </c>
      <c r="D848" t="s">
        <v>40</v>
      </c>
      <c r="E848" t="s">
        <v>41</v>
      </c>
      <c r="F848" t="s">
        <v>158</v>
      </c>
      <c r="G848">
        <v>2</v>
      </c>
      <c r="H848" s="5">
        <v>5.5</v>
      </c>
      <c r="I848" t="s">
        <v>72</v>
      </c>
      <c r="J848" t="s">
        <v>72</v>
      </c>
      <c r="K848" t="s">
        <v>141</v>
      </c>
      <c r="L848" t="s">
        <v>2125</v>
      </c>
      <c r="M848" s="5">
        <f t="shared" si="79"/>
        <v>11</v>
      </c>
      <c r="N848" t="str">
        <f t="shared" si="80"/>
        <v>April</v>
      </c>
      <c r="O848" t="str">
        <f t="shared" si="81"/>
        <v>Thursday</v>
      </c>
      <c r="P848">
        <f t="shared" si="78"/>
        <v>7</v>
      </c>
      <c r="Q848" s="2">
        <f t="shared" si="82"/>
        <v>4</v>
      </c>
      <c r="R848" s="2">
        <f t="shared" si="83"/>
        <v>4</v>
      </c>
      <c r="S848">
        <f>SUMIF(Table1[product_category],"Bakery",Table1[Total_bill])</f>
        <v>2951.25</v>
      </c>
    </row>
    <row r="849" spans="1:19" x14ac:dyDescent="0.3">
      <c r="A849" s="2">
        <v>10848</v>
      </c>
      <c r="B849" s="4">
        <v>46479</v>
      </c>
      <c r="C849" t="s">
        <v>1000</v>
      </c>
      <c r="D849" t="s">
        <v>18</v>
      </c>
      <c r="E849" t="s">
        <v>19</v>
      </c>
      <c r="F849" t="s">
        <v>160</v>
      </c>
      <c r="G849">
        <v>3</v>
      </c>
      <c r="H849" s="5">
        <v>4.25</v>
      </c>
      <c r="I849" t="s">
        <v>32</v>
      </c>
      <c r="J849" t="s">
        <v>202</v>
      </c>
      <c r="K849" t="s">
        <v>202</v>
      </c>
      <c r="L849" t="s">
        <v>2124</v>
      </c>
      <c r="M849" s="5">
        <f t="shared" si="79"/>
        <v>12.75</v>
      </c>
      <c r="N849" t="str">
        <f t="shared" si="80"/>
        <v>April</v>
      </c>
      <c r="O849" t="str">
        <f t="shared" si="81"/>
        <v>Friday</v>
      </c>
      <c r="P849">
        <f t="shared" si="78"/>
        <v>20</v>
      </c>
      <c r="Q849" s="2">
        <f t="shared" si="82"/>
        <v>5</v>
      </c>
      <c r="R849" s="2">
        <f t="shared" si="83"/>
        <v>4</v>
      </c>
      <c r="S849">
        <f>SUMIF(Table1[product_category],"Bakery",Table1[Total_bill])</f>
        <v>2951.25</v>
      </c>
    </row>
    <row r="850" spans="1:19" x14ac:dyDescent="0.3">
      <c r="A850" s="2">
        <v>10849</v>
      </c>
      <c r="B850" s="4">
        <v>46480</v>
      </c>
      <c r="C850" t="s">
        <v>1001</v>
      </c>
      <c r="D850" t="s">
        <v>40</v>
      </c>
      <c r="E850" t="s">
        <v>41</v>
      </c>
      <c r="F850" t="s">
        <v>162</v>
      </c>
      <c r="G850">
        <v>1</v>
      </c>
      <c r="H850" s="5">
        <v>5.5</v>
      </c>
      <c r="I850" t="s">
        <v>72</v>
      </c>
      <c r="J850" t="s">
        <v>72</v>
      </c>
      <c r="K850" t="s">
        <v>73</v>
      </c>
      <c r="L850" t="s">
        <v>2125</v>
      </c>
      <c r="M850" s="5">
        <f t="shared" si="79"/>
        <v>5.5</v>
      </c>
      <c r="N850" t="str">
        <f t="shared" si="80"/>
        <v>April</v>
      </c>
      <c r="O850" t="str">
        <f t="shared" si="81"/>
        <v>Saturday</v>
      </c>
      <c r="P850">
        <f t="shared" si="78"/>
        <v>12</v>
      </c>
      <c r="Q850" s="2">
        <f t="shared" si="82"/>
        <v>6</v>
      </c>
      <c r="R850" s="2">
        <f t="shared" si="83"/>
        <v>4</v>
      </c>
      <c r="S850">
        <f>SUMIF(Table1[product_category],"Bakery",Table1[Total_bill])</f>
        <v>2951.25</v>
      </c>
    </row>
    <row r="851" spans="1:19" x14ac:dyDescent="0.3">
      <c r="A851" s="2">
        <v>10850</v>
      </c>
      <c r="B851" s="4">
        <v>46481</v>
      </c>
      <c r="C851" t="s">
        <v>1002</v>
      </c>
      <c r="D851" t="s">
        <v>25</v>
      </c>
      <c r="E851" t="s">
        <v>26</v>
      </c>
      <c r="F851" t="s">
        <v>164</v>
      </c>
      <c r="G851">
        <v>2</v>
      </c>
      <c r="H851" s="5">
        <v>2.75</v>
      </c>
      <c r="I851" t="s">
        <v>32</v>
      </c>
      <c r="J851" t="s">
        <v>144</v>
      </c>
      <c r="K851" t="s">
        <v>144</v>
      </c>
      <c r="L851" t="s">
        <v>2122</v>
      </c>
      <c r="M851" s="5">
        <f t="shared" si="79"/>
        <v>5.5</v>
      </c>
      <c r="N851" t="str">
        <f t="shared" si="80"/>
        <v>April</v>
      </c>
      <c r="O851" t="str">
        <f t="shared" si="81"/>
        <v>Sunday</v>
      </c>
      <c r="P851">
        <f t="shared" si="78"/>
        <v>13</v>
      </c>
      <c r="Q851" s="2">
        <f t="shared" si="82"/>
        <v>7</v>
      </c>
      <c r="R851" s="2">
        <f t="shared" si="83"/>
        <v>4</v>
      </c>
      <c r="S851">
        <f>SUMIF(Table1[product_category],"Bakery",Table1[Total_bill])</f>
        <v>2951.25</v>
      </c>
    </row>
    <row r="852" spans="1:19" x14ac:dyDescent="0.3">
      <c r="A852" s="2">
        <v>10851</v>
      </c>
      <c r="B852" s="4">
        <v>46482</v>
      </c>
      <c r="C852" t="s">
        <v>1003</v>
      </c>
      <c r="D852" t="s">
        <v>18</v>
      </c>
      <c r="E852" t="s">
        <v>19</v>
      </c>
      <c r="F852" t="s">
        <v>166</v>
      </c>
      <c r="G852">
        <v>2</v>
      </c>
      <c r="H852" s="5">
        <v>11</v>
      </c>
      <c r="I852" t="s">
        <v>98</v>
      </c>
      <c r="J852" t="s">
        <v>98</v>
      </c>
      <c r="K852" t="s">
        <v>215</v>
      </c>
      <c r="L852" t="s">
        <v>2125</v>
      </c>
      <c r="M852" s="5">
        <f t="shared" si="79"/>
        <v>22</v>
      </c>
      <c r="N852" t="str">
        <f t="shared" si="80"/>
        <v>April</v>
      </c>
      <c r="O852" t="str">
        <f t="shared" si="81"/>
        <v>Monday</v>
      </c>
      <c r="P852">
        <f t="shared" si="78"/>
        <v>7</v>
      </c>
      <c r="Q852" s="2">
        <f t="shared" si="82"/>
        <v>1</v>
      </c>
      <c r="R852" s="2">
        <f t="shared" si="83"/>
        <v>4</v>
      </c>
      <c r="S852">
        <f>SUMIF(Table1[product_category],"Bakery",Table1[Total_bill])</f>
        <v>2951.25</v>
      </c>
    </row>
    <row r="853" spans="1:19" x14ac:dyDescent="0.3">
      <c r="A853" s="2">
        <v>10852</v>
      </c>
      <c r="B853" s="4">
        <v>46483</v>
      </c>
      <c r="C853" t="s">
        <v>1004</v>
      </c>
      <c r="D853" t="s">
        <v>40</v>
      </c>
      <c r="E853" t="s">
        <v>41</v>
      </c>
      <c r="F853" t="s">
        <v>168</v>
      </c>
      <c r="G853">
        <v>1</v>
      </c>
      <c r="H853" s="5">
        <v>3.75</v>
      </c>
      <c r="I853" t="s">
        <v>32</v>
      </c>
      <c r="J853" t="s">
        <v>226</v>
      </c>
      <c r="K853" t="s">
        <v>273</v>
      </c>
      <c r="L853" t="s">
        <v>2123</v>
      </c>
      <c r="M853" s="5">
        <f t="shared" si="79"/>
        <v>3.75</v>
      </c>
      <c r="N853" t="str">
        <f t="shared" si="80"/>
        <v>April</v>
      </c>
      <c r="O853" t="str">
        <f t="shared" si="81"/>
        <v>Tuesday</v>
      </c>
      <c r="P853">
        <f t="shared" si="78"/>
        <v>15</v>
      </c>
      <c r="Q853" s="2">
        <f t="shared" si="82"/>
        <v>2</v>
      </c>
      <c r="R853" s="2">
        <f t="shared" si="83"/>
        <v>4</v>
      </c>
      <c r="S853">
        <f>SUMIF(Table1[product_category],"Bakery",Table1[Total_bill])</f>
        <v>2951.25</v>
      </c>
    </row>
    <row r="854" spans="1:19" x14ac:dyDescent="0.3">
      <c r="A854" s="2">
        <v>10853</v>
      </c>
      <c r="B854" s="4">
        <v>46484</v>
      </c>
      <c r="C854" t="s">
        <v>1005</v>
      </c>
      <c r="D854" t="s">
        <v>25</v>
      </c>
      <c r="E854" t="s">
        <v>26</v>
      </c>
      <c r="F854" t="s">
        <v>170</v>
      </c>
      <c r="G854">
        <v>1</v>
      </c>
      <c r="H854" s="5">
        <v>9.5</v>
      </c>
      <c r="I854" t="s">
        <v>28</v>
      </c>
      <c r="J854" t="s">
        <v>28</v>
      </c>
      <c r="K854" t="s">
        <v>29</v>
      </c>
      <c r="L854" t="s">
        <v>2125</v>
      </c>
      <c r="M854" s="5">
        <f t="shared" si="79"/>
        <v>9.5</v>
      </c>
      <c r="N854" t="str">
        <f t="shared" si="80"/>
        <v>April</v>
      </c>
      <c r="O854" t="str">
        <f t="shared" si="81"/>
        <v>Wednesday</v>
      </c>
      <c r="P854">
        <f t="shared" si="78"/>
        <v>8</v>
      </c>
      <c r="Q854" s="2">
        <f t="shared" si="82"/>
        <v>3</v>
      </c>
      <c r="R854" s="2">
        <f t="shared" si="83"/>
        <v>4</v>
      </c>
      <c r="S854">
        <f>SUMIF(Table1[product_category],"Bakery",Table1[Total_bill])</f>
        <v>2951.25</v>
      </c>
    </row>
    <row r="855" spans="1:19" x14ac:dyDescent="0.3">
      <c r="A855" s="2">
        <v>10854</v>
      </c>
      <c r="B855" s="4">
        <v>46485</v>
      </c>
      <c r="C855" t="s">
        <v>1006</v>
      </c>
      <c r="D855" t="s">
        <v>18</v>
      </c>
      <c r="E855" t="s">
        <v>19</v>
      </c>
      <c r="F855" t="s">
        <v>172</v>
      </c>
      <c r="G855">
        <v>3</v>
      </c>
      <c r="H855" s="5">
        <v>11</v>
      </c>
      <c r="I855" t="s">
        <v>98</v>
      </c>
      <c r="J855" t="s">
        <v>98</v>
      </c>
      <c r="K855" t="s">
        <v>215</v>
      </c>
      <c r="L855" t="s">
        <v>2125</v>
      </c>
      <c r="M855" s="5">
        <f t="shared" si="79"/>
        <v>33</v>
      </c>
      <c r="N855" t="str">
        <f t="shared" si="80"/>
        <v>April</v>
      </c>
      <c r="O855" t="str">
        <f t="shared" si="81"/>
        <v>Thursday</v>
      </c>
      <c r="P855">
        <f t="shared" si="78"/>
        <v>18</v>
      </c>
      <c r="Q855" s="2">
        <f t="shared" si="82"/>
        <v>4</v>
      </c>
      <c r="R855" s="2">
        <f t="shared" si="83"/>
        <v>4</v>
      </c>
      <c r="S855">
        <f>SUMIF(Table1[product_category],"Bakery",Table1[Total_bill])</f>
        <v>2951.25</v>
      </c>
    </row>
    <row r="856" spans="1:19" x14ac:dyDescent="0.3">
      <c r="A856" s="2">
        <v>10855</v>
      </c>
      <c r="B856" s="4">
        <v>46486</v>
      </c>
      <c r="C856" t="s">
        <v>1007</v>
      </c>
      <c r="D856" t="s">
        <v>40</v>
      </c>
      <c r="E856" t="s">
        <v>41</v>
      </c>
      <c r="F856" t="s">
        <v>174</v>
      </c>
      <c r="G856">
        <v>4</v>
      </c>
      <c r="H856" s="5">
        <v>3</v>
      </c>
      <c r="I856" t="s">
        <v>36</v>
      </c>
      <c r="J856" t="s">
        <v>37</v>
      </c>
      <c r="K856" t="s">
        <v>62</v>
      </c>
      <c r="L856" t="s">
        <v>2124</v>
      </c>
      <c r="M856" s="5">
        <f t="shared" si="79"/>
        <v>12</v>
      </c>
      <c r="N856" t="str">
        <f t="shared" si="80"/>
        <v>April</v>
      </c>
      <c r="O856" t="str">
        <f t="shared" si="81"/>
        <v>Friday</v>
      </c>
      <c r="P856">
        <f t="shared" si="78"/>
        <v>8</v>
      </c>
      <c r="Q856" s="2">
        <f t="shared" si="82"/>
        <v>5</v>
      </c>
      <c r="R856" s="2">
        <f t="shared" si="83"/>
        <v>4</v>
      </c>
      <c r="S856">
        <f>SUMIF(Table1[product_category],"Bakery",Table1[Total_bill])</f>
        <v>2951.25</v>
      </c>
    </row>
    <row r="857" spans="1:19" x14ac:dyDescent="0.3">
      <c r="A857" s="2">
        <v>10856</v>
      </c>
      <c r="B857" s="4">
        <v>46487</v>
      </c>
      <c r="C857" t="s">
        <v>1008</v>
      </c>
      <c r="D857" t="s">
        <v>18</v>
      </c>
      <c r="E857" t="s">
        <v>19</v>
      </c>
      <c r="F857" t="s">
        <v>176</v>
      </c>
      <c r="G857">
        <v>2</v>
      </c>
      <c r="H857" s="5">
        <v>3.25</v>
      </c>
      <c r="I857" t="s">
        <v>32</v>
      </c>
      <c r="J857" t="s">
        <v>144</v>
      </c>
      <c r="K857" t="s">
        <v>144</v>
      </c>
      <c r="L857" t="s">
        <v>2124</v>
      </c>
      <c r="M857" s="5">
        <f t="shared" si="79"/>
        <v>6.5</v>
      </c>
      <c r="N857" t="str">
        <f t="shared" si="80"/>
        <v>April</v>
      </c>
      <c r="O857" t="str">
        <f t="shared" si="81"/>
        <v>Saturday</v>
      </c>
      <c r="P857">
        <f t="shared" si="78"/>
        <v>8</v>
      </c>
      <c r="Q857" s="2">
        <f t="shared" si="82"/>
        <v>6</v>
      </c>
      <c r="R857" s="2">
        <f t="shared" si="83"/>
        <v>4</v>
      </c>
      <c r="S857">
        <f>SUMIF(Table1[product_category],"Bakery",Table1[Total_bill])</f>
        <v>2951.25</v>
      </c>
    </row>
    <row r="858" spans="1:19" x14ac:dyDescent="0.3">
      <c r="A858" s="2">
        <v>10857</v>
      </c>
      <c r="B858" s="4">
        <v>46488</v>
      </c>
      <c r="C858" t="s">
        <v>1009</v>
      </c>
      <c r="D858" t="s">
        <v>25</v>
      </c>
      <c r="E858" t="s">
        <v>26</v>
      </c>
      <c r="F858" t="s">
        <v>178</v>
      </c>
      <c r="G858">
        <v>4</v>
      </c>
      <c r="H858" s="5">
        <v>4</v>
      </c>
      <c r="I858" t="s">
        <v>32</v>
      </c>
      <c r="J858" t="s">
        <v>33</v>
      </c>
      <c r="K858" t="s">
        <v>33</v>
      </c>
      <c r="L858" t="s">
        <v>2124</v>
      </c>
      <c r="M858" s="5">
        <f t="shared" si="79"/>
        <v>16</v>
      </c>
      <c r="N858" t="str">
        <f t="shared" si="80"/>
        <v>April</v>
      </c>
      <c r="O858" t="str">
        <f t="shared" si="81"/>
        <v>Sunday</v>
      </c>
      <c r="P858">
        <f t="shared" si="78"/>
        <v>6</v>
      </c>
      <c r="Q858" s="2">
        <f t="shared" si="82"/>
        <v>7</v>
      </c>
      <c r="R858" s="2">
        <f t="shared" si="83"/>
        <v>4</v>
      </c>
      <c r="S858">
        <f>SUMIF(Table1[product_category],"Bakery",Table1[Total_bill])</f>
        <v>2951.25</v>
      </c>
    </row>
    <row r="859" spans="1:19" x14ac:dyDescent="0.3">
      <c r="A859" s="2">
        <v>10858</v>
      </c>
      <c r="B859" s="4">
        <v>46489</v>
      </c>
      <c r="C859" t="s">
        <v>1010</v>
      </c>
      <c r="D859" t="s">
        <v>18</v>
      </c>
      <c r="E859" t="s">
        <v>19</v>
      </c>
      <c r="F859" t="s">
        <v>180</v>
      </c>
      <c r="G859">
        <v>1</v>
      </c>
      <c r="H859" s="5">
        <v>2.75</v>
      </c>
      <c r="I859" t="s">
        <v>32</v>
      </c>
      <c r="J859" t="s">
        <v>43</v>
      </c>
      <c r="K859" t="s">
        <v>44</v>
      </c>
      <c r="L859" t="s">
        <v>2123</v>
      </c>
      <c r="M859" s="5">
        <f t="shared" si="79"/>
        <v>2.75</v>
      </c>
      <c r="N859" t="str">
        <f t="shared" si="80"/>
        <v>April</v>
      </c>
      <c r="O859" t="str">
        <f t="shared" si="81"/>
        <v>Monday</v>
      </c>
      <c r="P859">
        <f t="shared" si="78"/>
        <v>11</v>
      </c>
      <c r="Q859" s="2">
        <f t="shared" si="82"/>
        <v>1</v>
      </c>
      <c r="R859" s="2">
        <f t="shared" si="83"/>
        <v>4</v>
      </c>
      <c r="S859">
        <f>SUMIF(Table1[product_category],"Bakery",Table1[Total_bill])</f>
        <v>2951.25</v>
      </c>
    </row>
    <row r="860" spans="1:19" x14ac:dyDescent="0.3">
      <c r="A860" s="2">
        <v>10859</v>
      </c>
      <c r="B860" s="4">
        <v>46490</v>
      </c>
      <c r="C860" t="s">
        <v>1011</v>
      </c>
      <c r="D860" t="s">
        <v>18</v>
      </c>
      <c r="E860" t="s">
        <v>19</v>
      </c>
      <c r="F860" t="s">
        <v>184</v>
      </c>
      <c r="G860">
        <v>3</v>
      </c>
      <c r="H860" s="5">
        <v>3.5</v>
      </c>
      <c r="I860" t="s">
        <v>36</v>
      </c>
      <c r="J860" t="s">
        <v>37</v>
      </c>
      <c r="K860" t="s">
        <v>276</v>
      </c>
      <c r="L860" t="s">
        <v>2123</v>
      </c>
      <c r="M860" s="5">
        <f t="shared" si="79"/>
        <v>10.5</v>
      </c>
      <c r="N860" t="str">
        <f t="shared" si="80"/>
        <v>April</v>
      </c>
      <c r="O860" t="str">
        <f t="shared" si="81"/>
        <v>Tuesday</v>
      </c>
      <c r="P860">
        <f t="shared" si="78"/>
        <v>12</v>
      </c>
      <c r="Q860" s="2">
        <f t="shared" si="82"/>
        <v>2</v>
      </c>
      <c r="R860" s="2">
        <f t="shared" si="83"/>
        <v>4</v>
      </c>
      <c r="S860">
        <f>SUMIF(Table1[product_category],"Bakery",Table1[Total_bill])</f>
        <v>2951.25</v>
      </c>
    </row>
    <row r="861" spans="1:19" x14ac:dyDescent="0.3">
      <c r="A861" s="2">
        <v>10860</v>
      </c>
      <c r="B861" s="4">
        <v>46491</v>
      </c>
      <c r="C861" t="s">
        <v>1012</v>
      </c>
      <c r="D861" t="s">
        <v>25</v>
      </c>
      <c r="E861" t="s">
        <v>26</v>
      </c>
      <c r="F861" t="s">
        <v>186</v>
      </c>
      <c r="G861">
        <v>3</v>
      </c>
      <c r="H861" s="5">
        <v>13</v>
      </c>
      <c r="I861" t="s">
        <v>98</v>
      </c>
      <c r="J861" t="s">
        <v>98</v>
      </c>
      <c r="K861" t="s">
        <v>95</v>
      </c>
      <c r="L861" t="s">
        <v>2125</v>
      </c>
      <c r="M861" s="5">
        <f t="shared" si="79"/>
        <v>39</v>
      </c>
      <c r="N861" t="str">
        <f t="shared" si="80"/>
        <v>April</v>
      </c>
      <c r="O861" t="str">
        <f t="shared" si="81"/>
        <v>Wednesday</v>
      </c>
      <c r="P861">
        <f t="shared" si="78"/>
        <v>7</v>
      </c>
      <c r="Q861" s="2">
        <f t="shared" si="82"/>
        <v>3</v>
      </c>
      <c r="R861" s="2">
        <f t="shared" si="83"/>
        <v>4</v>
      </c>
      <c r="S861">
        <f>SUMIF(Table1[product_category],"Bakery",Table1[Total_bill])</f>
        <v>2951.25</v>
      </c>
    </row>
    <row r="862" spans="1:19" x14ac:dyDescent="0.3">
      <c r="A862" s="2">
        <v>10861</v>
      </c>
      <c r="B862" s="4">
        <v>46492</v>
      </c>
      <c r="C862" t="s">
        <v>1013</v>
      </c>
      <c r="D862" t="s">
        <v>40</v>
      </c>
      <c r="E862" t="s">
        <v>41</v>
      </c>
      <c r="F862" t="s">
        <v>188</v>
      </c>
      <c r="G862">
        <v>3</v>
      </c>
      <c r="H862" s="5">
        <v>2.25</v>
      </c>
      <c r="I862" t="s">
        <v>21</v>
      </c>
      <c r="J862" t="s">
        <v>58</v>
      </c>
      <c r="K862" t="s">
        <v>59</v>
      </c>
      <c r="L862" t="s">
        <v>2125</v>
      </c>
      <c r="M862" s="5">
        <f t="shared" si="79"/>
        <v>6.75</v>
      </c>
      <c r="N862" t="str">
        <f t="shared" si="80"/>
        <v>April</v>
      </c>
      <c r="O862" t="str">
        <f t="shared" si="81"/>
        <v>Thursday</v>
      </c>
      <c r="P862">
        <f t="shared" si="78"/>
        <v>15</v>
      </c>
      <c r="Q862" s="2">
        <f t="shared" si="82"/>
        <v>4</v>
      </c>
      <c r="R862" s="2">
        <f t="shared" si="83"/>
        <v>4</v>
      </c>
      <c r="S862">
        <f>SUMIF(Table1[product_category],"Bakery",Table1[Total_bill])</f>
        <v>2951.25</v>
      </c>
    </row>
    <row r="863" spans="1:19" x14ac:dyDescent="0.3">
      <c r="A863" s="2">
        <v>10862</v>
      </c>
      <c r="B863" s="4">
        <v>46493</v>
      </c>
      <c r="C863" t="s">
        <v>1014</v>
      </c>
      <c r="D863" t="s">
        <v>25</v>
      </c>
      <c r="E863" t="s">
        <v>26</v>
      </c>
      <c r="F863" t="s">
        <v>190</v>
      </c>
      <c r="G863">
        <v>4</v>
      </c>
      <c r="H863" s="5">
        <v>11</v>
      </c>
      <c r="I863" t="s">
        <v>98</v>
      </c>
      <c r="J863" t="s">
        <v>98</v>
      </c>
      <c r="K863" t="s">
        <v>215</v>
      </c>
      <c r="L863" t="s">
        <v>2125</v>
      </c>
      <c r="M863" s="5">
        <f t="shared" si="79"/>
        <v>44</v>
      </c>
      <c r="N863" t="str">
        <f t="shared" si="80"/>
        <v>April</v>
      </c>
      <c r="O863" t="str">
        <f t="shared" si="81"/>
        <v>Friday</v>
      </c>
      <c r="P863">
        <f t="shared" si="78"/>
        <v>11</v>
      </c>
      <c r="Q863" s="2">
        <f t="shared" si="82"/>
        <v>5</v>
      </c>
      <c r="R863" s="2">
        <f t="shared" si="83"/>
        <v>4</v>
      </c>
      <c r="S863">
        <f>SUMIF(Table1[product_category],"Bakery",Table1[Total_bill])</f>
        <v>2951.25</v>
      </c>
    </row>
    <row r="864" spans="1:19" x14ac:dyDescent="0.3">
      <c r="A864" s="2">
        <v>10863</v>
      </c>
      <c r="B864" s="4">
        <v>46494</v>
      </c>
      <c r="C864" t="s">
        <v>1015</v>
      </c>
      <c r="D864" t="s">
        <v>18</v>
      </c>
      <c r="E864" t="s">
        <v>19</v>
      </c>
      <c r="F864" t="s">
        <v>192</v>
      </c>
      <c r="G864">
        <v>3</v>
      </c>
      <c r="H864" s="5">
        <v>5.5</v>
      </c>
      <c r="I864" t="s">
        <v>72</v>
      </c>
      <c r="J864" t="s">
        <v>72</v>
      </c>
      <c r="K864" t="s">
        <v>141</v>
      </c>
      <c r="L864" t="s">
        <v>2125</v>
      </c>
      <c r="M864" s="5">
        <f t="shared" si="79"/>
        <v>16.5</v>
      </c>
      <c r="N864" t="str">
        <f t="shared" si="80"/>
        <v>April</v>
      </c>
      <c r="O864" t="str">
        <f t="shared" si="81"/>
        <v>Saturday</v>
      </c>
      <c r="P864">
        <f t="shared" si="78"/>
        <v>12</v>
      </c>
      <c r="Q864" s="2">
        <f t="shared" si="82"/>
        <v>6</v>
      </c>
      <c r="R864" s="2">
        <f t="shared" si="83"/>
        <v>4</v>
      </c>
      <c r="S864">
        <f>SUMIF(Table1[product_category],"Bakery",Table1[Total_bill])</f>
        <v>2951.25</v>
      </c>
    </row>
    <row r="865" spans="1:19" x14ac:dyDescent="0.3">
      <c r="A865" s="2">
        <v>10864</v>
      </c>
      <c r="B865" s="4">
        <v>46495</v>
      </c>
      <c r="C865" t="s">
        <v>1016</v>
      </c>
      <c r="D865" t="s">
        <v>18</v>
      </c>
      <c r="E865" t="s">
        <v>19</v>
      </c>
      <c r="F865" t="s">
        <v>195</v>
      </c>
      <c r="G865">
        <v>2</v>
      </c>
      <c r="H865" s="5">
        <v>5</v>
      </c>
      <c r="I865" t="s">
        <v>89</v>
      </c>
      <c r="J865" t="s">
        <v>90</v>
      </c>
      <c r="K865" t="s">
        <v>91</v>
      </c>
      <c r="L865" t="s">
        <v>2123</v>
      </c>
      <c r="M865" s="5">
        <f t="shared" si="79"/>
        <v>10</v>
      </c>
      <c r="N865" t="str">
        <f t="shared" si="80"/>
        <v>April</v>
      </c>
      <c r="O865" t="str">
        <f t="shared" si="81"/>
        <v>Sunday</v>
      </c>
      <c r="P865">
        <f t="shared" si="78"/>
        <v>11</v>
      </c>
      <c r="Q865" s="2">
        <f t="shared" si="82"/>
        <v>7</v>
      </c>
      <c r="R865" s="2">
        <f t="shared" si="83"/>
        <v>4</v>
      </c>
      <c r="S865">
        <f>SUMIF(Table1[product_category],"Bakery",Table1[Total_bill])</f>
        <v>2951.25</v>
      </c>
    </row>
    <row r="866" spans="1:19" x14ac:dyDescent="0.3">
      <c r="A866" s="2">
        <v>10865</v>
      </c>
      <c r="B866" s="4">
        <v>46496</v>
      </c>
      <c r="C866" t="s">
        <v>1017</v>
      </c>
      <c r="D866" t="s">
        <v>25</v>
      </c>
      <c r="E866" t="s">
        <v>26</v>
      </c>
      <c r="F866" t="s">
        <v>197</v>
      </c>
      <c r="G866">
        <v>2</v>
      </c>
      <c r="H866" s="5">
        <v>14</v>
      </c>
      <c r="I866" t="s">
        <v>98</v>
      </c>
      <c r="J866" t="s">
        <v>98</v>
      </c>
      <c r="K866" t="s">
        <v>129</v>
      </c>
      <c r="L866" t="s">
        <v>2125</v>
      </c>
      <c r="M866" s="5">
        <f t="shared" si="79"/>
        <v>28</v>
      </c>
      <c r="N866" t="str">
        <f t="shared" si="80"/>
        <v>April</v>
      </c>
      <c r="O866" t="str">
        <f t="shared" si="81"/>
        <v>Monday</v>
      </c>
      <c r="P866">
        <f t="shared" si="78"/>
        <v>10</v>
      </c>
      <c r="Q866" s="2">
        <f t="shared" si="82"/>
        <v>1</v>
      </c>
      <c r="R866" s="2">
        <f t="shared" si="83"/>
        <v>4</v>
      </c>
      <c r="S866">
        <f>SUMIF(Table1[product_category],"Bakery",Table1[Total_bill])</f>
        <v>2951.25</v>
      </c>
    </row>
    <row r="867" spans="1:19" x14ac:dyDescent="0.3">
      <c r="A867" s="2">
        <v>10866</v>
      </c>
      <c r="B867" s="4">
        <v>46497</v>
      </c>
      <c r="C867" t="s">
        <v>1018</v>
      </c>
      <c r="D867" t="s">
        <v>40</v>
      </c>
      <c r="E867" t="s">
        <v>41</v>
      </c>
      <c r="F867" t="s">
        <v>199</v>
      </c>
      <c r="G867">
        <v>1</v>
      </c>
      <c r="H867" s="5">
        <v>2.5</v>
      </c>
      <c r="I867" t="s">
        <v>21</v>
      </c>
      <c r="J867" t="s">
        <v>47</v>
      </c>
      <c r="K867" t="s">
        <v>48</v>
      </c>
      <c r="L867" t="s">
        <v>2125</v>
      </c>
      <c r="M867" s="5">
        <f t="shared" si="79"/>
        <v>2.5</v>
      </c>
      <c r="N867" t="str">
        <f t="shared" si="80"/>
        <v>April</v>
      </c>
      <c r="O867" t="str">
        <f t="shared" si="81"/>
        <v>Tuesday</v>
      </c>
      <c r="P867">
        <f t="shared" si="78"/>
        <v>12</v>
      </c>
      <c r="Q867" s="2">
        <f t="shared" si="82"/>
        <v>2</v>
      </c>
      <c r="R867" s="2">
        <f t="shared" si="83"/>
        <v>4</v>
      </c>
      <c r="S867">
        <f>SUMIF(Table1[product_category],"Bakery",Table1[Total_bill])</f>
        <v>2951.25</v>
      </c>
    </row>
    <row r="868" spans="1:19" x14ac:dyDescent="0.3">
      <c r="A868" s="2">
        <v>10867</v>
      </c>
      <c r="B868" s="4">
        <v>46498</v>
      </c>
      <c r="C868" t="s">
        <v>1019</v>
      </c>
      <c r="D868" t="s">
        <v>25</v>
      </c>
      <c r="E868" t="s">
        <v>26</v>
      </c>
      <c r="F868" t="s">
        <v>201</v>
      </c>
      <c r="G868">
        <v>4</v>
      </c>
      <c r="H868" s="5">
        <v>3.5</v>
      </c>
      <c r="I868" t="s">
        <v>32</v>
      </c>
      <c r="J868" t="s">
        <v>33</v>
      </c>
      <c r="K868" t="s">
        <v>33</v>
      </c>
      <c r="L868" t="s">
        <v>2122</v>
      </c>
      <c r="M868" s="5">
        <f t="shared" si="79"/>
        <v>14</v>
      </c>
      <c r="N868" t="str">
        <f t="shared" si="80"/>
        <v>April</v>
      </c>
      <c r="O868" t="str">
        <f t="shared" si="81"/>
        <v>Wednesday</v>
      </c>
      <c r="P868">
        <f t="shared" si="78"/>
        <v>7</v>
      </c>
      <c r="Q868" s="2">
        <f t="shared" si="82"/>
        <v>3</v>
      </c>
      <c r="R868" s="2">
        <f t="shared" si="83"/>
        <v>4</v>
      </c>
      <c r="S868">
        <f>SUMIF(Table1[product_category],"Bakery",Table1[Total_bill])</f>
        <v>2951.25</v>
      </c>
    </row>
    <row r="869" spans="1:19" x14ac:dyDescent="0.3">
      <c r="A869" s="2">
        <v>10868</v>
      </c>
      <c r="B869" s="4">
        <v>46499</v>
      </c>
      <c r="C869" t="s">
        <v>1020</v>
      </c>
      <c r="D869" t="s">
        <v>25</v>
      </c>
      <c r="E869" t="s">
        <v>26</v>
      </c>
      <c r="F869" t="s">
        <v>204</v>
      </c>
      <c r="G869">
        <v>3</v>
      </c>
      <c r="H869" s="5">
        <v>4</v>
      </c>
      <c r="I869" t="s">
        <v>36</v>
      </c>
      <c r="J869" t="s">
        <v>110</v>
      </c>
      <c r="K869" t="s">
        <v>110</v>
      </c>
      <c r="L869" t="s">
        <v>2122</v>
      </c>
      <c r="M869" s="5">
        <f t="shared" si="79"/>
        <v>12</v>
      </c>
      <c r="N869" t="str">
        <f t="shared" si="80"/>
        <v>April</v>
      </c>
      <c r="O869" t="str">
        <f t="shared" si="81"/>
        <v>Thursday</v>
      </c>
      <c r="P869">
        <f t="shared" si="78"/>
        <v>8</v>
      </c>
      <c r="Q869" s="2">
        <f t="shared" si="82"/>
        <v>4</v>
      </c>
      <c r="R869" s="2">
        <f t="shared" si="83"/>
        <v>4</v>
      </c>
      <c r="S869">
        <f>SUMIF(Table1[product_category],"Bakery",Table1[Total_bill])</f>
        <v>2951.25</v>
      </c>
    </row>
    <row r="870" spans="1:19" x14ac:dyDescent="0.3">
      <c r="A870" s="2">
        <v>10869</v>
      </c>
      <c r="B870" s="4">
        <v>46500</v>
      </c>
      <c r="C870" t="s">
        <v>1021</v>
      </c>
      <c r="D870" t="s">
        <v>18</v>
      </c>
      <c r="E870" t="s">
        <v>19</v>
      </c>
      <c r="F870" t="s">
        <v>206</v>
      </c>
      <c r="G870">
        <v>3</v>
      </c>
      <c r="H870" s="5">
        <v>4</v>
      </c>
      <c r="I870" t="s">
        <v>89</v>
      </c>
      <c r="J870" t="s">
        <v>261</v>
      </c>
      <c r="K870" t="s">
        <v>261</v>
      </c>
      <c r="L870" t="s">
        <v>2124</v>
      </c>
      <c r="M870" s="5">
        <f t="shared" si="79"/>
        <v>12</v>
      </c>
      <c r="N870" t="str">
        <f t="shared" si="80"/>
        <v>April</v>
      </c>
      <c r="O870" t="str">
        <f t="shared" si="81"/>
        <v>Friday</v>
      </c>
      <c r="P870">
        <f t="shared" si="78"/>
        <v>17</v>
      </c>
      <c r="Q870" s="2">
        <f t="shared" si="82"/>
        <v>5</v>
      </c>
      <c r="R870" s="2">
        <f t="shared" si="83"/>
        <v>4</v>
      </c>
      <c r="S870">
        <f>SUMIF(Table1[product_category],"Bakery",Table1[Total_bill])</f>
        <v>2951.25</v>
      </c>
    </row>
    <row r="871" spans="1:19" x14ac:dyDescent="0.3">
      <c r="A871" s="2">
        <v>10870</v>
      </c>
      <c r="B871" s="4">
        <v>46501</v>
      </c>
      <c r="C871" t="s">
        <v>1022</v>
      </c>
      <c r="D871" t="s">
        <v>25</v>
      </c>
      <c r="E871" t="s">
        <v>26</v>
      </c>
      <c r="F871" t="s">
        <v>208</v>
      </c>
      <c r="G871">
        <v>4</v>
      </c>
      <c r="H871" s="5">
        <v>6</v>
      </c>
      <c r="I871" t="s">
        <v>72</v>
      </c>
      <c r="J871" t="s">
        <v>72</v>
      </c>
      <c r="K871" t="s">
        <v>138</v>
      </c>
      <c r="L871" t="s">
        <v>2125</v>
      </c>
      <c r="M871" s="5">
        <f t="shared" si="79"/>
        <v>24</v>
      </c>
      <c r="N871" t="str">
        <f t="shared" si="80"/>
        <v>April</v>
      </c>
      <c r="O871" t="str">
        <f t="shared" si="81"/>
        <v>Saturday</v>
      </c>
      <c r="P871">
        <f t="shared" si="78"/>
        <v>19</v>
      </c>
      <c r="Q871" s="2">
        <f t="shared" si="82"/>
        <v>6</v>
      </c>
      <c r="R871" s="2">
        <f t="shared" si="83"/>
        <v>4</v>
      </c>
      <c r="S871">
        <f>SUMIF(Table1[product_category],"Bakery",Table1[Total_bill])</f>
        <v>2951.25</v>
      </c>
    </row>
    <row r="872" spans="1:19" x14ac:dyDescent="0.3">
      <c r="A872" s="2">
        <v>10871</v>
      </c>
      <c r="B872" s="4">
        <v>46502</v>
      </c>
      <c r="C872" t="s">
        <v>1023</v>
      </c>
      <c r="D872" t="s">
        <v>18</v>
      </c>
      <c r="E872" t="s">
        <v>19</v>
      </c>
      <c r="F872" t="s">
        <v>210</v>
      </c>
      <c r="G872">
        <v>3</v>
      </c>
      <c r="H872" s="5">
        <v>24</v>
      </c>
      <c r="I872" t="s">
        <v>101</v>
      </c>
      <c r="J872" t="s">
        <v>102</v>
      </c>
      <c r="K872" t="s">
        <v>103</v>
      </c>
      <c r="L872" t="s">
        <v>2125</v>
      </c>
      <c r="M872" s="5">
        <f t="shared" si="79"/>
        <v>72</v>
      </c>
      <c r="N872" t="str">
        <f t="shared" si="80"/>
        <v>April</v>
      </c>
      <c r="O872" t="str">
        <f t="shared" si="81"/>
        <v>Sunday</v>
      </c>
      <c r="P872">
        <f t="shared" si="78"/>
        <v>10</v>
      </c>
      <c r="Q872" s="2">
        <f t="shared" si="82"/>
        <v>7</v>
      </c>
      <c r="R872" s="2">
        <f t="shared" si="83"/>
        <v>4</v>
      </c>
      <c r="S872">
        <f>SUMIF(Table1[product_category],"Bakery",Table1[Total_bill])</f>
        <v>2951.25</v>
      </c>
    </row>
    <row r="873" spans="1:19" x14ac:dyDescent="0.3">
      <c r="A873" s="2">
        <v>10872</v>
      </c>
      <c r="B873" s="4">
        <v>46503</v>
      </c>
      <c r="C873" t="s">
        <v>1024</v>
      </c>
      <c r="D873" t="s">
        <v>18</v>
      </c>
      <c r="E873" t="s">
        <v>19</v>
      </c>
      <c r="F873" t="s">
        <v>214</v>
      </c>
      <c r="G873">
        <v>2</v>
      </c>
      <c r="H873" s="5">
        <v>14</v>
      </c>
      <c r="I873" t="s">
        <v>101</v>
      </c>
      <c r="J873" t="s">
        <v>102</v>
      </c>
      <c r="K873" t="s">
        <v>193</v>
      </c>
      <c r="L873" t="s">
        <v>2125</v>
      </c>
      <c r="M873" s="5">
        <f t="shared" si="79"/>
        <v>28</v>
      </c>
      <c r="N873" t="str">
        <f t="shared" si="80"/>
        <v>April</v>
      </c>
      <c r="O873" t="str">
        <f t="shared" si="81"/>
        <v>Monday</v>
      </c>
      <c r="P873">
        <f t="shared" si="78"/>
        <v>9</v>
      </c>
      <c r="Q873" s="2">
        <f t="shared" si="82"/>
        <v>1</v>
      </c>
      <c r="R873" s="2">
        <f t="shared" si="83"/>
        <v>4</v>
      </c>
      <c r="S873">
        <f>SUMIF(Table1[product_category],"Bakery",Table1[Total_bill])</f>
        <v>2951.25</v>
      </c>
    </row>
    <row r="874" spans="1:19" x14ac:dyDescent="0.3">
      <c r="A874" s="2">
        <v>10873</v>
      </c>
      <c r="B874" s="4">
        <v>46504</v>
      </c>
      <c r="C874" t="s">
        <v>1025</v>
      </c>
      <c r="D874" t="s">
        <v>25</v>
      </c>
      <c r="E874" t="s">
        <v>26</v>
      </c>
      <c r="F874" t="s">
        <v>217</v>
      </c>
      <c r="G874">
        <v>2</v>
      </c>
      <c r="H874" s="5">
        <v>2.25</v>
      </c>
      <c r="I874" t="s">
        <v>21</v>
      </c>
      <c r="J874" t="s">
        <v>58</v>
      </c>
      <c r="K874" t="s">
        <v>59</v>
      </c>
      <c r="L874" t="s">
        <v>2125</v>
      </c>
      <c r="M874" s="5">
        <f t="shared" si="79"/>
        <v>4.5</v>
      </c>
      <c r="N874" t="str">
        <f t="shared" si="80"/>
        <v>April</v>
      </c>
      <c r="O874" t="str">
        <f t="shared" si="81"/>
        <v>Tuesday</v>
      </c>
      <c r="P874">
        <f t="shared" si="78"/>
        <v>14</v>
      </c>
      <c r="Q874" s="2">
        <f t="shared" si="82"/>
        <v>2</v>
      </c>
      <c r="R874" s="2">
        <f t="shared" si="83"/>
        <v>4</v>
      </c>
      <c r="S874">
        <f>SUMIF(Table1[product_category],"Bakery",Table1[Total_bill])</f>
        <v>2951.25</v>
      </c>
    </row>
    <row r="875" spans="1:19" x14ac:dyDescent="0.3">
      <c r="A875" s="2">
        <v>10874</v>
      </c>
      <c r="B875" s="4">
        <v>46505</v>
      </c>
      <c r="C875" t="s">
        <v>1026</v>
      </c>
      <c r="D875" t="s">
        <v>25</v>
      </c>
      <c r="E875" t="s">
        <v>26</v>
      </c>
      <c r="F875" t="s">
        <v>219</v>
      </c>
      <c r="G875">
        <v>4</v>
      </c>
      <c r="H875" s="5">
        <v>2.75</v>
      </c>
      <c r="I875" t="s">
        <v>21</v>
      </c>
      <c r="J875" t="s">
        <v>22</v>
      </c>
      <c r="K875" t="s">
        <v>23</v>
      </c>
      <c r="L875" t="s">
        <v>2125</v>
      </c>
      <c r="M875" s="5">
        <f t="shared" si="79"/>
        <v>11</v>
      </c>
      <c r="N875" t="str">
        <f t="shared" si="80"/>
        <v>April</v>
      </c>
      <c r="O875" t="str">
        <f t="shared" si="81"/>
        <v>Wednesday</v>
      </c>
      <c r="P875">
        <f t="shared" si="78"/>
        <v>10</v>
      </c>
      <c r="Q875" s="2">
        <f t="shared" si="82"/>
        <v>3</v>
      </c>
      <c r="R875" s="2">
        <f t="shared" si="83"/>
        <v>4</v>
      </c>
      <c r="S875">
        <f>SUMIF(Table1[product_category],"Bakery",Table1[Total_bill])</f>
        <v>2951.25</v>
      </c>
    </row>
    <row r="876" spans="1:19" x14ac:dyDescent="0.3">
      <c r="A876" s="2">
        <v>10875</v>
      </c>
      <c r="B876" s="4">
        <v>46506</v>
      </c>
      <c r="C876" t="s">
        <v>1027</v>
      </c>
      <c r="D876" t="s">
        <v>40</v>
      </c>
      <c r="E876" t="s">
        <v>41</v>
      </c>
      <c r="F876" t="s">
        <v>221</v>
      </c>
      <c r="G876">
        <v>1</v>
      </c>
      <c r="H876" s="5">
        <v>3.5</v>
      </c>
      <c r="I876" t="s">
        <v>36</v>
      </c>
      <c r="J876" t="s">
        <v>37</v>
      </c>
      <c r="K876" t="s">
        <v>38</v>
      </c>
      <c r="L876" t="s">
        <v>2123</v>
      </c>
      <c r="M876" s="5">
        <f t="shared" si="79"/>
        <v>3.5</v>
      </c>
      <c r="N876" t="str">
        <f t="shared" si="80"/>
        <v>April</v>
      </c>
      <c r="O876" t="str">
        <f t="shared" si="81"/>
        <v>Thursday</v>
      </c>
      <c r="P876">
        <f t="shared" si="78"/>
        <v>6</v>
      </c>
      <c r="Q876" s="2">
        <f t="shared" si="82"/>
        <v>4</v>
      </c>
      <c r="R876" s="2">
        <f t="shared" si="83"/>
        <v>4</v>
      </c>
      <c r="S876">
        <f>SUMIF(Table1[product_category],"Bakery",Table1[Total_bill])</f>
        <v>2951.25</v>
      </c>
    </row>
    <row r="877" spans="1:19" x14ac:dyDescent="0.3">
      <c r="A877" s="2">
        <v>10876</v>
      </c>
      <c r="B877" s="4">
        <v>46507</v>
      </c>
      <c r="C877" t="s">
        <v>1028</v>
      </c>
      <c r="D877" t="s">
        <v>25</v>
      </c>
      <c r="E877" t="s">
        <v>26</v>
      </c>
      <c r="F877" t="s">
        <v>223</v>
      </c>
      <c r="G877">
        <v>3</v>
      </c>
      <c r="H877" s="5">
        <v>8</v>
      </c>
      <c r="I877" t="s">
        <v>28</v>
      </c>
      <c r="J877" t="s">
        <v>28</v>
      </c>
      <c r="K877" t="s">
        <v>76</v>
      </c>
      <c r="L877" t="s">
        <v>2125</v>
      </c>
      <c r="M877" s="5">
        <f t="shared" si="79"/>
        <v>24</v>
      </c>
      <c r="N877" t="str">
        <f t="shared" si="80"/>
        <v>April</v>
      </c>
      <c r="O877" t="str">
        <f t="shared" si="81"/>
        <v>Friday</v>
      </c>
      <c r="P877">
        <f t="shared" si="78"/>
        <v>7</v>
      </c>
      <c r="Q877" s="2">
        <f t="shared" si="82"/>
        <v>5</v>
      </c>
      <c r="R877" s="2">
        <f t="shared" si="83"/>
        <v>4</v>
      </c>
      <c r="S877">
        <f>SUMIF(Table1[product_category],"Bakery",Table1[Total_bill])</f>
        <v>2951.25</v>
      </c>
    </row>
    <row r="878" spans="1:19" x14ac:dyDescent="0.3">
      <c r="A878" s="2">
        <v>10877</v>
      </c>
      <c r="B878" s="4">
        <v>46508</v>
      </c>
      <c r="C878" t="s">
        <v>1029</v>
      </c>
      <c r="D878" t="s">
        <v>40</v>
      </c>
      <c r="E878" t="s">
        <v>41</v>
      </c>
      <c r="F878" t="s">
        <v>225</v>
      </c>
      <c r="G878">
        <v>3</v>
      </c>
      <c r="H878" s="5">
        <v>3.5</v>
      </c>
      <c r="I878" t="s">
        <v>21</v>
      </c>
      <c r="J878" t="s">
        <v>51</v>
      </c>
      <c r="K878" t="s">
        <v>52</v>
      </c>
      <c r="L878" t="s">
        <v>2125</v>
      </c>
      <c r="M878" s="5">
        <f t="shared" si="79"/>
        <v>10.5</v>
      </c>
      <c r="N878" t="str">
        <f t="shared" si="80"/>
        <v>May</v>
      </c>
      <c r="O878" t="str">
        <f t="shared" si="81"/>
        <v>Saturday</v>
      </c>
      <c r="P878">
        <f t="shared" si="78"/>
        <v>15</v>
      </c>
      <c r="Q878" s="2">
        <f t="shared" si="82"/>
        <v>6</v>
      </c>
      <c r="R878" s="2">
        <f t="shared" si="83"/>
        <v>5</v>
      </c>
      <c r="S878">
        <f>SUMIF(Table1[product_category],"Bakery",Table1[Total_bill])</f>
        <v>2951.25</v>
      </c>
    </row>
    <row r="879" spans="1:19" x14ac:dyDescent="0.3">
      <c r="A879" s="2">
        <v>10878</v>
      </c>
      <c r="B879" s="4">
        <v>46509</v>
      </c>
      <c r="C879" t="s">
        <v>1030</v>
      </c>
      <c r="D879" t="s">
        <v>40</v>
      </c>
      <c r="E879" t="s">
        <v>41</v>
      </c>
      <c r="F879" t="s">
        <v>229</v>
      </c>
      <c r="G879">
        <v>1</v>
      </c>
      <c r="H879" s="5">
        <v>5</v>
      </c>
      <c r="I879" t="s">
        <v>89</v>
      </c>
      <c r="J879" t="s">
        <v>90</v>
      </c>
      <c r="K879" t="s">
        <v>91</v>
      </c>
      <c r="L879" t="s">
        <v>2123</v>
      </c>
      <c r="M879" s="5">
        <f t="shared" si="79"/>
        <v>5</v>
      </c>
      <c r="N879" t="str">
        <f t="shared" si="80"/>
        <v>May</v>
      </c>
      <c r="O879" t="str">
        <f t="shared" si="81"/>
        <v>Sunday</v>
      </c>
      <c r="P879">
        <f t="shared" si="78"/>
        <v>14</v>
      </c>
      <c r="Q879" s="2">
        <f t="shared" si="82"/>
        <v>7</v>
      </c>
      <c r="R879" s="2">
        <f t="shared" si="83"/>
        <v>5</v>
      </c>
      <c r="S879">
        <f>SUMIF(Table1[product_category],"Bakery",Table1[Total_bill])</f>
        <v>2951.25</v>
      </c>
    </row>
    <row r="880" spans="1:19" x14ac:dyDescent="0.3">
      <c r="A880" s="2">
        <v>10879</v>
      </c>
      <c r="B880" s="4">
        <v>46510</v>
      </c>
      <c r="C880" t="s">
        <v>1031</v>
      </c>
      <c r="D880" t="s">
        <v>18</v>
      </c>
      <c r="E880" t="s">
        <v>19</v>
      </c>
      <c r="F880" t="s">
        <v>231</v>
      </c>
      <c r="G880">
        <v>1</v>
      </c>
      <c r="H880" s="5">
        <v>3.75</v>
      </c>
      <c r="I880" t="s">
        <v>32</v>
      </c>
      <c r="J880" t="s">
        <v>144</v>
      </c>
      <c r="K880" t="s">
        <v>144</v>
      </c>
      <c r="L880" t="s">
        <v>2123</v>
      </c>
      <c r="M880" s="5">
        <f t="shared" si="79"/>
        <v>3.75</v>
      </c>
      <c r="N880" t="str">
        <f t="shared" si="80"/>
        <v>May</v>
      </c>
      <c r="O880" t="str">
        <f t="shared" si="81"/>
        <v>Monday</v>
      </c>
      <c r="P880">
        <f t="shared" si="78"/>
        <v>6</v>
      </c>
      <c r="Q880" s="2">
        <f t="shared" si="82"/>
        <v>1</v>
      </c>
      <c r="R880" s="2">
        <f t="shared" si="83"/>
        <v>5</v>
      </c>
      <c r="S880">
        <f>SUMIF(Table1[product_category],"Bakery",Table1[Total_bill])</f>
        <v>2951.25</v>
      </c>
    </row>
    <row r="881" spans="1:19" x14ac:dyDescent="0.3">
      <c r="A881" s="2">
        <v>10880</v>
      </c>
      <c r="B881" s="4">
        <v>46511</v>
      </c>
      <c r="C881" t="s">
        <v>1032</v>
      </c>
      <c r="D881" t="s">
        <v>25</v>
      </c>
      <c r="E881" t="s">
        <v>26</v>
      </c>
      <c r="F881" t="s">
        <v>233</v>
      </c>
      <c r="G881">
        <v>3</v>
      </c>
      <c r="H881" s="5">
        <v>14</v>
      </c>
      <c r="I881" t="s">
        <v>101</v>
      </c>
      <c r="J881" t="s">
        <v>102</v>
      </c>
      <c r="K881" t="s">
        <v>193</v>
      </c>
      <c r="L881" t="s">
        <v>2125</v>
      </c>
      <c r="M881" s="5">
        <f t="shared" si="79"/>
        <v>42</v>
      </c>
      <c r="N881" t="str">
        <f t="shared" si="80"/>
        <v>May</v>
      </c>
      <c r="O881" t="str">
        <f t="shared" si="81"/>
        <v>Tuesday</v>
      </c>
      <c r="P881">
        <f t="shared" si="78"/>
        <v>8</v>
      </c>
      <c r="Q881" s="2">
        <f t="shared" si="82"/>
        <v>2</v>
      </c>
      <c r="R881" s="2">
        <f t="shared" si="83"/>
        <v>5</v>
      </c>
      <c r="S881">
        <f>SUMIF(Table1[product_category],"Bakery",Table1[Total_bill])</f>
        <v>2951.25</v>
      </c>
    </row>
    <row r="882" spans="1:19" x14ac:dyDescent="0.3">
      <c r="A882" s="2">
        <v>10881</v>
      </c>
      <c r="B882" s="4">
        <v>46512</v>
      </c>
      <c r="C882" t="s">
        <v>775</v>
      </c>
      <c r="D882" t="s">
        <v>18</v>
      </c>
      <c r="E882" t="s">
        <v>19</v>
      </c>
      <c r="F882" t="s">
        <v>20</v>
      </c>
      <c r="G882">
        <v>4</v>
      </c>
      <c r="H882" s="5">
        <v>5</v>
      </c>
      <c r="I882" t="s">
        <v>36</v>
      </c>
      <c r="J882" t="s">
        <v>110</v>
      </c>
      <c r="K882" t="s">
        <v>110</v>
      </c>
      <c r="L882" t="s">
        <v>2123</v>
      </c>
      <c r="M882" s="5">
        <f t="shared" si="79"/>
        <v>20</v>
      </c>
      <c r="N882" t="str">
        <f t="shared" si="80"/>
        <v>May</v>
      </c>
      <c r="O882" t="str">
        <f t="shared" si="81"/>
        <v>Wednesday</v>
      </c>
      <c r="P882">
        <f t="shared" si="78"/>
        <v>8</v>
      </c>
      <c r="Q882" s="2">
        <f t="shared" si="82"/>
        <v>3</v>
      </c>
      <c r="R882" s="2">
        <f t="shared" si="83"/>
        <v>5</v>
      </c>
      <c r="S882">
        <f>SUMIF(Table1[product_category],"Bakery",Table1[Total_bill])</f>
        <v>2951.25</v>
      </c>
    </row>
    <row r="883" spans="1:19" x14ac:dyDescent="0.3">
      <c r="A883" s="2">
        <v>10882</v>
      </c>
      <c r="B883" s="4">
        <v>46513</v>
      </c>
      <c r="C883" t="s">
        <v>1033</v>
      </c>
      <c r="D883" t="s">
        <v>25</v>
      </c>
      <c r="E883" t="s">
        <v>26</v>
      </c>
      <c r="F883" t="s">
        <v>27</v>
      </c>
      <c r="G883">
        <v>4</v>
      </c>
      <c r="H883" s="5">
        <v>2.5</v>
      </c>
      <c r="I883" t="s">
        <v>21</v>
      </c>
      <c r="J883" t="s">
        <v>47</v>
      </c>
      <c r="K883" t="s">
        <v>48</v>
      </c>
      <c r="L883" t="s">
        <v>2125</v>
      </c>
      <c r="M883" s="5">
        <f t="shared" si="79"/>
        <v>10</v>
      </c>
      <c r="N883" t="str">
        <f t="shared" si="80"/>
        <v>May</v>
      </c>
      <c r="O883" t="str">
        <f t="shared" si="81"/>
        <v>Thursday</v>
      </c>
      <c r="P883">
        <f t="shared" si="78"/>
        <v>14</v>
      </c>
      <c r="Q883" s="2">
        <f t="shared" si="82"/>
        <v>4</v>
      </c>
      <c r="R883" s="2">
        <f t="shared" si="83"/>
        <v>5</v>
      </c>
      <c r="S883">
        <f>SUMIF(Table1[product_category],"Bakery",Table1[Total_bill])</f>
        <v>2951.25</v>
      </c>
    </row>
    <row r="884" spans="1:19" x14ac:dyDescent="0.3">
      <c r="A884" s="2">
        <v>10883</v>
      </c>
      <c r="B884" s="4">
        <v>46514</v>
      </c>
      <c r="C884" t="s">
        <v>1034</v>
      </c>
      <c r="D884" t="s">
        <v>18</v>
      </c>
      <c r="E884" t="s">
        <v>19</v>
      </c>
      <c r="F884" t="s">
        <v>31</v>
      </c>
      <c r="G884">
        <v>1</v>
      </c>
      <c r="H884" s="5">
        <v>3</v>
      </c>
      <c r="I884" t="s">
        <v>32</v>
      </c>
      <c r="J884" t="s">
        <v>226</v>
      </c>
      <c r="K884" t="s">
        <v>227</v>
      </c>
      <c r="L884" t="s">
        <v>2124</v>
      </c>
      <c r="M884" s="5">
        <f t="shared" si="79"/>
        <v>3</v>
      </c>
      <c r="N884" t="str">
        <f t="shared" si="80"/>
        <v>May</v>
      </c>
      <c r="O884" t="str">
        <f t="shared" si="81"/>
        <v>Friday</v>
      </c>
      <c r="P884">
        <f t="shared" si="78"/>
        <v>6</v>
      </c>
      <c r="Q884" s="2">
        <f t="shared" si="82"/>
        <v>5</v>
      </c>
      <c r="R884" s="2">
        <f t="shared" si="83"/>
        <v>5</v>
      </c>
      <c r="S884">
        <f>SUMIF(Table1[product_category],"Bakery",Table1[Total_bill])</f>
        <v>2951.25</v>
      </c>
    </row>
    <row r="885" spans="1:19" x14ac:dyDescent="0.3">
      <c r="A885" s="2">
        <v>10884</v>
      </c>
      <c r="B885" s="4">
        <v>46515</v>
      </c>
      <c r="C885" t="s">
        <v>1035</v>
      </c>
      <c r="D885" t="s">
        <v>18</v>
      </c>
      <c r="E885" t="s">
        <v>19</v>
      </c>
      <c r="F885" t="s">
        <v>35</v>
      </c>
      <c r="G885">
        <v>2</v>
      </c>
      <c r="H885" s="5">
        <v>3.5</v>
      </c>
      <c r="I885" t="s">
        <v>36</v>
      </c>
      <c r="J885" t="s">
        <v>37</v>
      </c>
      <c r="K885" t="s">
        <v>62</v>
      </c>
      <c r="L885" t="s">
        <v>2123</v>
      </c>
      <c r="M885" s="5">
        <f t="shared" si="79"/>
        <v>7</v>
      </c>
      <c r="N885" t="str">
        <f t="shared" si="80"/>
        <v>May</v>
      </c>
      <c r="O885" t="str">
        <f t="shared" si="81"/>
        <v>Saturday</v>
      </c>
      <c r="P885">
        <f t="shared" si="78"/>
        <v>7</v>
      </c>
      <c r="Q885" s="2">
        <f t="shared" si="82"/>
        <v>6</v>
      </c>
      <c r="R885" s="2">
        <f t="shared" si="83"/>
        <v>5</v>
      </c>
      <c r="S885">
        <f>SUMIF(Table1[product_category],"Bakery",Table1[Total_bill])</f>
        <v>2951.25</v>
      </c>
    </row>
    <row r="886" spans="1:19" x14ac:dyDescent="0.3">
      <c r="A886" s="2">
        <v>10885</v>
      </c>
      <c r="B886" s="4">
        <v>46516</v>
      </c>
      <c r="C886" t="s">
        <v>1036</v>
      </c>
      <c r="D886" t="s">
        <v>18</v>
      </c>
      <c r="E886" t="s">
        <v>19</v>
      </c>
      <c r="F886" t="s">
        <v>42</v>
      </c>
      <c r="G886">
        <v>1</v>
      </c>
      <c r="H886" s="5">
        <v>9.5</v>
      </c>
      <c r="I886" t="s">
        <v>28</v>
      </c>
      <c r="J886" t="s">
        <v>28</v>
      </c>
      <c r="K886" t="s">
        <v>29</v>
      </c>
      <c r="L886" t="s">
        <v>2125</v>
      </c>
      <c r="M886" s="5">
        <f t="shared" si="79"/>
        <v>9.5</v>
      </c>
      <c r="N886" t="str">
        <f t="shared" si="80"/>
        <v>May</v>
      </c>
      <c r="O886" t="str">
        <f t="shared" si="81"/>
        <v>Sunday</v>
      </c>
      <c r="P886">
        <f t="shared" si="78"/>
        <v>16</v>
      </c>
      <c r="Q886" s="2">
        <f t="shared" si="82"/>
        <v>7</v>
      </c>
      <c r="R886" s="2">
        <f t="shared" si="83"/>
        <v>5</v>
      </c>
      <c r="S886">
        <f>SUMIF(Table1[product_category],"Bakery",Table1[Total_bill])</f>
        <v>2951.25</v>
      </c>
    </row>
    <row r="887" spans="1:19" x14ac:dyDescent="0.3">
      <c r="A887" s="2">
        <v>10886</v>
      </c>
      <c r="B887" s="4">
        <v>46517</v>
      </c>
      <c r="C887" t="s">
        <v>1037</v>
      </c>
      <c r="D887" t="s">
        <v>25</v>
      </c>
      <c r="E887" t="s">
        <v>26</v>
      </c>
      <c r="F887" t="s">
        <v>46</v>
      </c>
      <c r="G887">
        <v>1</v>
      </c>
      <c r="H887" s="5">
        <v>3</v>
      </c>
      <c r="I887" t="s">
        <v>21</v>
      </c>
      <c r="J887" t="s">
        <v>181</v>
      </c>
      <c r="K887" t="s">
        <v>182</v>
      </c>
      <c r="L887" t="s">
        <v>2125</v>
      </c>
      <c r="M887" s="5">
        <f t="shared" si="79"/>
        <v>3</v>
      </c>
      <c r="N887" t="str">
        <f t="shared" si="80"/>
        <v>May</v>
      </c>
      <c r="O887" t="str">
        <f t="shared" si="81"/>
        <v>Monday</v>
      </c>
      <c r="P887">
        <f t="shared" si="78"/>
        <v>8</v>
      </c>
      <c r="Q887" s="2">
        <f t="shared" si="82"/>
        <v>1</v>
      </c>
      <c r="R887" s="2">
        <f t="shared" si="83"/>
        <v>5</v>
      </c>
      <c r="S887">
        <f>SUMIF(Table1[product_category],"Bakery",Table1[Total_bill])</f>
        <v>2951.25</v>
      </c>
    </row>
    <row r="888" spans="1:19" x14ac:dyDescent="0.3">
      <c r="A888" s="2">
        <v>10887</v>
      </c>
      <c r="B888" s="4">
        <v>46518</v>
      </c>
      <c r="C888" t="s">
        <v>1038</v>
      </c>
      <c r="D888" t="s">
        <v>40</v>
      </c>
      <c r="E888" t="s">
        <v>41</v>
      </c>
      <c r="F888" t="s">
        <v>50</v>
      </c>
      <c r="G888">
        <v>2</v>
      </c>
      <c r="H888" s="5">
        <v>4.75</v>
      </c>
      <c r="I888" t="s">
        <v>32</v>
      </c>
      <c r="J888" t="s">
        <v>69</v>
      </c>
      <c r="K888" t="s">
        <v>69</v>
      </c>
      <c r="L888" t="s">
        <v>2123</v>
      </c>
      <c r="M888" s="5">
        <f t="shared" si="79"/>
        <v>9.5</v>
      </c>
      <c r="N888" t="str">
        <f t="shared" si="80"/>
        <v>May</v>
      </c>
      <c r="O888" t="str">
        <f t="shared" si="81"/>
        <v>Tuesday</v>
      </c>
      <c r="P888">
        <f t="shared" si="78"/>
        <v>14</v>
      </c>
      <c r="Q888" s="2">
        <f t="shared" si="82"/>
        <v>2</v>
      </c>
      <c r="R888" s="2">
        <f t="shared" si="83"/>
        <v>5</v>
      </c>
      <c r="S888">
        <f>SUMIF(Table1[product_category],"Bakery",Table1[Total_bill])</f>
        <v>2951.25</v>
      </c>
    </row>
    <row r="889" spans="1:19" x14ac:dyDescent="0.3">
      <c r="A889" s="2">
        <v>10888</v>
      </c>
      <c r="B889" s="4">
        <v>46519</v>
      </c>
      <c r="C889" t="s">
        <v>1039</v>
      </c>
      <c r="D889" t="s">
        <v>25</v>
      </c>
      <c r="E889" t="s">
        <v>26</v>
      </c>
      <c r="F889" t="s">
        <v>54</v>
      </c>
      <c r="G889">
        <v>2</v>
      </c>
      <c r="H889" s="5">
        <v>2.75</v>
      </c>
      <c r="I889" t="s">
        <v>21</v>
      </c>
      <c r="J889" t="s">
        <v>22</v>
      </c>
      <c r="K889" t="s">
        <v>23</v>
      </c>
      <c r="L889" t="s">
        <v>2125</v>
      </c>
      <c r="M889" s="5">
        <f t="shared" si="79"/>
        <v>5.5</v>
      </c>
      <c r="N889" t="str">
        <f t="shared" si="80"/>
        <v>May</v>
      </c>
      <c r="O889" t="str">
        <f t="shared" si="81"/>
        <v>Wednesday</v>
      </c>
      <c r="P889">
        <f t="shared" si="78"/>
        <v>8</v>
      </c>
      <c r="Q889" s="2">
        <f t="shared" si="82"/>
        <v>3</v>
      </c>
      <c r="R889" s="2">
        <f t="shared" si="83"/>
        <v>5</v>
      </c>
      <c r="S889">
        <f>SUMIF(Table1[product_category],"Bakery",Table1[Total_bill])</f>
        <v>2951.25</v>
      </c>
    </row>
    <row r="890" spans="1:19" x14ac:dyDescent="0.3">
      <c r="A890" s="2">
        <v>10889</v>
      </c>
      <c r="B890" s="4">
        <v>46520</v>
      </c>
      <c r="C890" t="s">
        <v>1040</v>
      </c>
      <c r="D890" t="s">
        <v>25</v>
      </c>
      <c r="E890" t="s">
        <v>26</v>
      </c>
      <c r="F890" t="s">
        <v>57</v>
      </c>
      <c r="G890">
        <v>2</v>
      </c>
      <c r="H890" s="5">
        <v>6</v>
      </c>
      <c r="I890" t="s">
        <v>72</v>
      </c>
      <c r="J890" t="s">
        <v>72</v>
      </c>
      <c r="K890" t="s">
        <v>138</v>
      </c>
      <c r="L890" t="s">
        <v>2125</v>
      </c>
      <c r="M890" s="5">
        <f t="shared" si="79"/>
        <v>12</v>
      </c>
      <c r="N890" t="str">
        <f t="shared" si="80"/>
        <v>May</v>
      </c>
      <c r="O890" t="str">
        <f t="shared" si="81"/>
        <v>Thursday</v>
      </c>
      <c r="P890">
        <f t="shared" si="78"/>
        <v>7</v>
      </c>
      <c r="Q890" s="2">
        <f t="shared" si="82"/>
        <v>4</v>
      </c>
      <c r="R890" s="2">
        <f t="shared" si="83"/>
        <v>5</v>
      </c>
      <c r="S890">
        <f>SUMIF(Table1[product_category],"Bakery",Table1[Total_bill])</f>
        <v>2951.25</v>
      </c>
    </row>
    <row r="891" spans="1:19" x14ac:dyDescent="0.3">
      <c r="A891" s="2">
        <v>10890</v>
      </c>
      <c r="B891" s="4">
        <v>46521</v>
      </c>
      <c r="C891" t="s">
        <v>1041</v>
      </c>
      <c r="D891" t="s">
        <v>40</v>
      </c>
      <c r="E891" t="s">
        <v>41</v>
      </c>
      <c r="F891" t="s">
        <v>61</v>
      </c>
      <c r="G891">
        <v>2</v>
      </c>
      <c r="H891" s="5">
        <v>2.5</v>
      </c>
      <c r="I891" t="s">
        <v>36</v>
      </c>
      <c r="J891" t="s">
        <v>37</v>
      </c>
      <c r="K891" t="s">
        <v>276</v>
      </c>
      <c r="L891" t="s">
        <v>2122</v>
      </c>
      <c r="M891" s="5">
        <f t="shared" si="79"/>
        <v>5</v>
      </c>
      <c r="N891" t="str">
        <f t="shared" si="80"/>
        <v>May</v>
      </c>
      <c r="O891" t="str">
        <f t="shared" si="81"/>
        <v>Friday</v>
      </c>
      <c r="P891">
        <f t="shared" si="78"/>
        <v>8</v>
      </c>
      <c r="Q891" s="2">
        <f t="shared" si="82"/>
        <v>5</v>
      </c>
      <c r="R891" s="2">
        <f t="shared" si="83"/>
        <v>5</v>
      </c>
      <c r="S891">
        <f>SUMIF(Table1[product_category],"Bakery",Table1[Total_bill])</f>
        <v>2951.25</v>
      </c>
    </row>
    <row r="892" spans="1:19" x14ac:dyDescent="0.3">
      <c r="A892" s="2">
        <v>10891</v>
      </c>
      <c r="B892" s="4">
        <v>46522</v>
      </c>
      <c r="C892" t="s">
        <v>1042</v>
      </c>
      <c r="D892" t="s">
        <v>40</v>
      </c>
      <c r="E892" t="s">
        <v>41</v>
      </c>
      <c r="F892" t="s">
        <v>64</v>
      </c>
      <c r="G892">
        <v>1</v>
      </c>
      <c r="H892" s="5">
        <v>4.25</v>
      </c>
      <c r="I892" t="s">
        <v>32</v>
      </c>
      <c r="J892" t="s">
        <v>202</v>
      </c>
      <c r="K892" t="s">
        <v>202</v>
      </c>
      <c r="L892" t="s">
        <v>2124</v>
      </c>
      <c r="M892" s="5">
        <f t="shared" si="79"/>
        <v>4.25</v>
      </c>
      <c r="N892" t="str">
        <f t="shared" si="80"/>
        <v>May</v>
      </c>
      <c r="O892" t="str">
        <f t="shared" si="81"/>
        <v>Saturday</v>
      </c>
      <c r="P892">
        <f t="shared" si="78"/>
        <v>15</v>
      </c>
      <c r="Q892" s="2">
        <f t="shared" si="82"/>
        <v>6</v>
      </c>
      <c r="R892" s="2">
        <f t="shared" si="83"/>
        <v>5</v>
      </c>
      <c r="S892">
        <f>SUMIF(Table1[product_category],"Bakery",Table1[Total_bill])</f>
        <v>2951.25</v>
      </c>
    </row>
    <row r="893" spans="1:19" x14ac:dyDescent="0.3">
      <c r="A893" s="2">
        <v>10892</v>
      </c>
      <c r="B893" s="4">
        <v>46523</v>
      </c>
      <c r="C893" t="s">
        <v>1043</v>
      </c>
      <c r="D893" t="s">
        <v>40</v>
      </c>
      <c r="E893" t="s">
        <v>41</v>
      </c>
      <c r="F893" t="s">
        <v>66</v>
      </c>
      <c r="G893">
        <v>1</v>
      </c>
      <c r="H893" s="5">
        <v>2.75</v>
      </c>
      <c r="I893" t="s">
        <v>32</v>
      </c>
      <c r="J893" t="s">
        <v>43</v>
      </c>
      <c r="K893" t="s">
        <v>44</v>
      </c>
      <c r="L893" t="s">
        <v>2123</v>
      </c>
      <c r="M893" s="5">
        <f t="shared" si="79"/>
        <v>2.75</v>
      </c>
      <c r="N893" t="str">
        <f t="shared" si="80"/>
        <v>May</v>
      </c>
      <c r="O893" t="str">
        <f t="shared" si="81"/>
        <v>Sunday</v>
      </c>
      <c r="P893">
        <f t="shared" si="78"/>
        <v>17</v>
      </c>
      <c r="Q893" s="2">
        <f t="shared" si="82"/>
        <v>7</v>
      </c>
      <c r="R893" s="2">
        <f t="shared" si="83"/>
        <v>5</v>
      </c>
      <c r="S893">
        <f>SUMIF(Table1[product_category],"Bakery",Table1[Total_bill])</f>
        <v>2951.25</v>
      </c>
    </row>
    <row r="894" spans="1:19" x14ac:dyDescent="0.3">
      <c r="A894" s="2">
        <v>10893</v>
      </c>
      <c r="B894" s="4">
        <v>46524</v>
      </c>
      <c r="C894" t="s">
        <v>1044</v>
      </c>
      <c r="D894" t="s">
        <v>40</v>
      </c>
      <c r="E894" t="s">
        <v>41</v>
      </c>
      <c r="F894" t="s">
        <v>68</v>
      </c>
      <c r="G894">
        <v>3</v>
      </c>
      <c r="H894" s="5">
        <v>6</v>
      </c>
      <c r="I894" t="s">
        <v>72</v>
      </c>
      <c r="J894" t="s">
        <v>72</v>
      </c>
      <c r="K894" t="s">
        <v>138</v>
      </c>
      <c r="L894" t="s">
        <v>2125</v>
      </c>
      <c r="M894" s="5">
        <f t="shared" si="79"/>
        <v>18</v>
      </c>
      <c r="N894" t="str">
        <f t="shared" si="80"/>
        <v>May</v>
      </c>
      <c r="O894" t="str">
        <f t="shared" si="81"/>
        <v>Monday</v>
      </c>
      <c r="P894">
        <f t="shared" si="78"/>
        <v>16</v>
      </c>
      <c r="Q894" s="2">
        <f t="shared" si="82"/>
        <v>1</v>
      </c>
      <c r="R894" s="2">
        <f t="shared" si="83"/>
        <v>5</v>
      </c>
      <c r="S894">
        <f>SUMIF(Table1[product_category],"Bakery",Table1[Total_bill])</f>
        <v>2951.25</v>
      </c>
    </row>
    <row r="895" spans="1:19" x14ac:dyDescent="0.3">
      <c r="A895" s="2">
        <v>10894</v>
      </c>
      <c r="B895" s="4">
        <v>46525</v>
      </c>
      <c r="C895" t="s">
        <v>1045</v>
      </c>
      <c r="D895" t="s">
        <v>18</v>
      </c>
      <c r="E895" t="s">
        <v>19</v>
      </c>
      <c r="F895" t="s">
        <v>71</v>
      </c>
      <c r="G895">
        <v>4</v>
      </c>
      <c r="H895" s="5">
        <v>2.75</v>
      </c>
      <c r="I895" t="s">
        <v>21</v>
      </c>
      <c r="J895" t="s">
        <v>22</v>
      </c>
      <c r="K895" t="s">
        <v>23</v>
      </c>
      <c r="L895" t="s">
        <v>2125</v>
      </c>
      <c r="M895" s="5">
        <f t="shared" si="79"/>
        <v>11</v>
      </c>
      <c r="N895" t="str">
        <f t="shared" si="80"/>
        <v>May</v>
      </c>
      <c r="O895" t="str">
        <f t="shared" si="81"/>
        <v>Tuesday</v>
      </c>
      <c r="P895">
        <f t="shared" si="78"/>
        <v>10</v>
      </c>
      <c r="Q895" s="2">
        <f t="shared" si="82"/>
        <v>2</v>
      </c>
      <c r="R895" s="2">
        <f t="shared" si="83"/>
        <v>5</v>
      </c>
      <c r="S895">
        <f>SUMIF(Table1[product_category],"Bakery",Table1[Total_bill])</f>
        <v>2951.25</v>
      </c>
    </row>
    <row r="896" spans="1:19" x14ac:dyDescent="0.3">
      <c r="A896" s="2">
        <v>10895</v>
      </c>
      <c r="B896" s="4">
        <v>46526</v>
      </c>
      <c r="C896" t="s">
        <v>1046</v>
      </c>
      <c r="D896" t="s">
        <v>25</v>
      </c>
      <c r="E896" t="s">
        <v>26</v>
      </c>
      <c r="F896" t="s">
        <v>75</v>
      </c>
      <c r="G896">
        <v>4</v>
      </c>
      <c r="H896" s="5">
        <v>4.5</v>
      </c>
      <c r="I896" t="s">
        <v>32</v>
      </c>
      <c r="J896" t="s">
        <v>94</v>
      </c>
      <c r="K896" t="s">
        <v>95</v>
      </c>
      <c r="L896" t="s">
        <v>2123</v>
      </c>
      <c r="M896" s="5">
        <f t="shared" si="79"/>
        <v>18</v>
      </c>
      <c r="N896" t="str">
        <f t="shared" si="80"/>
        <v>May</v>
      </c>
      <c r="O896" t="str">
        <f t="shared" si="81"/>
        <v>Wednesday</v>
      </c>
      <c r="P896">
        <f t="shared" si="78"/>
        <v>14</v>
      </c>
      <c r="Q896" s="2">
        <f t="shared" si="82"/>
        <v>3</v>
      </c>
      <c r="R896" s="2">
        <f t="shared" si="83"/>
        <v>5</v>
      </c>
      <c r="S896">
        <f>SUMIF(Table1[product_category],"Bakery",Table1[Total_bill])</f>
        <v>2951.25</v>
      </c>
    </row>
    <row r="897" spans="1:19" x14ac:dyDescent="0.3">
      <c r="A897" s="2">
        <v>10896</v>
      </c>
      <c r="B897" s="4">
        <v>46527</v>
      </c>
      <c r="C897" t="s">
        <v>1047</v>
      </c>
      <c r="D897" t="s">
        <v>18</v>
      </c>
      <c r="E897" t="s">
        <v>19</v>
      </c>
      <c r="F897" t="s">
        <v>78</v>
      </c>
      <c r="G897">
        <v>4</v>
      </c>
      <c r="H897" s="5">
        <v>3.5</v>
      </c>
      <c r="I897" t="s">
        <v>21</v>
      </c>
      <c r="J897" t="s">
        <v>51</v>
      </c>
      <c r="K897" t="s">
        <v>52</v>
      </c>
      <c r="L897" t="s">
        <v>2125</v>
      </c>
      <c r="M897" s="5">
        <f t="shared" si="79"/>
        <v>14</v>
      </c>
      <c r="N897" t="str">
        <f t="shared" si="80"/>
        <v>May</v>
      </c>
      <c r="O897" t="str">
        <f t="shared" si="81"/>
        <v>Thursday</v>
      </c>
      <c r="P897">
        <f t="shared" si="78"/>
        <v>8</v>
      </c>
      <c r="Q897" s="2">
        <f t="shared" si="82"/>
        <v>4</v>
      </c>
      <c r="R897" s="2">
        <f t="shared" si="83"/>
        <v>5</v>
      </c>
      <c r="S897">
        <f>SUMIF(Table1[product_category],"Bakery",Table1[Total_bill])</f>
        <v>2951.25</v>
      </c>
    </row>
    <row r="898" spans="1:19" x14ac:dyDescent="0.3">
      <c r="A898" s="2">
        <v>10897</v>
      </c>
      <c r="B898" s="4">
        <v>46528</v>
      </c>
      <c r="C898" t="s">
        <v>1048</v>
      </c>
      <c r="D898" t="s">
        <v>40</v>
      </c>
      <c r="E898" t="s">
        <v>41</v>
      </c>
      <c r="F898" t="s">
        <v>80</v>
      </c>
      <c r="G898">
        <v>4</v>
      </c>
      <c r="H898" s="5">
        <v>4</v>
      </c>
      <c r="I898" t="s">
        <v>32</v>
      </c>
      <c r="J898" t="s">
        <v>55</v>
      </c>
      <c r="K898" t="s">
        <v>55</v>
      </c>
      <c r="L898" t="s">
        <v>2123</v>
      </c>
      <c r="M898" s="5">
        <f t="shared" si="79"/>
        <v>16</v>
      </c>
      <c r="N898" t="str">
        <f t="shared" si="80"/>
        <v>May</v>
      </c>
      <c r="O898" t="str">
        <f t="shared" si="81"/>
        <v>Friday</v>
      </c>
      <c r="P898">
        <f t="shared" ref="P898:P961" si="84">HOUR(TIMEVALUE(C898))</f>
        <v>9</v>
      </c>
      <c r="Q898" s="2">
        <f t="shared" si="82"/>
        <v>5</v>
      </c>
      <c r="R898" s="2">
        <f t="shared" si="83"/>
        <v>5</v>
      </c>
      <c r="S898">
        <f>SUMIF(Table1[product_category],"Bakery",Table1[Total_bill])</f>
        <v>2951.25</v>
      </c>
    </row>
    <row r="899" spans="1:19" x14ac:dyDescent="0.3">
      <c r="A899" s="2">
        <v>10898</v>
      </c>
      <c r="B899" s="4">
        <v>46529</v>
      </c>
      <c r="C899" t="s">
        <v>1049</v>
      </c>
      <c r="D899" t="s">
        <v>25</v>
      </c>
      <c r="E899" t="s">
        <v>26</v>
      </c>
      <c r="F899" t="s">
        <v>84</v>
      </c>
      <c r="G899">
        <v>1</v>
      </c>
      <c r="H899" s="5">
        <v>3</v>
      </c>
      <c r="I899" t="s">
        <v>36</v>
      </c>
      <c r="J899" t="s">
        <v>37</v>
      </c>
      <c r="K899" t="s">
        <v>276</v>
      </c>
      <c r="L899" t="s">
        <v>2124</v>
      </c>
      <c r="M899" s="5">
        <f t="shared" ref="M899:M962" si="85">G899*H899</f>
        <v>3</v>
      </c>
      <c r="N899" t="str">
        <f t="shared" ref="N899:N962" si="86">TEXT(B899,"mmmm")</f>
        <v>May</v>
      </c>
      <c r="O899" t="str">
        <f t="shared" ref="O899:O962" si="87">TEXT(B899,"dddd")</f>
        <v>Saturday</v>
      </c>
      <c r="P899">
        <f t="shared" si="84"/>
        <v>18</v>
      </c>
      <c r="Q899" s="2">
        <f t="shared" ref="Q899:Q962" si="88">WEEKDAY(B899,2)</f>
        <v>6</v>
      </c>
      <c r="R899" s="2">
        <f t="shared" ref="R899:R962" si="89">MONTH(B899)</f>
        <v>5</v>
      </c>
      <c r="S899">
        <f>SUMIF(Table1[product_category],"Bakery",Table1[Total_bill])</f>
        <v>2951.25</v>
      </c>
    </row>
    <row r="900" spans="1:19" x14ac:dyDescent="0.3">
      <c r="A900" s="2">
        <v>10899</v>
      </c>
      <c r="B900" s="4">
        <v>46530</v>
      </c>
      <c r="C900" t="s">
        <v>1050</v>
      </c>
      <c r="D900" t="s">
        <v>40</v>
      </c>
      <c r="E900" t="s">
        <v>41</v>
      </c>
      <c r="F900" t="s">
        <v>86</v>
      </c>
      <c r="G900">
        <v>3</v>
      </c>
      <c r="H900" s="5">
        <v>4.25</v>
      </c>
      <c r="I900" t="s">
        <v>36</v>
      </c>
      <c r="J900" t="s">
        <v>211</v>
      </c>
      <c r="K900" t="s">
        <v>239</v>
      </c>
      <c r="L900" t="s">
        <v>2123</v>
      </c>
      <c r="M900" s="5">
        <f t="shared" si="85"/>
        <v>12.75</v>
      </c>
      <c r="N900" t="str">
        <f t="shared" si="86"/>
        <v>May</v>
      </c>
      <c r="O900" t="str">
        <f t="shared" si="87"/>
        <v>Sunday</v>
      </c>
      <c r="P900">
        <f t="shared" si="84"/>
        <v>6</v>
      </c>
      <c r="Q900" s="2">
        <f t="shared" si="88"/>
        <v>7</v>
      </c>
      <c r="R900" s="2">
        <f t="shared" si="89"/>
        <v>5</v>
      </c>
      <c r="S900">
        <f>SUMIF(Table1[product_category],"Bakery",Table1[Total_bill])</f>
        <v>2951.25</v>
      </c>
    </row>
    <row r="901" spans="1:19" x14ac:dyDescent="0.3">
      <c r="A901" s="2">
        <v>10900</v>
      </c>
      <c r="B901" s="4">
        <v>46531</v>
      </c>
      <c r="C901" t="s">
        <v>1051</v>
      </c>
      <c r="D901" t="s">
        <v>18</v>
      </c>
      <c r="E901" t="s">
        <v>19</v>
      </c>
      <c r="F901" t="s">
        <v>88</v>
      </c>
      <c r="G901">
        <v>3</v>
      </c>
      <c r="H901" s="5">
        <v>2.5</v>
      </c>
      <c r="I901" t="s">
        <v>21</v>
      </c>
      <c r="J901" t="s">
        <v>47</v>
      </c>
      <c r="K901" t="s">
        <v>48</v>
      </c>
      <c r="L901" t="s">
        <v>2125</v>
      </c>
      <c r="M901" s="5">
        <f t="shared" si="85"/>
        <v>7.5</v>
      </c>
      <c r="N901" t="str">
        <f t="shared" si="86"/>
        <v>May</v>
      </c>
      <c r="O901" t="str">
        <f t="shared" si="87"/>
        <v>Monday</v>
      </c>
      <c r="P901">
        <f t="shared" si="84"/>
        <v>7</v>
      </c>
      <c r="Q901" s="2">
        <f t="shared" si="88"/>
        <v>1</v>
      </c>
      <c r="R901" s="2">
        <f t="shared" si="89"/>
        <v>5</v>
      </c>
      <c r="S901">
        <f>SUMIF(Table1[product_category],"Bakery",Table1[Total_bill])</f>
        <v>2951.25</v>
      </c>
    </row>
    <row r="902" spans="1:19" x14ac:dyDescent="0.3">
      <c r="A902" s="2">
        <v>10901</v>
      </c>
      <c r="B902" s="4">
        <v>46532</v>
      </c>
      <c r="C902" t="s">
        <v>1052</v>
      </c>
      <c r="D902" t="s">
        <v>25</v>
      </c>
      <c r="E902" t="s">
        <v>26</v>
      </c>
      <c r="F902" t="s">
        <v>93</v>
      </c>
      <c r="G902">
        <v>3</v>
      </c>
      <c r="H902" s="5">
        <v>11</v>
      </c>
      <c r="I902" t="s">
        <v>98</v>
      </c>
      <c r="J902" t="s">
        <v>98</v>
      </c>
      <c r="K902" t="s">
        <v>215</v>
      </c>
      <c r="L902" t="s">
        <v>2125</v>
      </c>
      <c r="M902" s="5">
        <f t="shared" si="85"/>
        <v>33</v>
      </c>
      <c r="N902" t="str">
        <f t="shared" si="86"/>
        <v>May</v>
      </c>
      <c r="O902" t="str">
        <f t="shared" si="87"/>
        <v>Tuesday</v>
      </c>
      <c r="P902">
        <f t="shared" si="84"/>
        <v>8</v>
      </c>
      <c r="Q902" s="2">
        <f t="shared" si="88"/>
        <v>2</v>
      </c>
      <c r="R902" s="2">
        <f t="shared" si="89"/>
        <v>5</v>
      </c>
      <c r="S902">
        <f>SUMIF(Table1[product_category],"Bakery",Table1[Total_bill])</f>
        <v>2951.25</v>
      </c>
    </row>
    <row r="903" spans="1:19" x14ac:dyDescent="0.3">
      <c r="A903" s="2">
        <v>10902</v>
      </c>
      <c r="B903" s="4">
        <v>46533</v>
      </c>
      <c r="C903" t="s">
        <v>1053</v>
      </c>
      <c r="D903" t="s">
        <v>40</v>
      </c>
      <c r="E903" t="s">
        <v>41</v>
      </c>
      <c r="F903" t="s">
        <v>97</v>
      </c>
      <c r="G903">
        <v>2</v>
      </c>
      <c r="H903" s="5">
        <v>14</v>
      </c>
      <c r="I903" t="s">
        <v>98</v>
      </c>
      <c r="J903" t="s">
        <v>98</v>
      </c>
      <c r="K903" t="s">
        <v>129</v>
      </c>
      <c r="L903" t="s">
        <v>2125</v>
      </c>
      <c r="M903" s="5">
        <f t="shared" si="85"/>
        <v>28</v>
      </c>
      <c r="N903" t="str">
        <f t="shared" si="86"/>
        <v>May</v>
      </c>
      <c r="O903" t="str">
        <f t="shared" si="87"/>
        <v>Wednesday</v>
      </c>
      <c r="P903">
        <f t="shared" si="84"/>
        <v>6</v>
      </c>
      <c r="Q903" s="2">
        <f t="shared" si="88"/>
        <v>3</v>
      </c>
      <c r="R903" s="2">
        <f t="shared" si="89"/>
        <v>5</v>
      </c>
      <c r="S903">
        <f>SUMIF(Table1[product_category],"Bakery",Table1[Total_bill])</f>
        <v>2951.25</v>
      </c>
    </row>
    <row r="904" spans="1:19" x14ac:dyDescent="0.3">
      <c r="A904" s="2">
        <v>10903</v>
      </c>
      <c r="B904" s="4">
        <v>46534</v>
      </c>
      <c r="C904" t="s">
        <v>1054</v>
      </c>
      <c r="D904" t="s">
        <v>18</v>
      </c>
      <c r="E904" t="s">
        <v>19</v>
      </c>
      <c r="F904" t="s">
        <v>100</v>
      </c>
      <c r="G904">
        <v>3</v>
      </c>
      <c r="H904" s="5">
        <v>2.5</v>
      </c>
      <c r="I904" t="s">
        <v>36</v>
      </c>
      <c r="J904" t="s">
        <v>37</v>
      </c>
      <c r="K904" t="s">
        <v>62</v>
      </c>
      <c r="L904" t="s">
        <v>2122</v>
      </c>
      <c r="M904" s="5">
        <f t="shared" si="85"/>
        <v>7.5</v>
      </c>
      <c r="N904" t="str">
        <f t="shared" si="86"/>
        <v>May</v>
      </c>
      <c r="O904" t="str">
        <f t="shared" si="87"/>
        <v>Thursday</v>
      </c>
      <c r="P904">
        <f t="shared" si="84"/>
        <v>8</v>
      </c>
      <c r="Q904" s="2">
        <f t="shared" si="88"/>
        <v>4</v>
      </c>
      <c r="R904" s="2">
        <f t="shared" si="89"/>
        <v>5</v>
      </c>
      <c r="S904">
        <f>SUMIF(Table1[product_category],"Bakery",Table1[Total_bill])</f>
        <v>2951.25</v>
      </c>
    </row>
    <row r="905" spans="1:19" x14ac:dyDescent="0.3">
      <c r="A905" s="2">
        <v>10904</v>
      </c>
      <c r="B905" s="4">
        <v>46535</v>
      </c>
      <c r="C905" t="s">
        <v>1055</v>
      </c>
      <c r="D905" t="s">
        <v>40</v>
      </c>
      <c r="E905" t="s">
        <v>41</v>
      </c>
      <c r="F905" t="s">
        <v>105</v>
      </c>
      <c r="G905">
        <v>2</v>
      </c>
      <c r="H905" s="5">
        <v>2.5</v>
      </c>
      <c r="I905" t="s">
        <v>36</v>
      </c>
      <c r="J905" t="s">
        <v>37</v>
      </c>
      <c r="K905" t="s">
        <v>38</v>
      </c>
      <c r="L905" t="s">
        <v>2122</v>
      </c>
      <c r="M905" s="5">
        <f t="shared" si="85"/>
        <v>5</v>
      </c>
      <c r="N905" t="str">
        <f t="shared" si="86"/>
        <v>May</v>
      </c>
      <c r="O905" t="str">
        <f t="shared" si="87"/>
        <v>Friday</v>
      </c>
      <c r="P905">
        <f t="shared" si="84"/>
        <v>13</v>
      </c>
      <c r="Q905" s="2">
        <f t="shared" si="88"/>
        <v>5</v>
      </c>
      <c r="R905" s="2">
        <f t="shared" si="89"/>
        <v>5</v>
      </c>
      <c r="S905">
        <f>SUMIF(Table1[product_category],"Bakery",Table1[Total_bill])</f>
        <v>2951.25</v>
      </c>
    </row>
    <row r="906" spans="1:19" x14ac:dyDescent="0.3">
      <c r="A906" s="2">
        <v>10905</v>
      </c>
      <c r="B906" s="4">
        <v>46536</v>
      </c>
      <c r="C906" t="s">
        <v>1056</v>
      </c>
      <c r="D906" t="s">
        <v>25</v>
      </c>
      <c r="E906" t="s">
        <v>26</v>
      </c>
      <c r="F906" t="s">
        <v>107</v>
      </c>
      <c r="G906">
        <v>4</v>
      </c>
      <c r="H906" s="5">
        <v>11</v>
      </c>
      <c r="I906" t="s">
        <v>98</v>
      </c>
      <c r="J906" t="s">
        <v>98</v>
      </c>
      <c r="K906" t="s">
        <v>215</v>
      </c>
      <c r="L906" t="s">
        <v>2125</v>
      </c>
      <c r="M906" s="5">
        <f t="shared" si="85"/>
        <v>44</v>
      </c>
      <c r="N906" t="str">
        <f t="shared" si="86"/>
        <v>May</v>
      </c>
      <c r="O906" t="str">
        <f t="shared" si="87"/>
        <v>Saturday</v>
      </c>
      <c r="P906">
        <f t="shared" si="84"/>
        <v>10</v>
      </c>
      <c r="Q906" s="2">
        <f t="shared" si="88"/>
        <v>6</v>
      </c>
      <c r="R906" s="2">
        <f t="shared" si="89"/>
        <v>5</v>
      </c>
      <c r="S906">
        <f>SUMIF(Table1[product_category],"Bakery",Table1[Total_bill])</f>
        <v>2951.25</v>
      </c>
    </row>
    <row r="907" spans="1:19" x14ac:dyDescent="0.3">
      <c r="A907" s="2">
        <v>10906</v>
      </c>
      <c r="B907" s="4">
        <v>46537</v>
      </c>
      <c r="C907" t="s">
        <v>1057</v>
      </c>
      <c r="D907" t="s">
        <v>18</v>
      </c>
      <c r="E907" t="s">
        <v>19</v>
      </c>
      <c r="F907" t="s">
        <v>109</v>
      </c>
      <c r="G907">
        <v>3</v>
      </c>
      <c r="H907" s="5">
        <v>24</v>
      </c>
      <c r="I907" t="s">
        <v>101</v>
      </c>
      <c r="J907" t="s">
        <v>102</v>
      </c>
      <c r="K907" t="s">
        <v>103</v>
      </c>
      <c r="L907" t="s">
        <v>2125</v>
      </c>
      <c r="M907" s="5">
        <f t="shared" si="85"/>
        <v>72</v>
      </c>
      <c r="N907" t="str">
        <f t="shared" si="86"/>
        <v>May</v>
      </c>
      <c r="O907" t="str">
        <f t="shared" si="87"/>
        <v>Sunday</v>
      </c>
      <c r="P907">
        <f t="shared" si="84"/>
        <v>18</v>
      </c>
      <c r="Q907" s="2">
        <f t="shared" si="88"/>
        <v>7</v>
      </c>
      <c r="R907" s="2">
        <f t="shared" si="89"/>
        <v>5</v>
      </c>
      <c r="S907">
        <f>SUMIF(Table1[product_category],"Bakery",Table1[Total_bill])</f>
        <v>2951.25</v>
      </c>
    </row>
    <row r="908" spans="1:19" x14ac:dyDescent="0.3">
      <c r="A908" s="2">
        <v>10907</v>
      </c>
      <c r="B908" s="4">
        <v>46538</v>
      </c>
      <c r="C908" t="s">
        <v>1058</v>
      </c>
      <c r="D908" t="s">
        <v>18</v>
      </c>
      <c r="E908" t="s">
        <v>19</v>
      </c>
      <c r="F908" t="s">
        <v>112</v>
      </c>
      <c r="G908">
        <v>1</v>
      </c>
      <c r="H908" s="5">
        <v>4</v>
      </c>
      <c r="I908" t="s">
        <v>32</v>
      </c>
      <c r="J908" t="s">
        <v>94</v>
      </c>
      <c r="K908" t="s">
        <v>95</v>
      </c>
      <c r="L908" t="s">
        <v>2124</v>
      </c>
      <c r="M908" s="5">
        <f t="shared" si="85"/>
        <v>4</v>
      </c>
      <c r="N908" t="str">
        <f t="shared" si="86"/>
        <v>May</v>
      </c>
      <c r="O908" t="str">
        <f t="shared" si="87"/>
        <v>Monday</v>
      </c>
      <c r="P908">
        <f t="shared" si="84"/>
        <v>16</v>
      </c>
      <c r="Q908" s="2">
        <f t="shared" si="88"/>
        <v>1</v>
      </c>
      <c r="R908" s="2">
        <f t="shared" si="89"/>
        <v>5</v>
      </c>
      <c r="S908">
        <f>SUMIF(Table1[product_category],"Bakery",Table1[Total_bill])</f>
        <v>2951.25</v>
      </c>
    </row>
    <row r="909" spans="1:19" x14ac:dyDescent="0.3">
      <c r="A909" s="2">
        <v>10908</v>
      </c>
      <c r="B909" s="4">
        <v>46539</v>
      </c>
      <c r="C909" t="s">
        <v>1059</v>
      </c>
      <c r="D909" t="s">
        <v>25</v>
      </c>
      <c r="E909" t="s">
        <v>26</v>
      </c>
      <c r="F909" t="s">
        <v>115</v>
      </c>
      <c r="G909">
        <v>1</v>
      </c>
      <c r="H909" s="5">
        <v>4.5</v>
      </c>
      <c r="I909" t="s">
        <v>36</v>
      </c>
      <c r="J909" t="s">
        <v>110</v>
      </c>
      <c r="K909" t="s">
        <v>110</v>
      </c>
      <c r="L909" t="s">
        <v>2124</v>
      </c>
      <c r="M909" s="5">
        <f t="shared" si="85"/>
        <v>4.5</v>
      </c>
      <c r="N909" t="str">
        <f t="shared" si="86"/>
        <v>June</v>
      </c>
      <c r="O909" t="str">
        <f t="shared" si="87"/>
        <v>Tuesday</v>
      </c>
      <c r="P909">
        <f t="shared" si="84"/>
        <v>9</v>
      </c>
      <c r="Q909" s="2">
        <f t="shared" si="88"/>
        <v>2</v>
      </c>
      <c r="R909" s="2">
        <f t="shared" si="89"/>
        <v>6</v>
      </c>
      <c r="S909">
        <f>SUMIF(Table1[product_category],"Bakery",Table1[Total_bill])</f>
        <v>2951.25</v>
      </c>
    </row>
    <row r="910" spans="1:19" x14ac:dyDescent="0.3">
      <c r="A910" s="2">
        <v>10909</v>
      </c>
      <c r="B910" s="4">
        <v>46540</v>
      </c>
      <c r="C910" t="s">
        <v>1060</v>
      </c>
      <c r="D910" t="s">
        <v>40</v>
      </c>
      <c r="E910" t="s">
        <v>41</v>
      </c>
      <c r="F910" t="s">
        <v>117</v>
      </c>
      <c r="G910">
        <v>3</v>
      </c>
      <c r="H910" s="5">
        <v>2.25</v>
      </c>
      <c r="I910" t="s">
        <v>21</v>
      </c>
      <c r="J910" t="s">
        <v>58</v>
      </c>
      <c r="K910" t="s">
        <v>59</v>
      </c>
      <c r="L910" t="s">
        <v>2125</v>
      </c>
      <c r="M910" s="5">
        <f t="shared" si="85"/>
        <v>6.75</v>
      </c>
      <c r="N910" t="str">
        <f t="shared" si="86"/>
        <v>June</v>
      </c>
      <c r="O910" t="str">
        <f t="shared" si="87"/>
        <v>Wednesday</v>
      </c>
      <c r="P910">
        <f t="shared" si="84"/>
        <v>8</v>
      </c>
      <c r="Q910" s="2">
        <f t="shared" si="88"/>
        <v>3</v>
      </c>
      <c r="R910" s="2">
        <f t="shared" si="89"/>
        <v>6</v>
      </c>
      <c r="S910">
        <f>SUMIF(Table1[product_category],"Bakery",Table1[Total_bill])</f>
        <v>2951.25</v>
      </c>
    </row>
    <row r="911" spans="1:19" x14ac:dyDescent="0.3">
      <c r="A911" s="2">
        <v>10910</v>
      </c>
      <c r="B911" s="4">
        <v>46541</v>
      </c>
      <c r="C911" t="s">
        <v>1061</v>
      </c>
      <c r="D911" t="s">
        <v>40</v>
      </c>
      <c r="E911" t="s">
        <v>41</v>
      </c>
      <c r="F911" t="s">
        <v>119</v>
      </c>
      <c r="G911">
        <v>1</v>
      </c>
      <c r="H911" s="5">
        <v>3.5</v>
      </c>
      <c r="I911" t="s">
        <v>21</v>
      </c>
      <c r="J911" t="s">
        <v>51</v>
      </c>
      <c r="K911" t="s">
        <v>52</v>
      </c>
      <c r="L911" t="s">
        <v>2125</v>
      </c>
      <c r="M911" s="5">
        <f t="shared" si="85"/>
        <v>3.5</v>
      </c>
      <c r="N911" t="str">
        <f t="shared" si="86"/>
        <v>June</v>
      </c>
      <c r="O911" t="str">
        <f t="shared" si="87"/>
        <v>Thursday</v>
      </c>
      <c r="P911">
        <f t="shared" si="84"/>
        <v>10</v>
      </c>
      <c r="Q911" s="2">
        <f t="shared" si="88"/>
        <v>4</v>
      </c>
      <c r="R911" s="2">
        <f t="shared" si="89"/>
        <v>6</v>
      </c>
      <c r="S911">
        <f>SUMIF(Table1[product_category],"Bakery",Table1[Total_bill])</f>
        <v>2951.25</v>
      </c>
    </row>
    <row r="912" spans="1:19" x14ac:dyDescent="0.3">
      <c r="A912" s="2">
        <v>10911</v>
      </c>
      <c r="B912" s="4">
        <v>46542</v>
      </c>
      <c r="C912" t="s">
        <v>1062</v>
      </c>
      <c r="D912" t="s">
        <v>18</v>
      </c>
      <c r="E912" t="s">
        <v>19</v>
      </c>
      <c r="F912" t="s">
        <v>121</v>
      </c>
      <c r="G912">
        <v>2</v>
      </c>
      <c r="H912" s="5">
        <v>3.5</v>
      </c>
      <c r="I912" t="s">
        <v>36</v>
      </c>
      <c r="J912" t="s">
        <v>37</v>
      </c>
      <c r="K912" t="s">
        <v>38</v>
      </c>
      <c r="L912" t="s">
        <v>2123</v>
      </c>
      <c r="M912" s="5">
        <f t="shared" si="85"/>
        <v>7</v>
      </c>
      <c r="N912" t="str">
        <f t="shared" si="86"/>
        <v>June</v>
      </c>
      <c r="O912" t="str">
        <f t="shared" si="87"/>
        <v>Friday</v>
      </c>
      <c r="P912">
        <f t="shared" si="84"/>
        <v>13</v>
      </c>
      <c r="Q912" s="2">
        <f t="shared" si="88"/>
        <v>5</v>
      </c>
      <c r="R912" s="2">
        <f t="shared" si="89"/>
        <v>6</v>
      </c>
      <c r="S912">
        <f>SUMIF(Table1[product_category],"Bakery",Table1[Total_bill])</f>
        <v>2951.25</v>
      </c>
    </row>
    <row r="913" spans="1:19" x14ac:dyDescent="0.3">
      <c r="A913" s="2">
        <v>10912</v>
      </c>
      <c r="B913" s="4">
        <v>46543</v>
      </c>
      <c r="C913" t="s">
        <v>1063</v>
      </c>
      <c r="D913" t="s">
        <v>18</v>
      </c>
      <c r="E913" t="s">
        <v>19</v>
      </c>
      <c r="F913" t="s">
        <v>124</v>
      </c>
      <c r="G913">
        <v>4</v>
      </c>
      <c r="H913" s="5">
        <v>14</v>
      </c>
      <c r="I913" t="s">
        <v>101</v>
      </c>
      <c r="J913" t="s">
        <v>102</v>
      </c>
      <c r="K913" t="s">
        <v>193</v>
      </c>
      <c r="L913" t="s">
        <v>2125</v>
      </c>
      <c r="M913" s="5">
        <f t="shared" si="85"/>
        <v>56</v>
      </c>
      <c r="N913" t="str">
        <f t="shared" si="86"/>
        <v>June</v>
      </c>
      <c r="O913" t="str">
        <f t="shared" si="87"/>
        <v>Saturday</v>
      </c>
      <c r="P913">
        <f t="shared" si="84"/>
        <v>9</v>
      </c>
      <c r="Q913" s="2">
        <f t="shared" si="88"/>
        <v>6</v>
      </c>
      <c r="R913" s="2">
        <f t="shared" si="89"/>
        <v>6</v>
      </c>
      <c r="S913">
        <f>SUMIF(Table1[product_category],"Bakery",Table1[Total_bill])</f>
        <v>2951.25</v>
      </c>
    </row>
    <row r="914" spans="1:19" x14ac:dyDescent="0.3">
      <c r="A914" s="2">
        <v>10913</v>
      </c>
      <c r="B914" s="4">
        <v>46544</v>
      </c>
      <c r="C914" t="s">
        <v>1064</v>
      </c>
      <c r="D914" t="s">
        <v>40</v>
      </c>
      <c r="E914" t="s">
        <v>41</v>
      </c>
      <c r="F914" t="s">
        <v>126</v>
      </c>
      <c r="G914">
        <v>4</v>
      </c>
      <c r="H914" s="5">
        <v>3</v>
      </c>
      <c r="I914" t="s">
        <v>21</v>
      </c>
      <c r="J914" t="s">
        <v>181</v>
      </c>
      <c r="K914" t="s">
        <v>182</v>
      </c>
      <c r="L914" t="s">
        <v>2125</v>
      </c>
      <c r="M914" s="5">
        <f t="shared" si="85"/>
        <v>12</v>
      </c>
      <c r="N914" t="str">
        <f t="shared" si="86"/>
        <v>June</v>
      </c>
      <c r="O914" t="str">
        <f t="shared" si="87"/>
        <v>Sunday</v>
      </c>
      <c r="P914">
        <f t="shared" si="84"/>
        <v>13</v>
      </c>
      <c r="Q914" s="2">
        <f t="shared" si="88"/>
        <v>7</v>
      </c>
      <c r="R914" s="2">
        <f t="shared" si="89"/>
        <v>6</v>
      </c>
      <c r="S914">
        <f>SUMIF(Table1[product_category],"Bakery",Table1[Total_bill])</f>
        <v>2951.25</v>
      </c>
    </row>
    <row r="915" spans="1:19" x14ac:dyDescent="0.3">
      <c r="A915" s="2">
        <v>10914</v>
      </c>
      <c r="B915" s="4">
        <v>46545</v>
      </c>
      <c r="C915" t="s">
        <v>1065</v>
      </c>
      <c r="D915" t="s">
        <v>25</v>
      </c>
      <c r="E915" t="s">
        <v>26</v>
      </c>
      <c r="F915" t="s">
        <v>128</v>
      </c>
      <c r="G915">
        <v>4</v>
      </c>
      <c r="H915" s="5">
        <v>2.5</v>
      </c>
      <c r="I915" t="s">
        <v>21</v>
      </c>
      <c r="J915" t="s">
        <v>47</v>
      </c>
      <c r="K915" t="s">
        <v>48</v>
      </c>
      <c r="L915" t="s">
        <v>2125</v>
      </c>
      <c r="M915" s="5">
        <f t="shared" si="85"/>
        <v>10</v>
      </c>
      <c r="N915" t="str">
        <f t="shared" si="86"/>
        <v>June</v>
      </c>
      <c r="O915" t="str">
        <f t="shared" si="87"/>
        <v>Monday</v>
      </c>
      <c r="P915">
        <f t="shared" si="84"/>
        <v>10</v>
      </c>
      <c r="Q915" s="2">
        <f t="shared" si="88"/>
        <v>1</v>
      </c>
      <c r="R915" s="2">
        <f t="shared" si="89"/>
        <v>6</v>
      </c>
      <c r="S915">
        <f>SUMIF(Table1[product_category],"Bakery",Table1[Total_bill])</f>
        <v>2951.25</v>
      </c>
    </row>
    <row r="916" spans="1:19" x14ac:dyDescent="0.3">
      <c r="A916" s="2">
        <v>10915</v>
      </c>
      <c r="B916" s="4">
        <v>46546</v>
      </c>
      <c r="C916" t="s">
        <v>1066</v>
      </c>
      <c r="D916" t="s">
        <v>40</v>
      </c>
      <c r="E916" t="s">
        <v>41</v>
      </c>
      <c r="F916" t="s">
        <v>131</v>
      </c>
      <c r="G916">
        <v>2</v>
      </c>
      <c r="H916" s="5">
        <v>3.75</v>
      </c>
      <c r="I916" t="s">
        <v>32</v>
      </c>
      <c r="J916" t="s">
        <v>69</v>
      </c>
      <c r="K916" t="s">
        <v>69</v>
      </c>
      <c r="L916" t="s">
        <v>2122</v>
      </c>
      <c r="M916" s="5">
        <f t="shared" si="85"/>
        <v>7.5</v>
      </c>
      <c r="N916" t="str">
        <f t="shared" si="86"/>
        <v>June</v>
      </c>
      <c r="O916" t="str">
        <f t="shared" si="87"/>
        <v>Tuesday</v>
      </c>
      <c r="P916">
        <f t="shared" si="84"/>
        <v>12</v>
      </c>
      <c r="Q916" s="2">
        <f t="shared" si="88"/>
        <v>2</v>
      </c>
      <c r="R916" s="2">
        <f t="shared" si="89"/>
        <v>6</v>
      </c>
      <c r="S916">
        <f>SUMIF(Table1[product_category],"Bakery",Table1[Total_bill])</f>
        <v>2951.25</v>
      </c>
    </row>
    <row r="917" spans="1:19" x14ac:dyDescent="0.3">
      <c r="A917" s="2">
        <v>10916</v>
      </c>
      <c r="B917" s="4">
        <v>46547</v>
      </c>
      <c r="C917" t="s">
        <v>1067</v>
      </c>
      <c r="D917" t="s">
        <v>40</v>
      </c>
      <c r="E917" t="s">
        <v>41</v>
      </c>
      <c r="F917" t="s">
        <v>133</v>
      </c>
      <c r="G917">
        <v>3</v>
      </c>
      <c r="H917" s="5">
        <v>3</v>
      </c>
      <c r="I917" t="s">
        <v>21</v>
      </c>
      <c r="J917" t="s">
        <v>181</v>
      </c>
      <c r="K917" t="s">
        <v>182</v>
      </c>
      <c r="L917" t="s">
        <v>2125</v>
      </c>
      <c r="M917" s="5">
        <f t="shared" si="85"/>
        <v>9</v>
      </c>
      <c r="N917" t="str">
        <f t="shared" si="86"/>
        <v>June</v>
      </c>
      <c r="O917" t="str">
        <f t="shared" si="87"/>
        <v>Wednesday</v>
      </c>
      <c r="P917">
        <f t="shared" si="84"/>
        <v>11</v>
      </c>
      <c r="Q917" s="2">
        <f t="shared" si="88"/>
        <v>3</v>
      </c>
      <c r="R917" s="2">
        <f t="shared" si="89"/>
        <v>6</v>
      </c>
      <c r="S917">
        <f>SUMIF(Table1[product_category],"Bakery",Table1[Total_bill])</f>
        <v>2951.25</v>
      </c>
    </row>
    <row r="918" spans="1:19" x14ac:dyDescent="0.3">
      <c r="A918" s="2">
        <v>10917</v>
      </c>
      <c r="B918" s="4">
        <v>46548</v>
      </c>
      <c r="C918" t="s">
        <v>1068</v>
      </c>
      <c r="D918" t="s">
        <v>40</v>
      </c>
      <c r="E918" t="s">
        <v>41</v>
      </c>
      <c r="F918" t="s">
        <v>135</v>
      </c>
      <c r="G918">
        <v>3</v>
      </c>
      <c r="H918" s="5">
        <v>14</v>
      </c>
      <c r="I918" t="s">
        <v>98</v>
      </c>
      <c r="J918" t="s">
        <v>98</v>
      </c>
      <c r="K918" t="s">
        <v>129</v>
      </c>
      <c r="L918" t="s">
        <v>2125</v>
      </c>
      <c r="M918" s="5">
        <f t="shared" si="85"/>
        <v>42</v>
      </c>
      <c r="N918" t="str">
        <f t="shared" si="86"/>
        <v>June</v>
      </c>
      <c r="O918" t="str">
        <f t="shared" si="87"/>
        <v>Thursday</v>
      </c>
      <c r="P918">
        <f t="shared" si="84"/>
        <v>9</v>
      </c>
      <c r="Q918" s="2">
        <f t="shared" si="88"/>
        <v>4</v>
      </c>
      <c r="R918" s="2">
        <f t="shared" si="89"/>
        <v>6</v>
      </c>
      <c r="S918">
        <f>SUMIF(Table1[product_category],"Bakery",Table1[Total_bill])</f>
        <v>2951.25</v>
      </c>
    </row>
    <row r="919" spans="1:19" x14ac:dyDescent="0.3">
      <c r="A919" s="2">
        <v>10918</v>
      </c>
      <c r="B919" s="4">
        <v>46549</v>
      </c>
      <c r="C919" t="s">
        <v>1069</v>
      </c>
      <c r="D919" t="s">
        <v>40</v>
      </c>
      <c r="E919" t="s">
        <v>41</v>
      </c>
      <c r="F919" t="s">
        <v>137</v>
      </c>
      <c r="G919">
        <v>1</v>
      </c>
      <c r="H919" s="5">
        <v>3.25</v>
      </c>
      <c r="I919" t="s">
        <v>36</v>
      </c>
      <c r="J919" t="s">
        <v>211</v>
      </c>
      <c r="K919" t="s">
        <v>212</v>
      </c>
      <c r="L919" t="s">
        <v>2122</v>
      </c>
      <c r="M919" s="5">
        <f t="shared" si="85"/>
        <v>3.25</v>
      </c>
      <c r="N919" t="str">
        <f t="shared" si="86"/>
        <v>June</v>
      </c>
      <c r="O919" t="str">
        <f t="shared" si="87"/>
        <v>Friday</v>
      </c>
      <c r="P919">
        <f t="shared" si="84"/>
        <v>19</v>
      </c>
      <c r="Q919" s="2">
        <f t="shared" si="88"/>
        <v>5</v>
      </c>
      <c r="R919" s="2">
        <f t="shared" si="89"/>
        <v>6</v>
      </c>
      <c r="S919">
        <f>SUMIF(Table1[product_category],"Bakery",Table1[Total_bill])</f>
        <v>2951.25</v>
      </c>
    </row>
    <row r="920" spans="1:19" x14ac:dyDescent="0.3">
      <c r="A920" s="2">
        <v>10919</v>
      </c>
      <c r="B920" s="4">
        <v>46550</v>
      </c>
      <c r="C920" t="s">
        <v>1070</v>
      </c>
      <c r="D920" t="s">
        <v>18</v>
      </c>
      <c r="E920" t="s">
        <v>19</v>
      </c>
      <c r="F920" t="s">
        <v>140</v>
      </c>
      <c r="G920">
        <v>1</v>
      </c>
      <c r="H920" s="5">
        <v>5</v>
      </c>
      <c r="I920" t="s">
        <v>36</v>
      </c>
      <c r="J920" t="s">
        <v>110</v>
      </c>
      <c r="K920" t="s">
        <v>110</v>
      </c>
      <c r="L920" t="s">
        <v>2123</v>
      </c>
      <c r="M920" s="5">
        <f t="shared" si="85"/>
        <v>5</v>
      </c>
      <c r="N920" t="str">
        <f t="shared" si="86"/>
        <v>June</v>
      </c>
      <c r="O920" t="str">
        <f t="shared" si="87"/>
        <v>Saturday</v>
      </c>
      <c r="P920">
        <f t="shared" si="84"/>
        <v>15</v>
      </c>
      <c r="Q920" s="2">
        <f t="shared" si="88"/>
        <v>6</v>
      </c>
      <c r="R920" s="2">
        <f t="shared" si="89"/>
        <v>6</v>
      </c>
      <c r="S920">
        <f>SUMIF(Table1[product_category],"Bakery",Table1[Total_bill])</f>
        <v>2951.25</v>
      </c>
    </row>
    <row r="921" spans="1:19" x14ac:dyDescent="0.3">
      <c r="A921" s="2">
        <v>10920</v>
      </c>
      <c r="B921" s="4">
        <v>46551</v>
      </c>
      <c r="C921" t="s">
        <v>1071</v>
      </c>
      <c r="D921" t="s">
        <v>25</v>
      </c>
      <c r="E921" t="s">
        <v>26</v>
      </c>
      <c r="F921" t="s">
        <v>143</v>
      </c>
      <c r="G921">
        <v>4</v>
      </c>
      <c r="H921" s="5">
        <v>2.75</v>
      </c>
      <c r="I921" t="s">
        <v>32</v>
      </c>
      <c r="J921" t="s">
        <v>144</v>
      </c>
      <c r="K921" t="s">
        <v>144</v>
      </c>
      <c r="L921" t="s">
        <v>2122</v>
      </c>
      <c r="M921" s="5">
        <f t="shared" si="85"/>
        <v>11</v>
      </c>
      <c r="N921" t="str">
        <f t="shared" si="86"/>
        <v>June</v>
      </c>
      <c r="O921" t="str">
        <f t="shared" si="87"/>
        <v>Sunday</v>
      </c>
      <c r="P921">
        <f t="shared" si="84"/>
        <v>7</v>
      </c>
      <c r="Q921" s="2">
        <f t="shared" si="88"/>
        <v>7</v>
      </c>
      <c r="R921" s="2">
        <f t="shared" si="89"/>
        <v>6</v>
      </c>
      <c r="S921">
        <f>SUMIF(Table1[product_category],"Bakery",Table1[Total_bill])</f>
        <v>2951.25</v>
      </c>
    </row>
    <row r="922" spans="1:19" x14ac:dyDescent="0.3">
      <c r="A922" s="2">
        <v>10921</v>
      </c>
      <c r="B922" s="4">
        <v>46552</v>
      </c>
      <c r="C922" t="s">
        <v>1072</v>
      </c>
      <c r="D922" t="s">
        <v>40</v>
      </c>
      <c r="E922" t="s">
        <v>41</v>
      </c>
      <c r="F922" t="s">
        <v>146</v>
      </c>
      <c r="G922">
        <v>1</v>
      </c>
      <c r="H922" s="5">
        <v>24</v>
      </c>
      <c r="I922" t="s">
        <v>101</v>
      </c>
      <c r="J922" t="s">
        <v>102</v>
      </c>
      <c r="K922" t="s">
        <v>103</v>
      </c>
      <c r="L922" t="s">
        <v>2125</v>
      </c>
      <c r="M922" s="5">
        <f t="shared" si="85"/>
        <v>24</v>
      </c>
      <c r="N922" t="str">
        <f t="shared" si="86"/>
        <v>June</v>
      </c>
      <c r="O922" t="str">
        <f t="shared" si="87"/>
        <v>Monday</v>
      </c>
      <c r="P922">
        <f t="shared" si="84"/>
        <v>17</v>
      </c>
      <c r="Q922" s="2">
        <f t="shared" si="88"/>
        <v>1</v>
      </c>
      <c r="R922" s="2">
        <f t="shared" si="89"/>
        <v>6</v>
      </c>
      <c r="S922">
        <f>SUMIF(Table1[product_category],"Bakery",Table1[Total_bill])</f>
        <v>2951.25</v>
      </c>
    </row>
    <row r="923" spans="1:19" x14ac:dyDescent="0.3">
      <c r="A923" s="2">
        <v>10922</v>
      </c>
      <c r="B923" s="4">
        <v>46553</v>
      </c>
      <c r="C923" t="s">
        <v>1073</v>
      </c>
      <c r="D923" t="s">
        <v>25</v>
      </c>
      <c r="E923" t="s">
        <v>26</v>
      </c>
      <c r="F923" t="s">
        <v>148</v>
      </c>
      <c r="G923">
        <v>4</v>
      </c>
      <c r="H923" s="5">
        <v>4.5</v>
      </c>
      <c r="I923" t="s">
        <v>32</v>
      </c>
      <c r="J923" t="s">
        <v>33</v>
      </c>
      <c r="K923" t="s">
        <v>33</v>
      </c>
      <c r="L923" t="s">
        <v>2123</v>
      </c>
      <c r="M923" s="5">
        <f t="shared" si="85"/>
        <v>18</v>
      </c>
      <c r="N923" t="str">
        <f t="shared" si="86"/>
        <v>June</v>
      </c>
      <c r="O923" t="str">
        <f t="shared" si="87"/>
        <v>Tuesday</v>
      </c>
      <c r="P923">
        <f t="shared" si="84"/>
        <v>11</v>
      </c>
      <c r="Q923" s="2">
        <f t="shared" si="88"/>
        <v>2</v>
      </c>
      <c r="R923" s="2">
        <f t="shared" si="89"/>
        <v>6</v>
      </c>
      <c r="S923">
        <f>SUMIF(Table1[product_category],"Bakery",Table1[Total_bill])</f>
        <v>2951.25</v>
      </c>
    </row>
    <row r="924" spans="1:19" x14ac:dyDescent="0.3">
      <c r="A924" s="2">
        <v>10923</v>
      </c>
      <c r="B924" s="4">
        <v>46554</v>
      </c>
      <c r="C924" t="s">
        <v>1074</v>
      </c>
      <c r="D924" t="s">
        <v>18</v>
      </c>
      <c r="E924" t="s">
        <v>19</v>
      </c>
      <c r="F924" t="s">
        <v>150</v>
      </c>
      <c r="G924">
        <v>4</v>
      </c>
      <c r="H924" s="5">
        <v>3</v>
      </c>
      <c r="I924" t="s">
        <v>21</v>
      </c>
      <c r="J924" t="s">
        <v>181</v>
      </c>
      <c r="K924" t="s">
        <v>182</v>
      </c>
      <c r="L924" t="s">
        <v>2125</v>
      </c>
      <c r="M924" s="5">
        <f t="shared" si="85"/>
        <v>12</v>
      </c>
      <c r="N924" t="str">
        <f t="shared" si="86"/>
        <v>June</v>
      </c>
      <c r="O924" t="str">
        <f t="shared" si="87"/>
        <v>Wednesday</v>
      </c>
      <c r="P924">
        <f t="shared" si="84"/>
        <v>18</v>
      </c>
      <c r="Q924" s="2">
        <f t="shared" si="88"/>
        <v>3</v>
      </c>
      <c r="R924" s="2">
        <f t="shared" si="89"/>
        <v>6</v>
      </c>
      <c r="S924">
        <f>SUMIF(Table1[product_category],"Bakery",Table1[Total_bill])</f>
        <v>2951.25</v>
      </c>
    </row>
    <row r="925" spans="1:19" x14ac:dyDescent="0.3">
      <c r="A925" s="2">
        <v>10924</v>
      </c>
      <c r="B925" s="4">
        <v>46555</v>
      </c>
      <c r="C925" t="s">
        <v>1075</v>
      </c>
      <c r="D925" t="s">
        <v>18</v>
      </c>
      <c r="E925" t="s">
        <v>19</v>
      </c>
      <c r="F925" t="s">
        <v>152</v>
      </c>
      <c r="G925">
        <v>1</v>
      </c>
      <c r="H925" s="5">
        <v>3.25</v>
      </c>
      <c r="I925" t="s">
        <v>36</v>
      </c>
      <c r="J925" t="s">
        <v>211</v>
      </c>
      <c r="K925" t="s">
        <v>212</v>
      </c>
      <c r="L925" t="s">
        <v>2122</v>
      </c>
      <c r="M925" s="5">
        <f t="shared" si="85"/>
        <v>3.25</v>
      </c>
      <c r="N925" t="str">
        <f t="shared" si="86"/>
        <v>June</v>
      </c>
      <c r="O925" t="str">
        <f t="shared" si="87"/>
        <v>Thursday</v>
      </c>
      <c r="P925">
        <f t="shared" si="84"/>
        <v>16</v>
      </c>
      <c r="Q925" s="2">
        <f t="shared" si="88"/>
        <v>4</v>
      </c>
      <c r="R925" s="2">
        <f t="shared" si="89"/>
        <v>6</v>
      </c>
      <c r="S925">
        <f>SUMIF(Table1[product_category],"Bakery",Table1[Total_bill])</f>
        <v>2951.25</v>
      </c>
    </row>
    <row r="926" spans="1:19" x14ac:dyDescent="0.3">
      <c r="A926" s="2">
        <v>10925</v>
      </c>
      <c r="B926" s="4">
        <v>46556</v>
      </c>
      <c r="C926" t="s">
        <v>1076</v>
      </c>
      <c r="D926" t="s">
        <v>40</v>
      </c>
      <c r="E926" t="s">
        <v>41</v>
      </c>
      <c r="F926" t="s">
        <v>154</v>
      </c>
      <c r="G926">
        <v>4</v>
      </c>
      <c r="H926" s="5">
        <v>5.5</v>
      </c>
      <c r="I926" t="s">
        <v>72</v>
      </c>
      <c r="J926" t="s">
        <v>72</v>
      </c>
      <c r="K926" t="s">
        <v>141</v>
      </c>
      <c r="L926" t="s">
        <v>2125</v>
      </c>
      <c r="M926" s="5">
        <f t="shared" si="85"/>
        <v>22</v>
      </c>
      <c r="N926" t="str">
        <f t="shared" si="86"/>
        <v>June</v>
      </c>
      <c r="O926" t="str">
        <f t="shared" si="87"/>
        <v>Friday</v>
      </c>
      <c r="P926">
        <f t="shared" si="84"/>
        <v>10</v>
      </c>
      <c r="Q926" s="2">
        <f t="shared" si="88"/>
        <v>5</v>
      </c>
      <c r="R926" s="2">
        <f t="shared" si="89"/>
        <v>6</v>
      </c>
      <c r="S926">
        <f>SUMIF(Table1[product_category],"Bakery",Table1[Total_bill])</f>
        <v>2951.25</v>
      </c>
    </row>
    <row r="927" spans="1:19" x14ac:dyDescent="0.3">
      <c r="A927" s="2">
        <v>10926</v>
      </c>
      <c r="B927" s="4">
        <v>46557</v>
      </c>
      <c r="C927" t="s">
        <v>1077</v>
      </c>
      <c r="D927" t="s">
        <v>18</v>
      </c>
      <c r="E927" t="s">
        <v>19</v>
      </c>
      <c r="F927" t="s">
        <v>156</v>
      </c>
      <c r="G927">
        <v>2</v>
      </c>
      <c r="H927" s="5">
        <v>14</v>
      </c>
      <c r="I927" t="s">
        <v>98</v>
      </c>
      <c r="J927" t="s">
        <v>98</v>
      </c>
      <c r="K927" t="s">
        <v>129</v>
      </c>
      <c r="L927" t="s">
        <v>2125</v>
      </c>
      <c r="M927" s="5">
        <f t="shared" si="85"/>
        <v>28</v>
      </c>
      <c r="N927" t="str">
        <f t="shared" si="86"/>
        <v>June</v>
      </c>
      <c r="O927" t="str">
        <f t="shared" si="87"/>
        <v>Saturday</v>
      </c>
      <c r="P927">
        <f t="shared" si="84"/>
        <v>6</v>
      </c>
      <c r="Q927" s="2">
        <f t="shared" si="88"/>
        <v>6</v>
      </c>
      <c r="R927" s="2">
        <f t="shared" si="89"/>
        <v>6</v>
      </c>
      <c r="S927">
        <f>SUMIF(Table1[product_category],"Bakery",Table1[Total_bill])</f>
        <v>2951.25</v>
      </c>
    </row>
    <row r="928" spans="1:19" x14ac:dyDescent="0.3">
      <c r="A928" s="2">
        <v>10927</v>
      </c>
      <c r="B928" s="4">
        <v>46558</v>
      </c>
      <c r="C928" t="s">
        <v>1078</v>
      </c>
      <c r="D928" t="s">
        <v>18</v>
      </c>
      <c r="E928" t="s">
        <v>19</v>
      </c>
      <c r="F928" t="s">
        <v>158</v>
      </c>
      <c r="G928">
        <v>4</v>
      </c>
      <c r="H928" s="5">
        <v>5.5</v>
      </c>
      <c r="I928" t="s">
        <v>72</v>
      </c>
      <c r="J928" t="s">
        <v>72</v>
      </c>
      <c r="K928" t="s">
        <v>73</v>
      </c>
      <c r="L928" t="s">
        <v>2125</v>
      </c>
      <c r="M928" s="5">
        <f t="shared" si="85"/>
        <v>22</v>
      </c>
      <c r="N928" t="str">
        <f t="shared" si="86"/>
        <v>June</v>
      </c>
      <c r="O928" t="str">
        <f t="shared" si="87"/>
        <v>Sunday</v>
      </c>
      <c r="P928">
        <f t="shared" si="84"/>
        <v>9</v>
      </c>
      <c r="Q928" s="2">
        <f t="shared" si="88"/>
        <v>7</v>
      </c>
      <c r="R928" s="2">
        <f t="shared" si="89"/>
        <v>6</v>
      </c>
      <c r="S928">
        <f>SUMIF(Table1[product_category],"Bakery",Table1[Total_bill])</f>
        <v>2951.25</v>
      </c>
    </row>
    <row r="929" spans="1:19" x14ac:dyDescent="0.3">
      <c r="A929" s="2">
        <v>10928</v>
      </c>
      <c r="B929" s="4">
        <v>46559</v>
      </c>
      <c r="C929" t="s">
        <v>1079</v>
      </c>
      <c r="D929" t="s">
        <v>18</v>
      </c>
      <c r="E929" t="s">
        <v>19</v>
      </c>
      <c r="F929" t="s">
        <v>160</v>
      </c>
      <c r="G929">
        <v>3</v>
      </c>
      <c r="H929" s="5">
        <v>3.25</v>
      </c>
      <c r="I929" t="s">
        <v>21</v>
      </c>
      <c r="J929" t="s">
        <v>81</v>
      </c>
      <c r="K929" t="s">
        <v>113</v>
      </c>
      <c r="L929" t="s">
        <v>2125</v>
      </c>
      <c r="M929" s="5">
        <f t="shared" si="85"/>
        <v>9.75</v>
      </c>
      <c r="N929" t="str">
        <f t="shared" si="86"/>
        <v>June</v>
      </c>
      <c r="O929" t="str">
        <f t="shared" si="87"/>
        <v>Monday</v>
      </c>
      <c r="P929">
        <f t="shared" si="84"/>
        <v>12</v>
      </c>
      <c r="Q929" s="2">
        <f t="shared" si="88"/>
        <v>1</v>
      </c>
      <c r="R929" s="2">
        <f t="shared" si="89"/>
        <v>6</v>
      </c>
      <c r="S929">
        <f>SUMIF(Table1[product_category],"Bakery",Table1[Total_bill])</f>
        <v>2951.25</v>
      </c>
    </row>
    <row r="930" spans="1:19" x14ac:dyDescent="0.3">
      <c r="A930" s="2">
        <v>10929</v>
      </c>
      <c r="B930" s="4">
        <v>46560</v>
      </c>
      <c r="C930" t="s">
        <v>1080</v>
      </c>
      <c r="D930" t="s">
        <v>25</v>
      </c>
      <c r="E930" t="s">
        <v>26</v>
      </c>
      <c r="F930" t="s">
        <v>162</v>
      </c>
      <c r="G930">
        <v>3</v>
      </c>
      <c r="H930" s="5">
        <v>14</v>
      </c>
      <c r="I930" t="s">
        <v>98</v>
      </c>
      <c r="J930" t="s">
        <v>98</v>
      </c>
      <c r="K930" t="s">
        <v>129</v>
      </c>
      <c r="L930" t="s">
        <v>2125</v>
      </c>
      <c r="M930" s="5">
        <f t="shared" si="85"/>
        <v>42</v>
      </c>
      <c r="N930" t="str">
        <f t="shared" si="86"/>
        <v>June</v>
      </c>
      <c r="O930" t="str">
        <f t="shared" si="87"/>
        <v>Tuesday</v>
      </c>
      <c r="P930">
        <f t="shared" si="84"/>
        <v>13</v>
      </c>
      <c r="Q930" s="2">
        <f t="shared" si="88"/>
        <v>2</v>
      </c>
      <c r="R930" s="2">
        <f t="shared" si="89"/>
        <v>6</v>
      </c>
      <c r="S930">
        <f>SUMIF(Table1[product_category],"Bakery",Table1[Total_bill])</f>
        <v>2951.25</v>
      </c>
    </row>
    <row r="931" spans="1:19" x14ac:dyDescent="0.3">
      <c r="A931" s="2">
        <v>10930</v>
      </c>
      <c r="B931" s="4">
        <v>46561</v>
      </c>
      <c r="C931" t="s">
        <v>1081</v>
      </c>
      <c r="D931" t="s">
        <v>25</v>
      </c>
      <c r="E931" t="s">
        <v>26</v>
      </c>
      <c r="F931" t="s">
        <v>164</v>
      </c>
      <c r="G931">
        <v>1</v>
      </c>
      <c r="H931" s="5">
        <v>3.25</v>
      </c>
      <c r="I931" t="s">
        <v>21</v>
      </c>
      <c r="J931" t="s">
        <v>81</v>
      </c>
      <c r="K931" t="s">
        <v>113</v>
      </c>
      <c r="L931" t="s">
        <v>2125</v>
      </c>
      <c r="M931" s="5">
        <f t="shared" si="85"/>
        <v>3.25</v>
      </c>
      <c r="N931" t="str">
        <f t="shared" si="86"/>
        <v>June</v>
      </c>
      <c r="O931" t="str">
        <f t="shared" si="87"/>
        <v>Wednesday</v>
      </c>
      <c r="P931">
        <f t="shared" si="84"/>
        <v>8</v>
      </c>
      <c r="Q931" s="2">
        <f t="shared" si="88"/>
        <v>3</v>
      </c>
      <c r="R931" s="2">
        <f t="shared" si="89"/>
        <v>6</v>
      </c>
      <c r="S931">
        <f>SUMIF(Table1[product_category],"Bakery",Table1[Total_bill])</f>
        <v>2951.25</v>
      </c>
    </row>
    <row r="932" spans="1:19" x14ac:dyDescent="0.3">
      <c r="A932" s="2">
        <v>10931</v>
      </c>
      <c r="B932" s="4">
        <v>46562</v>
      </c>
      <c r="C932" t="s">
        <v>1082</v>
      </c>
      <c r="D932" t="s">
        <v>25</v>
      </c>
      <c r="E932" t="s">
        <v>26</v>
      </c>
      <c r="F932" t="s">
        <v>166</v>
      </c>
      <c r="G932">
        <v>3</v>
      </c>
      <c r="H932" s="5">
        <v>3.5</v>
      </c>
      <c r="I932" t="s">
        <v>21</v>
      </c>
      <c r="J932" t="s">
        <v>51</v>
      </c>
      <c r="K932" t="s">
        <v>52</v>
      </c>
      <c r="L932" t="s">
        <v>2125</v>
      </c>
      <c r="M932" s="5">
        <f t="shared" si="85"/>
        <v>10.5</v>
      </c>
      <c r="N932" t="str">
        <f t="shared" si="86"/>
        <v>June</v>
      </c>
      <c r="O932" t="str">
        <f t="shared" si="87"/>
        <v>Thursday</v>
      </c>
      <c r="P932">
        <f t="shared" si="84"/>
        <v>7</v>
      </c>
      <c r="Q932" s="2">
        <f t="shared" si="88"/>
        <v>4</v>
      </c>
      <c r="R932" s="2">
        <f t="shared" si="89"/>
        <v>6</v>
      </c>
      <c r="S932">
        <f>SUMIF(Table1[product_category],"Bakery",Table1[Total_bill])</f>
        <v>2951.25</v>
      </c>
    </row>
    <row r="933" spans="1:19" x14ac:dyDescent="0.3">
      <c r="A933" s="2">
        <v>10932</v>
      </c>
      <c r="B933" s="4">
        <v>46563</v>
      </c>
      <c r="C933" t="s">
        <v>1083</v>
      </c>
      <c r="D933" t="s">
        <v>18</v>
      </c>
      <c r="E933" t="s">
        <v>19</v>
      </c>
      <c r="F933" t="s">
        <v>168</v>
      </c>
      <c r="G933">
        <v>4</v>
      </c>
      <c r="H933" s="5">
        <v>6</v>
      </c>
      <c r="I933" t="s">
        <v>72</v>
      </c>
      <c r="J933" t="s">
        <v>72</v>
      </c>
      <c r="K933" t="s">
        <v>138</v>
      </c>
      <c r="L933" t="s">
        <v>2125</v>
      </c>
      <c r="M933" s="5">
        <f t="shared" si="85"/>
        <v>24</v>
      </c>
      <c r="N933" t="str">
        <f t="shared" si="86"/>
        <v>June</v>
      </c>
      <c r="O933" t="str">
        <f t="shared" si="87"/>
        <v>Friday</v>
      </c>
      <c r="P933">
        <f t="shared" si="84"/>
        <v>16</v>
      </c>
      <c r="Q933" s="2">
        <f t="shared" si="88"/>
        <v>5</v>
      </c>
      <c r="R933" s="2">
        <f t="shared" si="89"/>
        <v>6</v>
      </c>
      <c r="S933">
        <f>SUMIF(Table1[product_category],"Bakery",Table1[Total_bill])</f>
        <v>2951.25</v>
      </c>
    </row>
    <row r="934" spans="1:19" x14ac:dyDescent="0.3">
      <c r="A934" s="2">
        <v>10933</v>
      </c>
      <c r="B934" s="4">
        <v>46564</v>
      </c>
      <c r="C934" t="s">
        <v>1084</v>
      </c>
      <c r="D934" t="s">
        <v>40</v>
      </c>
      <c r="E934" t="s">
        <v>41</v>
      </c>
      <c r="F934" t="s">
        <v>170</v>
      </c>
      <c r="G934">
        <v>2</v>
      </c>
      <c r="H934" s="5">
        <v>3</v>
      </c>
      <c r="I934" t="s">
        <v>21</v>
      </c>
      <c r="J934" t="s">
        <v>181</v>
      </c>
      <c r="K934" t="s">
        <v>182</v>
      </c>
      <c r="L934" t="s">
        <v>2125</v>
      </c>
      <c r="M934" s="5">
        <f t="shared" si="85"/>
        <v>6</v>
      </c>
      <c r="N934" t="str">
        <f t="shared" si="86"/>
        <v>June</v>
      </c>
      <c r="O934" t="str">
        <f t="shared" si="87"/>
        <v>Saturday</v>
      </c>
      <c r="P934">
        <f t="shared" si="84"/>
        <v>20</v>
      </c>
      <c r="Q934" s="2">
        <f t="shared" si="88"/>
        <v>6</v>
      </c>
      <c r="R934" s="2">
        <f t="shared" si="89"/>
        <v>6</v>
      </c>
      <c r="S934">
        <f>SUMIF(Table1[product_category],"Bakery",Table1[Total_bill])</f>
        <v>2951.25</v>
      </c>
    </row>
    <row r="935" spans="1:19" x14ac:dyDescent="0.3">
      <c r="A935" s="2">
        <v>10934</v>
      </c>
      <c r="B935" s="4">
        <v>46565</v>
      </c>
      <c r="C935" t="s">
        <v>1085</v>
      </c>
      <c r="D935" t="s">
        <v>25</v>
      </c>
      <c r="E935" t="s">
        <v>26</v>
      </c>
      <c r="F935" t="s">
        <v>172</v>
      </c>
      <c r="G935">
        <v>4</v>
      </c>
      <c r="H935" s="5">
        <v>11</v>
      </c>
      <c r="I935" t="s">
        <v>98</v>
      </c>
      <c r="J935" t="s">
        <v>98</v>
      </c>
      <c r="K935" t="s">
        <v>215</v>
      </c>
      <c r="L935" t="s">
        <v>2125</v>
      </c>
      <c r="M935" s="5">
        <f t="shared" si="85"/>
        <v>44</v>
      </c>
      <c r="N935" t="str">
        <f t="shared" si="86"/>
        <v>June</v>
      </c>
      <c r="O935" t="str">
        <f t="shared" si="87"/>
        <v>Sunday</v>
      </c>
      <c r="P935">
        <f t="shared" si="84"/>
        <v>12</v>
      </c>
      <c r="Q935" s="2">
        <f t="shared" si="88"/>
        <v>7</v>
      </c>
      <c r="R935" s="2">
        <f t="shared" si="89"/>
        <v>6</v>
      </c>
      <c r="S935">
        <f>SUMIF(Table1[product_category],"Bakery",Table1[Total_bill])</f>
        <v>2951.25</v>
      </c>
    </row>
    <row r="936" spans="1:19" x14ac:dyDescent="0.3">
      <c r="A936" s="2">
        <v>10935</v>
      </c>
      <c r="B936" s="4">
        <v>46566</v>
      </c>
      <c r="C936" t="s">
        <v>1086</v>
      </c>
      <c r="D936" t="s">
        <v>18</v>
      </c>
      <c r="E936" t="s">
        <v>19</v>
      </c>
      <c r="F936" t="s">
        <v>174</v>
      </c>
      <c r="G936">
        <v>2</v>
      </c>
      <c r="H936" s="5">
        <v>4</v>
      </c>
      <c r="I936" t="s">
        <v>89</v>
      </c>
      <c r="J936" t="s">
        <v>261</v>
      </c>
      <c r="K936" t="s">
        <v>261</v>
      </c>
      <c r="L936" t="s">
        <v>2124</v>
      </c>
      <c r="M936" s="5">
        <f t="shared" si="85"/>
        <v>8</v>
      </c>
      <c r="N936" t="str">
        <f t="shared" si="86"/>
        <v>June</v>
      </c>
      <c r="O936" t="str">
        <f t="shared" si="87"/>
        <v>Monday</v>
      </c>
      <c r="P936">
        <f t="shared" si="84"/>
        <v>8</v>
      </c>
      <c r="Q936" s="2">
        <f t="shared" si="88"/>
        <v>1</v>
      </c>
      <c r="R936" s="2">
        <f t="shared" si="89"/>
        <v>6</v>
      </c>
      <c r="S936">
        <f>SUMIF(Table1[product_category],"Bakery",Table1[Total_bill])</f>
        <v>2951.25</v>
      </c>
    </row>
    <row r="937" spans="1:19" x14ac:dyDescent="0.3">
      <c r="A937" s="2">
        <v>10936</v>
      </c>
      <c r="B937" s="4">
        <v>46567</v>
      </c>
      <c r="C937" t="s">
        <v>1087</v>
      </c>
      <c r="D937" t="s">
        <v>18</v>
      </c>
      <c r="E937" t="s">
        <v>19</v>
      </c>
      <c r="F937" t="s">
        <v>176</v>
      </c>
      <c r="G937">
        <v>3</v>
      </c>
      <c r="H937" s="5">
        <v>3.5</v>
      </c>
      <c r="I937" t="s">
        <v>36</v>
      </c>
      <c r="J937" t="s">
        <v>246</v>
      </c>
      <c r="K937" t="s">
        <v>247</v>
      </c>
      <c r="L937" t="s">
        <v>2123</v>
      </c>
      <c r="M937" s="5">
        <f t="shared" si="85"/>
        <v>10.5</v>
      </c>
      <c r="N937" t="str">
        <f t="shared" si="86"/>
        <v>June</v>
      </c>
      <c r="O937" t="str">
        <f t="shared" si="87"/>
        <v>Tuesday</v>
      </c>
      <c r="P937">
        <f t="shared" si="84"/>
        <v>9</v>
      </c>
      <c r="Q937" s="2">
        <f t="shared" si="88"/>
        <v>2</v>
      </c>
      <c r="R937" s="2">
        <f t="shared" si="89"/>
        <v>6</v>
      </c>
      <c r="S937">
        <f>SUMIF(Table1[product_category],"Bakery",Table1[Total_bill])</f>
        <v>2951.25</v>
      </c>
    </row>
    <row r="938" spans="1:19" x14ac:dyDescent="0.3">
      <c r="A938" s="2">
        <v>10937</v>
      </c>
      <c r="B938" s="4">
        <v>46568</v>
      </c>
      <c r="C938" t="s">
        <v>1088</v>
      </c>
      <c r="D938" t="s">
        <v>40</v>
      </c>
      <c r="E938" t="s">
        <v>41</v>
      </c>
      <c r="F938" t="s">
        <v>178</v>
      </c>
      <c r="G938">
        <v>2</v>
      </c>
      <c r="H938" s="5">
        <v>11</v>
      </c>
      <c r="I938" t="s">
        <v>98</v>
      </c>
      <c r="J938" t="s">
        <v>98</v>
      </c>
      <c r="K938" t="s">
        <v>215</v>
      </c>
      <c r="L938" t="s">
        <v>2125</v>
      </c>
      <c r="M938" s="5">
        <f t="shared" si="85"/>
        <v>22</v>
      </c>
      <c r="N938" t="str">
        <f t="shared" si="86"/>
        <v>June</v>
      </c>
      <c r="O938" t="str">
        <f t="shared" si="87"/>
        <v>Wednesday</v>
      </c>
      <c r="P938">
        <f t="shared" si="84"/>
        <v>6</v>
      </c>
      <c r="Q938" s="2">
        <f t="shared" si="88"/>
        <v>3</v>
      </c>
      <c r="R938" s="2">
        <f t="shared" si="89"/>
        <v>6</v>
      </c>
      <c r="S938">
        <f>SUMIF(Table1[product_category],"Bakery",Table1[Total_bill])</f>
        <v>2951.25</v>
      </c>
    </row>
    <row r="939" spans="1:19" x14ac:dyDescent="0.3">
      <c r="A939" s="2">
        <v>10938</v>
      </c>
      <c r="B939" s="4">
        <v>46569</v>
      </c>
      <c r="C939" t="s">
        <v>1089</v>
      </c>
      <c r="D939" t="s">
        <v>40</v>
      </c>
      <c r="E939" t="s">
        <v>41</v>
      </c>
      <c r="F939" t="s">
        <v>180</v>
      </c>
      <c r="G939">
        <v>4</v>
      </c>
      <c r="H939" s="5">
        <v>4</v>
      </c>
      <c r="I939" t="s">
        <v>32</v>
      </c>
      <c r="J939" t="s">
        <v>55</v>
      </c>
      <c r="K939" t="s">
        <v>55</v>
      </c>
      <c r="L939" t="s">
        <v>2123</v>
      </c>
      <c r="M939" s="5">
        <f t="shared" si="85"/>
        <v>16</v>
      </c>
      <c r="N939" t="str">
        <f t="shared" si="86"/>
        <v>July</v>
      </c>
      <c r="O939" t="str">
        <f t="shared" si="87"/>
        <v>Thursday</v>
      </c>
      <c r="P939">
        <f t="shared" si="84"/>
        <v>18</v>
      </c>
      <c r="Q939" s="2">
        <f t="shared" si="88"/>
        <v>4</v>
      </c>
      <c r="R939" s="2">
        <f t="shared" si="89"/>
        <v>7</v>
      </c>
      <c r="S939">
        <f>SUMIF(Table1[product_category],"Bakery",Table1[Total_bill])</f>
        <v>2951.25</v>
      </c>
    </row>
    <row r="940" spans="1:19" x14ac:dyDescent="0.3">
      <c r="A940" s="2">
        <v>10939</v>
      </c>
      <c r="B940" s="4">
        <v>46570</v>
      </c>
      <c r="C940" t="s">
        <v>1090</v>
      </c>
      <c r="D940" t="s">
        <v>18</v>
      </c>
      <c r="E940" t="s">
        <v>19</v>
      </c>
      <c r="F940" t="s">
        <v>184</v>
      </c>
      <c r="G940">
        <v>2</v>
      </c>
      <c r="H940" s="5">
        <v>6</v>
      </c>
      <c r="I940" t="s">
        <v>72</v>
      </c>
      <c r="J940" t="s">
        <v>72</v>
      </c>
      <c r="K940" t="s">
        <v>138</v>
      </c>
      <c r="L940" t="s">
        <v>2125</v>
      </c>
      <c r="M940" s="5">
        <f t="shared" si="85"/>
        <v>12</v>
      </c>
      <c r="N940" t="str">
        <f t="shared" si="86"/>
        <v>July</v>
      </c>
      <c r="O940" t="str">
        <f t="shared" si="87"/>
        <v>Friday</v>
      </c>
      <c r="P940">
        <f t="shared" si="84"/>
        <v>7</v>
      </c>
      <c r="Q940" s="2">
        <f t="shared" si="88"/>
        <v>5</v>
      </c>
      <c r="R940" s="2">
        <f t="shared" si="89"/>
        <v>7</v>
      </c>
      <c r="S940">
        <f>SUMIF(Table1[product_category],"Bakery",Table1[Total_bill])</f>
        <v>2951.25</v>
      </c>
    </row>
    <row r="941" spans="1:19" x14ac:dyDescent="0.3">
      <c r="A941" s="2">
        <v>10940</v>
      </c>
      <c r="B941" s="4">
        <v>46571</v>
      </c>
      <c r="C941" t="s">
        <v>1091</v>
      </c>
      <c r="D941" t="s">
        <v>25</v>
      </c>
      <c r="E941" t="s">
        <v>26</v>
      </c>
      <c r="F941" t="s">
        <v>186</v>
      </c>
      <c r="G941">
        <v>1</v>
      </c>
      <c r="H941" s="5">
        <v>9.5</v>
      </c>
      <c r="I941" t="s">
        <v>28</v>
      </c>
      <c r="J941" t="s">
        <v>28</v>
      </c>
      <c r="K941" t="s">
        <v>29</v>
      </c>
      <c r="L941" t="s">
        <v>2125</v>
      </c>
      <c r="M941" s="5">
        <f t="shared" si="85"/>
        <v>9.5</v>
      </c>
      <c r="N941" t="str">
        <f t="shared" si="86"/>
        <v>July</v>
      </c>
      <c r="O941" t="str">
        <f t="shared" si="87"/>
        <v>Saturday</v>
      </c>
      <c r="P941">
        <f t="shared" si="84"/>
        <v>13</v>
      </c>
      <c r="Q941" s="2">
        <f t="shared" si="88"/>
        <v>6</v>
      </c>
      <c r="R941" s="2">
        <f t="shared" si="89"/>
        <v>7</v>
      </c>
      <c r="S941">
        <f>SUMIF(Table1[product_category],"Bakery",Table1[Total_bill])</f>
        <v>2951.25</v>
      </c>
    </row>
    <row r="942" spans="1:19" x14ac:dyDescent="0.3">
      <c r="A942" s="2">
        <v>10941</v>
      </c>
      <c r="B942" s="4">
        <v>46572</v>
      </c>
      <c r="C942" t="s">
        <v>1092</v>
      </c>
      <c r="D942" t="s">
        <v>40</v>
      </c>
      <c r="E942" t="s">
        <v>41</v>
      </c>
      <c r="F942" t="s">
        <v>188</v>
      </c>
      <c r="G942">
        <v>1</v>
      </c>
      <c r="H942" s="5">
        <v>4.75</v>
      </c>
      <c r="I942" t="s">
        <v>32</v>
      </c>
      <c r="J942" t="s">
        <v>122</v>
      </c>
      <c r="K942" t="s">
        <v>122</v>
      </c>
      <c r="L942" t="s">
        <v>2123</v>
      </c>
      <c r="M942" s="5">
        <f t="shared" si="85"/>
        <v>4.75</v>
      </c>
      <c r="N942" t="str">
        <f t="shared" si="86"/>
        <v>July</v>
      </c>
      <c r="O942" t="str">
        <f t="shared" si="87"/>
        <v>Sunday</v>
      </c>
      <c r="P942">
        <f t="shared" si="84"/>
        <v>9</v>
      </c>
      <c r="Q942" s="2">
        <f t="shared" si="88"/>
        <v>7</v>
      </c>
      <c r="R942" s="2">
        <f t="shared" si="89"/>
        <v>7</v>
      </c>
      <c r="S942">
        <f>SUMIF(Table1[product_category],"Bakery",Table1[Total_bill])</f>
        <v>2951.25</v>
      </c>
    </row>
    <row r="943" spans="1:19" x14ac:dyDescent="0.3">
      <c r="A943" s="2">
        <v>10942</v>
      </c>
      <c r="B943" s="4">
        <v>46573</v>
      </c>
      <c r="C943" t="s">
        <v>1093</v>
      </c>
      <c r="D943" t="s">
        <v>25</v>
      </c>
      <c r="E943" t="s">
        <v>26</v>
      </c>
      <c r="F943" t="s">
        <v>190</v>
      </c>
      <c r="G943">
        <v>2</v>
      </c>
      <c r="H943" s="5">
        <v>6</v>
      </c>
      <c r="I943" t="s">
        <v>72</v>
      </c>
      <c r="J943" t="s">
        <v>72</v>
      </c>
      <c r="K943" t="s">
        <v>138</v>
      </c>
      <c r="L943" t="s">
        <v>2125</v>
      </c>
      <c r="M943" s="5">
        <f t="shared" si="85"/>
        <v>12</v>
      </c>
      <c r="N943" t="str">
        <f t="shared" si="86"/>
        <v>July</v>
      </c>
      <c r="O943" t="str">
        <f t="shared" si="87"/>
        <v>Monday</v>
      </c>
      <c r="P943">
        <f t="shared" si="84"/>
        <v>12</v>
      </c>
      <c r="Q943" s="2">
        <f t="shared" si="88"/>
        <v>1</v>
      </c>
      <c r="R943" s="2">
        <f t="shared" si="89"/>
        <v>7</v>
      </c>
      <c r="S943">
        <f>SUMIF(Table1[product_category],"Bakery",Table1[Total_bill])</f>
        <v>2951.25</v>
      </c>
    </row>
    <row r="944" spans="1:19" x14ac:dyDescent="0.3">
      <c r="A944" s="2">
        <v>10943</v>
      </c>
      <c r="B944" s="4">
        <v>46574</v>
      </c>
      <c r="C944" t="s">
        <v>1094</v>
      </c>
      <c r="D944" t="s">
        <v>40</v>
      </c>
      <c r="E944" t="s">
        <v>41</v>
      </c>
      <c r="F944" t="s">
        <v>192</v>
      </c>
      <c r="G944">
        <v>4</v>
      </c>
      <c r="H944" s="5">
        <v>2.25</v>
      </c>
      <c r="I944" t="s">
        <v>21</v>
      </c>
      <c r="J944" t="s">
        <v>58</v>
      </c>
      <c r="K944" t="s">
        <v>59</v>
      </c>
      <c r="L944" t="s">
        <v>2125</v>
      </c>
      <c r="M944" s="5">
        <f t="shared" si="85"/>
        <v>9</v>
      </c>
      <c r="N944" t="str">
        <f t="shared" si="86"/>
        <v>July</v>
      </c>
      <c r="O944" t="str">
        <f t="shared" si="87"/>
        <v>Tuesday</v>
      </c>
      <c r="P944">
        <f t="shared" si="84"/>
        <v>14</v>
      </c>
      <c r="Q944" s="2">
        <f t="shared" si="88"/>
        <v>2</v>
      </c>
      <c r="R944" s="2">
        <f t="shared" si="89"/>
        <v>7</v>
      </c>
      <c r="S944">
        <f>SUMIF(Table1[product_category],"Bakery",Table1[Total_bill])</f>
        <v>2951.25</v>
      </c>
    </row>
    <row r="945" spans="1:19" x14ac:dyDescent="0.3">
      <c r="A945" s="2">
        <v>10944</v>
      </c>
      <c r="B945" s="4">
        <v>46575</v>
      </c>
      <c r="C945" t="s">
        <v>1095</v>
      </c>
      <c r="D945" t="s">
        <v>40</v>
      </c>
      <c r="E945" t="s">
        <v>41</v>
      </c>
      <c r="F945" t="s">
        <v>195</v>
      </c>
      <c r="G945">
        <v>1</v>
      </c>
      <c r="H945" s="5">
        <v>3.5</v>
      </c>
      <c r="I945" t="s">
        <v>32</v>
      </c>
      <c r="J945" t="s">
        <v>33</v>
      </c>
      <c r="K945" t="s">
        <v>33</v>
      </c>
      <c r="L945" t="s">
        <v>2122</v>
      </c>
      <c r="M945" s="5">
        <f t="shared" si="85"/>
        <v>3.5</v>
      </c>
      <c r="N945" t="str">
        <f t="shared" si="86"/>
        <v>July</v>
      </c>
      <c r="O945" t="str">
        <f t="shared" si="87"/>
        <v>Wednesday</v>
      </c>
      <c r="P945">
        <f t="shared" si="84"/>
        <v>16</v>
      </c>
      <c r="Q945" s="2">
        <f t="shared" si="88"/>
        <v>3</v>
      </c>
      <c r="R945" s="2">
        <f t="shared" si="89"/>
        <v>7</v>
      </c>
      <c r="S945">
        <f>SUMIF(Table1[product_category],"Bakery",Table1[Total_bill])</f>
        <v>2951.25</v>
      </c>
    </row>
    <row r="946" spans="1:19" x14ac:dyDescent="0.3">
      <c r="A946" s="2">
        <v>10945</v>
      </c>
      <c r="B946" s="4">
        <v>46576</v>
      </c>
      <c r="C946" t="s">
        <v>1096</v>
      </c>
      <c r="D946" t="s">
        <v>25</v>
      </c>
      <c r="E946" t="s">
        <v>26</v>
      </c>
      <c r="F946" t="s">
        <v>197</v>
      </c>
      <c r="G946">
        <v>4</v>
      </c>
      <c r="H946" s="5">
        <v>9.5</v>
      </c>
      <c r="I946" t="s">
        <v>28</v>
      </c>
      <c r="J946" t="s">
        <v>28</v>
      </c>
      <c r="K946" t="s">
        <v>29</v>
      </c>
      <c r="L946" t="s">
        <v>2125</v>
      </c>
      <c r="M946" s="5">
        <f t="shared" si="85"/>
        <v>38</v>
      </c>
      <c r="N946" t="str">
        <f t="shared" si="86"/>
        <v>July</v>
      </c>
      <c r="O946" t="str">
        <f t="shared" si="87"/>
        <v>Thursday</v>
      </c>
      <c r="P946">
        <f t="shared" si="84"/>
        <v>8</v>
      </c>
      <c r="Q946" s="2">
        <f t="shared" si="88"/>
        <v>4</v>
      </c>
      <c r="R946" s="2">
        <f t="shared" si="89"/>
        <v>7</v>
      </c>
      <c r="S946">
        <f>SUMIF(Table1[product_category],"Bakery",Table1[Total_bill])</f>
        <v>2951.25</v>
      </c>
    </row>
    <row r="947" spans="1:19" x14ac:dyDescent="0.3">
      <c r="A947" s="2">
        <v>10946</v>
      </c>
      <c r="B947" s="4">
        <v>46577</v>
      </c>
      <c r="C947" t="s">
        <v>1097</v>
      </c>
      <c r="D947" t="s">
        <v>40</v>
      </c>
      <c r="E947" t="s">
        <v>41</v>
      </c>
      <c r="F947" t="s">
        <v>199</v>
      </c>
      <c r="G947">
        <v>1</v>
      </c>
      <c r="H947" s="5">
        <v>3.5</v>
      </c>
      <c r="I947" t="s">
        <v>89</v>
      </c>
      <c r="J947" t="s">
        <v>261</v>
      </c>
      <c r="K947" t="s">
        <v>261</v>
      </c>
      <c r="L947" t="s">
        <v>2122</v>
      </c>
      <c r="M947" s="5">
        <f t="shared" si="85"/>
        <v>3.5</v>
      </c>
      <c r="N947" t="str">
        <f t="shared" si="86"/>
        <v>July</v>
      </c>
      <c r="O947" t="str">
        <f t="shared" si="87"/>
        <v>Friday</v>
      </c>
      <c r="P947">
        <f t="shared" si="84"/>
        <v>6</v>
      </c>
      <c r="Q947" s="2">
        <f t="shared" si="88"/>
        <v>5</v>
      </c>
      <c r="R947" s="2">
        <f t="shared" si="89"/>
        <v>7</v>
      </c>
      <c r="S947">
        <f>SUMIF(Table1[product_category],"Bakery",Table1[Total_bill])</f>
        <v>2951.25</v>
      </c>
    </row>
    <row r="948" spans="1:19" x14ac:dyDescent="0.3">
      <c r="A948" s="2">
        <v>10947</v>
      </c>
      <c r="B948" s="4">
        <v>46578</v>
      </c>
      <c r="C948" t="s">
        <v>1098</v>
      </c>
      <c r="D948" t="s">
        <v>40</v>
      </c>
      <c r="E948" t="s">
        <v>41</v>
      </c>
      <c r="F948" t="s">
        <v>201</v>
      </c>
      <c r="G948">
        <v>2</v>
      </c>
      <c r="H948" s="5">
        <v>3</v>
      </c>
      <c r="I948" t="s">
        <v>36</v>
      </c>
      <c r="J948" t="s">
        <v>246</v>
      </c>
      <c r="K948" t="s">
        <v>247</v>
      </c>
      <c r="L948" t="s">
        <v>2124</v>
      </c>
      <c r="M948" s="5">
        <f t="shared" si="85"/>
        <v>6</v>
      </c>
      <c r="N948" t="str">
        <f t="shared" si="86"/>
        <v>July</v>
      </c>
      <c r="O948" t="str">
        <f t="shared" si="87"/>
        <v>Saturday</v>
      </c>
      <c r="P948">
        <f t="shared" si="84"/>
        <v>7</v>
      </c>
      <c r="Q948" s="2">
        <f t="shared" si="88"/>
        <v>6</v>
      </c>
      <c r="R948" s="2">
        <f t="shared" si="89"/>
        <v>7</v>
      </c>
      <c r="S948">
        <f>SUMIF(Table1[product_category],"Bakery",Table1[Total_bill])</f>
        <v>2951.25</v>
      </c>
    </row>
    <row r="949" spans="1:19" x14ac:dyDescent="0.3">
      <c r="A949" s="2">
        <v>10948</v>
      </c>
      <c r="B949" s="4">
        <v>46579</v>
      </c>
      <c r="C949" t="s">
        <v>733</v>
      </c>
      <c r="D949" t="s">
        <v>25</v>
      </c>
      <c r="E949" t="s">
        <v>26</v>
      </c>
      <c r="F949" t="s">
        <v>204</v>
      </c>
      <c r="G949">
        <v>2</v>
      </c>
      <c r="H949" s="5">
        <v>24</v>
      </c>
      <c r="I949" t="s">
        <v>101</v>
      </c>
      <c r="J949" t="s">
        <v>102</v>
      </c>
      <c r="K949" t="s">
        <v>103</v>
      </c>
      <c r="L949" t="s">
        <v>2125</v>
      </c>
      <c r="M949" s="5">
        <f t="shared" si="85"/>
        <v>48</v>
      </c>
      <c r="N949" t="str">
        <f t="shared" si="86"/>
        <v>July</v>
      </c>
      <c r="O949" t="str">
        <f t="shared" si="87"/>
        <v>Sunday</v>
      </c>
      <c r="P949">
        <f t="shared" si="84"/>
        <v>18</v>
      </c>
      <c r="Q949" s="2">
        <f t="shared" si="88"/>
        <v>7</v>
      </c>
      <c r="R949" s="2">
        <f t="shared" si="89"/>
        <v>7</v>
      </c>
      <c r="S949">
        <f>SUMIF(Table1[product_category],"Bakery",Table1[Total_bill])</f>
        <v>2951.25</v>
      </c>
    </row>
    <row r="950" spans="1:19" x14ac:dyDescent="0.3">
      <c r="A950" s="2">
        <v>10949</v>
      </c>
      <c r="B950" s="4">
        <v>46580</v>
      </c>
      <c r="C950" t="s">
        <v>1099</v>
      </c>
      <c r="D950" t="s">
        <v>40</v>
      </c>
      <c r="E950" t="s">
        <v>41</v>
      </c>
      <c r="F950" t="s">
        <v>206</v>
      </c>
      <c r="G950">
        <v>2</v>
      </c>
      <c r="H950" s="5">
        <v>3.25</v>
      </c>
      <c r="I950" t="s">
        <v>21</v>
      </c>
      <c r="J950" t="s">
        <v>81</v>
      </c>
      <c r="K950" t="s">
        <v>82</v>
      </c>
      <c r="L950" t="s">
        <v>2125</v>
      </c>
      <c r="M950" s="5">
        <f t="shared" si="85"/>
        <v>6.5</v>
      </c>
      <c r="N950" t="str">
        <f t="shared" si="86"/>
        <v>July</v>
      </c>
      <c r="O950" t="str">
        <f t="shared" si="87"/>
        <v>Monday</v>
      </c>
      <c r="P950">
        <f t="shared" si="84"/>
        <v>17</v>
      </c>
      <c r="Q950" s="2">
        <f t="shared" si="88"/>
        <v>1</v>
      </c>
      <c r="R950" s="2">
        <f t="shared" si="89"/>
        <v>7</v>
      </c>
      <c r="S950">
        <f>SUMIF(Table1[product_category],"Bakery",Table1[Total_bill])</f>
        <v>2951.25</v>
      </c>
    </row>
    <row r="951" spans="1:19" x14ac:dyDescent="0.3">
      <c r="A951" s="2">
        <v>10950</v>
      </c>
      <c r="B951" s="4">
        <v>46581</v>
      </c>
      <c r="C951" t="s">
        <v>1100</v>
      </c>
      <c r="D951" t="s">
        <v>18</v>
      </c>
      <c r="E951" t="s">
        <v>19</v>
      </c>
      <c r="F951" t="s">
        <v>208</v>
      </c>
      <c r="G951">
        <v>1</v>
      </c>
      <c r="H951" s="5">
        <v>8</v>
      </c>
      <c r="I951" t="s">
        <v>28</v>
      </c>
      <c r="J951" t="s">
        <v>28</v>
      </c>
      <c r="K951" t="s">
        <v>76</v>
      </c>
      <c r="L951" t="s">
        <v>2125</v>
      </c>
      <c r="M951" s="5">
        <f t="shared" si="85"/>
        <v>8</v>
      </c>
      <c r="N951" t="str">
        <f t="shared" si="86"/>
        <v>July</v>
      </c>
      <c r="O951" t="str">
        <f t="shared" si="87"/>
        <v>Tuesday</v>
      </c>
      <c r="P951">
        <f t="shared" si="84"/>
        <v>13</v>
      </c>
      <c r="Q951" s="2">
        <f t="shared" si="88"/>
        <v>2</v>
      </c>
      <c r="R951" s="2">
        <f t="shared" si="89"/>
        <v>7</v>
      </c>
      <c r="S951">
        <f>SUMIF(Table1[product_category],"Bakery",Table1[Total_bill])</f>
        <v>2951.25</v>
      </c>
    </row>
    <row r="952" spans="1:19" x14ac:dyDescent="0.3">
      <c r="A952" s="2">
        <v>10951</v>
      </c>
      <c r="B952" s="4">
        <v>46582</v>
      </c>
      <c r="C952" t="s">
        <v>1101</v>
      </c>
      <c r="D952" t="s">
        <v>40</v>
      </c>
      <c r="E952" t="s">
        <v>41</v>
      </c>
      <c r="F952" t="s">
        <v>210</v>
      </c>
      <c r="G952">
        <v>1</v>
      </c>
      <c r="H952" s="5">
        <v>3</v>
      </c>
      <c r="I952" t="s">
        <v>36</v>
      </c>
      <c r="J952" t="s">
        <v>37</v>
      </c>
      <c r="K952" t="s">
        <v>38</v>
      </c>
      <c r="L952" t="s">
        <v>2124</v>
      </c>
      <c r="M952" s="5">
        <f t="shared" si="85"/>
        <v>3</v>
      </c>
      <c r="N952" t="str">
        <f t="shared" si="86"/>
        <v>July</v>
      </c>
      <c r="O952" t="str">
        <f t="shared" si="87"/>
        <v>Wednesday</v>
      </c>
      <c r="P952">
        <f t="shared" si="84"/>
        <v>13</v>
      </c>
      <c r="Q952" s="2">
        <f t="shared" si="88"/>
        <v>3</v>
      </c>
      <c r="R952" s="2">
        <f t="shared" si="89"/>
        <v>7</v>
      </c>
      <c r="S952">
        <f>SUMIF(Table1[product_category],"Bakery",Table1[Total_bill])</f>
        <v>2951.25</v>
      </c>
    </row>
    <row r="953" spans="1:19" x14ac:dyDescent="0.3">
      <c r="A953" s="2">
        <v>10952</v>
      </c>
      <c r="B953" s="4">
        <v>46583</v>
      </c>
      <c r="C953" t="s">
        <v>1102</v>
      </c>
      <c r="D953" t="s">
        <v>25</v>
      </c>
      <c r="E953" t="s">
        <v>26</v>
      </c>
      <c r="F953" t="s">
        <v>214</v>
      </c>
      <c r="G953">
        <v>3</v>
      </c>
      <c r="H953" s="5">
        <v>13</v>
      </c>
      <c r="I953" t="s">
        <v>98</v>
      </c>
      <c r="J953" t="s">
        <v>98</v>
      </c>
      <c r="K953" t="s">
        <v>95</v>
      </c>
      <c r="L953" t="s">
        <v>2125</v>
      </c>
      <c r="M953" s="5">
        <f t="shared" si="85"/>
        <v>39</v>
      </c>
      <c r="N953" t="str">
        <f t="shared" si="86"/>
        <v>July</v>
      </c>
      <c r="O953" t="str">
        <f t="shared" si="87"/>
        <v>Thursday</v>
      </c>
      <c r="P953">
        <f t="shared" si="84"/>
        <v>14</v>
      </c>
      <c r="Q953" s="2">
        <f t="shared" si="88"/>
        <v>4</v>
      </c>
      <c r="R953" s="2">
        <f t="shared" si="89"/>
        <v>7</v>
      </c>
      <c r="S953">
        <f>SUMIF(Table1[product_category],"Bakery",Table1[Total_bill])</f>
        <v>2951.25</v>
      </c>
    </row>
    <row r="954" spans="1:19" x14ac:dyDescent="0.3">
      <c r="A954" s="2">
        <v>10953</v>
      </c>
      <c r="B954" s="4">
        <v>46584</v>
      </c>
      <c r="C954" t="s">
        <v>1103</v>
      </c>
      <c r="D954" t="s">
        <v>40</v>
      </c>
      <c r="E954" t="s">
        <v>41</v>
      </c>
      <c r="F954" t="s">
        <v>217</v>
      </c>
      <c r="G954">
        <v>2</v>
      </c>
      <c r="H954" s="5">
        <v>3.5</v>
      </c>
      <c r="I954" t="s">
        <v>32</v>
      </c>
      <c r="J954" t="s">
        <v>55</v>
      </c>
      <c r="K954" t="s">
        <v>55</v>
      </c>
      <c r="L954" t="s">
        <v>2124</v>
      </c>
      <c r="M954" s="5">
        <f t="shared" si="85"/>
        <v>7</v>
      </c>
      <c r="N954" t="str">
        <f t="shared" si="86"/>
        <v>July</v>
      </c>
      <c r="O954" t="str">
        <f t="shared" si="87"/>
        <v>Friday</v>
      </c>
      <c r="P954">
        <f t="shared" si="84"/>
        <v>8</v>
      </c>
      <c r="Q954" s="2">
        <f t="shared" si="88"/>
        <v>5</v>
      </c>
      <c r="R954" s="2">
        <f t="shared" si="89"/>
        <v>7</v>
      </c>
      <c r="S954">
        <f>SUMIF(Table1[product_category],"Bakery",Table1[Total_bill])</f>
        <v>2951.25</v>
      </c>
    </row>
    <row r="955" spans="1:19" x14ac:dyDescent="0.3">
      <c r="A955" s="2">
        <v>10954</v>
      </c>
      <c r="B955" s="4">
        <v>46585</v>
      </c>
      <c r="C955" t="s">
        <v>1104</v>
      </c>
      <c r="D955" t="s">
        <v>18</v>
      </c>
      <c r="E955" t="s">
        <v>19</v>
      </c>
      <c r="F955" t="s">
        <v>219</v>
      </c>
      <c r="G955">
        <v>2</v>
      </c>
      <c r="H955" s="5">
        <v>5.5</v>
      </c>
      <c r="I955" t="s">
        <v>72</v>
      </c>
      <c r="J955" t="s">
        <v>72</v>
      </c>
      <c r="K955" t="s">
        <v>141</v>
      </c>
      <c r="L955" t="s">
        <v>2125</v>
      </c>
      <c r="M955" s="5">
        <f t="shared" si="85"/>
        <v>11</v>
      </c>
      <c r="N955" t="str">
        <f t="shared" si="86"/>
        <v>July</v>
      </c>
      <c r="O955" t="str">
        <f t="shared" si="87"/>
        <v>Saturday</v>
      </c>
      <c r="P955">
        <f t="shared" si="84"/>
        <v>18</v>
      </c>
      <c r="Q955" s="2">
        <f t="shared" si="88"/>
        <v>6</v>
      </c>
      <c r="R955" s="2">
        <f t="shared" si="89"/>
        <v>7</v>
      </c>
      <c r="S955">
        <f>SUMIF(Table1[product_category],"Bakery",Table1[Total_bill])</f>
        <v>2951.25</v>
      </c>
    </row>
    <row r="956" spans="1:19" x14ac:dyDescent="0.3">
      <c r="A956" s="2">
        <v>10955</v>
      </c>
      <c r="B956" s="4">
        <v>46586</v>
      </c>
      <c r="C956" t="s">
        <v>1105</v>
      </c>
      <c r="D956" t="s">
        <v>25</v>
      </c>
      <c r="E956" t="s">
        <v>26</v>
      </c>
      <c r="F956" t="s">
        <v>221</v>
      </c>
      <c r="G956">
        <v>1</v>
      </c>
      <c r="H956" s="5">
        <v>3.75</v>
      </c>
      <c r="I956" t="s">
        <v>36</v>
      </c>
      <c r="J956" t="s">
        <v>211</v>
      </c>
      <c r="K956" t="s">
        <v>212</v>
      </c>
      <c r="L956" t="s">
        <v>2124</v>
      </c>
      <c r="M956" s="5">
        <f t="shared" si="85"/>
        <v>3.75</v>
      </c>
      <c r="N956" t="str">
        <f t="shared" si="86"/>
        <v>July</v>
      </c>
      <c r="O956" t="str">
        <f t="shared" si="87"/>
        <v>Sunday</v>
      </c>
      <c r="P956">
        <f t="shared" si="84"/>
        <v>10</v>
      </c>
      <c r="Q956" s="2">
        <f t="shared" si="88"/>
        <v>7</v>
      </c>
      <c r="R956" s="2">
        <f t="shared" si="89"/>
        <v>7</v>
      </c>
      <c r="S956">
        <f>SUMIF(Table1[product_category],"Bakery",Table1[Total_bill])</f>
        <v>2951.25</v>
      </c>
    </row>
    <row r="957" spans="1:19" x14ac:dyDescent="0.3">
      <c r="A957" s="2">
        <v>10956</v>
      </c>
      <c r="B957" s="4">
        <v>46587</v>
      </c>
      <c r="C957" t="s">
        <v>1106</v>
      </c>
      <c r="D957" t="s">
        <v>18</v>
      </c>
      <c r="E957" t="s">
        <v>19</v>
      </c>
      <c r="F957" t="s">
        <v>223</v>
      </c>
      <c r="G957">
        <v>3</v>
      </c>
      <c r="H957" s="5">
        <v>3.5</v>
      </c>
      <c r="I957" t="s">
        <v>32</v>
      </c>
      <c r="J957" t="s">
        <v>94</v>
      </c>
      <c r="K957" t="s">
        <v>95</v>
      </c>
      <c r="L957" t="s">
        <v>2122</v>
      </c>
      <c r="M957" s="5">
        <f t="shared" si="85"/>
        <v>10.5</v>
      </c>
      <c r="N957" t="str">
        <f t="shared" si="86"/>
        <v>July</v>
      </c>
      <c r="O957" t="str">
        <f t="shared" si="87"/>
        <v>Monday</v>
      </c>
      <c r="P957">
        <f t="shared" si="84"/>
        <v>10</v>
      </c>
      <c r="Q957" s="2">
        <f t="shared" si="88"/>
        <v>1</v>
      </c>
      <c r="R957" s="2">
        <f t="shared" si="89"/>
        <v>7</v>
      </c>
      <c r="S957">
        <f>SUMIF(Table1[product_category],"Bakery",Table1[Total_bill])</f>
        <v>2951.25</v>
      </c>
    </row>
    <row r="958" spans="1:19" x14ac:dyDescent="0.3">
      <c r="A958" s="2">
        <v>10957</v>
      </c>
      <c r="B958" s="4">
        <v>46588</v>
      </c>
      <c r="C958" t="s">
        <v>1107</v>
      </c>
      <c r="D958" t="s">
        <v>18</v>
      </c>
      <c r="E958" t="s">
        <v>19</v>
      </c>
      <c r="F958" t="s">
        <v>225</v>
      </c>
      <c r="G958">
        <v>4</v>
      </c>
      <c r="H958" s="5">
        <v>2.75</v>
      </c>
      <c r="I958" t="s">
        <v>32</v>
      </c>
      <c r="J958" t="s">
        <v>144</v>
      </c>
      <c r="K958" t="s">
        <v>144</v>
      </c>
      <c r="L958" t="s">
        <v>2122</v>
      </c>
      <c r="M958" s="5">
        <f t="shared" si="85"/>
        <v>11</v>
      </c>
      <c r="N958" t="str">
        <f t="shared" si="86"/>
        <v>July</v>
      </c>
      <c r="O958" t="str">
        <f t="shared" si="87"/>
        <v>Tuesday</v>
      </c>
      <c r="P958">
        <f t="shared" si="84"/>
        <v>12</v>
      </c>
      <c r="Q958" s="2">
        <f t="shared" si="88"/>
        <v>2</v>
      </c>
      <c r="R958" s="2">
        <f t="shared" si="89"/>
        <v>7</v>
      </c>
      <c r="S958">
        <f>SUMIF(Table1[product_category],"Bakery",Table1[Total_bill])</f>
        <v>2951.25</v>
      </c>
    </row>
    <row r="959" spans="1:19" x14ac:dyDescent="0.3">
      <c r="A959" s="2">
        <v>10958</v>
      </c>
      <c r="B959" s="4">
        <v>46589</v>
      </c>
      <c r="C959" t="s">
        <v>1108</v>
      </c>
      <c r="D959" t="s">
        <v>18</v>
      </c>
      <c r="E959" t="s">
        <v>19</v>
      </c>
      <c r="F959" t="s">
        <v>229</v>
      </c>
      <c r="G959">
        <v>4</v>
      </c>
      <c r="H959" s="5">
        <v>3.5</v>
      </c>
      <c r="I959" t="s">
        <v>21</v>
      </c>
      <c r="J959" t="s">
        <v>51</v>
      </c>
      <c r="K959" t="s">
        <v>52</v>
      </c>
      <c r="L959" t="s">
        <v>2125</v>
      </c>
      <c r="M959" s="5">
        <f t="shared" si="85"/>
        <v>14</v>
      </c>
      <c r="N959" t="str">
        <f t="shared" si="86"/>
        <v>July</v>
      </c>
      <c r="O959" t="str">
        <f t="shared" si="87"/>
        <v>Wednesday</v>
      </c>
      <c r="P959">
        <f t="shared" si="84"/>
        <v>6</v>
      </c>
      <c r="Q959" s="2">
        <f t="shared" si="88"/>
        <v>3</v>
      </c>
      <c r="R959" s="2">
        <f t="shared" si="89"/>
        <v>7</v>
      </c>
      <c r="S959">
        <f>SUMIF(Table1[product_category],"Bakery",Table1[Total_bill])</f>
        <v>2951.25</v>
      </c>
    </row>
    <row r="960" spans="1:19" x14ac:dyDescent="0.3">
      <c r="A960" s="2">
        <v>10959</v>
      </c>
      <c r="B960" s="4">
        <v>46590</v>
      </c>
      <c r="C960" t="s">
        <v>1109</v>
      </c>
      <c r="D960" t="s">
        <v>40</v>
      </c>
      <c r="E960" t="s">
        <v>41</v>
      </c>
      <c r="F960" t="s">
        <v>231</v>
      </c>
      <c r="G960">
        <v>2</v>
      </c>
      <c r="H960" s="5">
        <v>3.5</v>
      </c>
      <c r="I960" t="s">
        <v>21</v>
      </c>
      <c r="J960" t="s">
        <v>51</v>
      </c>
      <c r="K960" t="s">
        <v>52</v>
      </c>
      <c r="L960" t="s">
        <v>2125</v>
      </c>
      <c r="M960" s="5">
        <f t="shared" si="85"/>
        <v>7</v>
      </c>
      <c r="N960" t="str">
        <f t="shared" si="86"/>
        <v>July</v>
      </c>
      <c r="O960" t="str">
        <f t="shared" si="87"/>
        <v>Thursday</v>
      </c>
      <c r="P960">
        <f t="shared" si="84"/>
        <v>8</v>
      </c>
      <c r="Q960" s="2">
        <f t="shared" si="88"/>
        <v>4</v>
      </c>
      <c r="R960" s="2">
        <f t="shared" si="89"/>
        <v>7</v>
      </c>
      <c r="S960">
        <f>SUMIF(Table1[product_category],"Bakery",Table1[Total_bill])</f>
        <v>2951.25</v>
      </c>
    </row>
    <row r="961" spans="1:19" x14ac:dyDescent="0.3">
      <c r="A961" s="2">
        <v>10960</v>
      </c>
      <c r="B961" s="4">
        <v>46591</v>
      </c>
      <c r="C961" t="s">
        <v>1110</v>
      </c>
      <c r="D961" t="s">
        <v>40</v>
      </c>
      <c r="E961" t="s">
        <v>41</v>
      </c>
      <c r="F961" t="s">
        <v>233</v>
      </c>
      <c r="G961">
        <v>3</v>
      </c>
      <c r="H961" s="5">
        <v>14</v>
      </c>
      <c r="I961" t="s">
        <v>98</v>
      </c>
      <c r="J961" t="s">
        <v>98</v>
      </c>
      <c r="K961" t="s">
        <v>129</v>
      </c>
      <c r="L961" t="s">
        <v>2125</v>
      </c>
      <c r="M961" s="5">
        <f t="shared" si="85"/>
        <v>42</v>
      </c>
      <c r="N961" t="str">
        <f t="shared" si="86"/>
        <v>July</v>
      </c>
      <c r="O961" t="str">
        <f t="shared" si="87"/>
        <v>Friday</v>
      </c>
      <c r="P961">
        <f t="shared" si="84"/>
        <v>15</v>
      </c>
      <c r="Q961" s="2">
        <f t="shared" si="88"/>
        <v>5</v>
      </c>
      <c r="R961" s="2">
        <f t="shared" si="89"/>
        <v>7</v>
      </c>
      <c r="S961">
        <f>SUMIF(Table1[product_category],"Bakery",Table1[Total_bill])</f>
        <v>2951.25</v>
      </c>
    </row>
    <row r="962" spans="1:19" x14ac:dyDescent="0.3">
      <c r="A962" s="2">
        <v>10961</v>
      </c>
      <c r="B962" s="4">
        <v>46592</v>
      </c>
      <c r="C962" t="s">
        <v>1111</v>
      </c>
      <c r="D962" t="s">
        <v>25</v>
      </c>
      <c r="E962" t="s">
        <v>26</v>
      </c>
      <c r="F962" t="s">
        <v>20</v>
      </c>
      <c r="G962">
        <v>3</v>
      </c>
      <c r="H962" s="5">
        <v>4.25</v>
      </c>
      <c r="I962" t="s">
        <v>36</v>
      </c>
      <c r="J962" t="s">
        <v>211</v>
      </c>
      <c r="K962" t="s">
        <v>239</v>
      </c>
      <c r="L962" t="s">
        <v>2123</v>
      </c>
      <c r="M962" s="5">
        <f t="shared" si="85"/>
        <v>12.75</v>
      </c>
      <c r="N962" t="str">
        <f t="shared" si="86"/>
        <v>July</v>
      </c>
      <c r="O962" t="str">
        <f t="shared" si="87"/>
        <v>Saturday</v>
      </c>
      <c r="P962">
        <f t="shared" ref="P962:P1025" si="90">HOUR(TIMEVALUE(C962))</f>
        <v>7</v>
      </c>
      <c r="Q962" s="2">
        <f t="shared" si="88"/>
        <v>6</v>
      </c>
      <c r="R962" s="2">
        <f t="shared" si="89"/>
        <v>7</v>
      </c>
      <c r="S962">
        <f>SUMIF(Table1[product_category],"Bakery",Table1[Total_bill])</f>
        <v>2951.25</v>
      </c>
    </row>
    <row r="963" spans="1:19" x14ac:dyDescent="0.3">
      <c r="A963" s="2">
        <v>10962</v>
      </c>
      <c r="B963" s="4">
        <v>46593</v>
      </c>
      <c r="C963" t="s">
        <v>1112</v>
      </c>
      <c r="D963" t="s">
        <v>40</v>
      </c>
      <c r="E963" t="s">
        <v>41</v>
      </c>
      <c r="F963" t="s">
        <v>27</v>
      </c>
      <c r="G963">
        <v>2</v>
      </c>
      <c r="H963" s="5">
        <v>8</v>
      </c>
      <c r="I963" t="s">
        <v>28</v>
      </c>
      <c r="J963" t="s">
        <v>28</v>
      </c>
      <c r="K963" t="s">
        <v>76</v>
      </c>
      <c r="L963" t="s">
        <v>2125</v>
      </c>
      <c r="M963" s="5">
        <f t="shared" ref="M963:M1026" si="91">G963*H963</f>
        <v>16</v>
      </c>
      <c r="N963" t="str">
        <f t="shared" ref="N963:N1026" si="92">TEXT(B963,"mmmm")</f>
        <v>July</v>
      </c>
      <c r="O963" t="str">
        <f t="shared" ref="O963:O1026" si="93">TEXT(B963,"dddd")</f>
        <v>Sunday</v>
      </c>
      <c r="P963">
        <f t="shared" si="90"/>
        <v>13</v>
      </c>
      <c r="Q963" s="2">
        <f t="shared" ref="Q963:Q1026" si="94">WEEKDAY(B963,2)</f>
        <v>7</v>
      </c>
      <c r="R963" s="2">
        <f t="shared" ref="R963:R1026" si="95">MONTH(B963)</f>
        <v>7</v>
      </c>
      <c r="S963">
        <f>SUMIF(Table1[product_category],"Bakery",Table1[Total_bill])</f>
        <v>2951.25</v>
      </c>
    </row>
    <row r="964" spans="1:19" x14ac:dyDescent="0.3">
      <c r="A964" s="2">
        <v>10963</v>
      </c>
      <c r="B964" s="4">
        <v>46594</v>
      </c>
      <c r="C964" t="s">
        <v>1113</v>
      </c>
      <c r="D964" t="s">
        <v>40</v>
      </c>
      <c r="E964" t="s">
        <v>41</v>
      </c>
      <c r="F964" t="s">
        <v>31</v>
      </c>
      <c r="G964">
        <v>3</v>
      </c>
      <c r="H964" s="5">
        <v>3</v>
      </c>
      <c r="I964" t="s">
        <v>21</v>
      </c>
      <c r="J964" t="s">
        <v>181</v>
      </c>
      <c r="K964" t="s">
        <v>182</v>
      </c>
      <c r="L964" t="s">
        <v>2125</v>
      </c>
      <c r="M964" s="5">
        <f t="shared" si="91"/>
        <v>9</v>
      </c>
      <c r="N964" t="str">
        <f t="shared" si="92"/>
        <v>July</v>
      </c>
      <c r="O964" t="str">
        <f t="shared" si="93"/>
        <v>Monday</v>
      </c>
      <c r="P964">
        <f t="shared" si="90"/>
        <v>8</v>
      </c>
      <c r="Q964" s="2">
        <f t="shared" si="94"/>
        <v>1</v>
      </c>
      <c r="R964" s="2">
        <f t="shared" si="95"/>
        <v>7</v>
      </c>
      <c r="S964">
        <f>SUMIF(Table1[product_category],"Bakery",Table1[Total_bill])</f>
        <v>2951.25</v>
      </c>
    </row>
    <row r="965" spans="1:19" x14ac:dyDescent="0.3">
      <c r="A965" s="2">
        <v>10964</v>
      </c>
      <c r="B965" s="4">
        <v>46595</v>
      </c>
      <c r="C965" t="s">
        <v>1114</v>
      </c>
      <c r="D965" t="s">
        <v>25</v>
      </c>
      <c r="E965" t="s">
        <v>26</v>
      </c>
      <c r="F965" t="s">
        <v>35</v>
      </c>
      <c r="G965">
        <v>4</v>
      </c>
      <c r="H965" s="5">
        <v>14</v>
      </c>
      <c r="I965" t="s">
        <v>101</v>
      </c>
      <c r="J965" t="s">
        <v>102</v>
      </c>
      <c r="K965" t="s">
        <v>193</v>
      </c>
      <c r="L965" t="s">
        <v>2125</v>
      </c>
      <c r="M965" s="5">
        <f t="shared" si="91"/>
        <v>56</v>
      </c>
      <c r="N965" t="str">
        <f t="shared" si="92"/>
        <v>July</v>
      </c>
      <c r="O965" t="str">
        <f t="shared" si="93"/>
        <v>Tuesday</v>
      </c>
      <c r="P965">
        <f t="shared" si="90"/>
        <v>10</v>
      </c>
      <c r="Q965" s="2">
        <f t="shared" si="94"/>
        <v>2</v>
      </c>
      <c r="R965" s="2">
        <f t="shared" si="95"/>
        <v>7</v>
      </c>
      <c r="S965">
        <f>SUMIF(Table1[product_category],"Bakery",Table1[Total_bill])</f>
        <v>2951.25</v>
      </c>
    </row>
    <row r="966" spans="1:19" x14ac:dyDescent="0.3">
      <c r="A966" s="2">
        <v>10965</v>
      </c>
      <c r="B966" s="4">
        <v>46596</v>
      </c>
      <c r="C966" t="s">
        <v>1115</v>
      </c>
      <c r="D966" t="s">
        <v>18</v>
      </c>
      <c r="E966" t="s">
        <v>19</v>
      </c>
      <c r="F966" t="s">
        <v>42</v>
      </c>
      <c r="G966">
        <v>2</v>
      </c>
      <c r="H966" s="5">
        <v>2.25</v>
      </c>
      <c r="I966" t="s">
        <v>21</v>
      </c>
      <c r="J966" t="s">
        <v>58</v>
      </c>
      <c r="K966" t="s">
        <v>59</v>
      </c>
      <c r="L966" t="s">
        <v>2125</v>
      </c>
      <c r="M966" s="5">
        <f t="shared" si="91"/>
        <v>4.5</v>
      </c>
      <c r="N966" t="str">
        <f t="shared" si="92"/>
        <v>July</v>
      </c>
      <c r="O966" t="str">
        <f t="shared" si="93"/>
        <v>Wednesday</v>
      </c>
      <c r="P966">
        <f t="shared" si="90"/>
        <v>9</v>
      </c>
      <c r="Q966" s="2">
        <f t="shared" si="94"/>
        <v>3</v>
      </c>
      <c r="R966" s="2">
        <f t="shared" si="95"/>
        <v>7</v>
      </c>
      <c r="S966">
        <f>SUMIF(Table1[product_category],"Bakery",Table1[Total_bill])</f>
        <v>2951.25</v>
      </c>
    </row>
    <row r="967" spans="1:19" x14ac:dyDescent="0.3">
      <c r="A967" s="2">
        <v>10966</v>
      </c>
      <c r="B967" s="4">
        <v>46597</v>
      </c>
      <c r="C967" t="s">
        <v>1116</v>
      </c>
      <c r="D967" t="s">
        <v>18</v>
      </c>
      <c r="E967" t="s">
        <v>19</v>
      </c>
      <c r="F967" t="s">
        <v>46</v>
      </c>
      <c r="G967">
        <v>4</v>
      </c>
      <c r="H967" s="5">
        <v>9.5</v>
      </c>
      <c r="I967" t="s">
        <v>28</v>
      </c>
      <c r="J967" t="s">
        <v>28</v>
      </c>
      <c r="K967" t="s">
        <v>29</v>
      </c>
      <c r="L967" t="s">
        <v>2125</v>
      </c>
      <c r="M967" s="5">
        <f t="shared" si="91"/>
        <v>38</v>
      </c>
      <c r="N967" t="str">
        <f t="shared" si="92"/>
        <v>July</v>
      </c>
      <c r="O967" t="str">
        <f t="shared" si="93"/>
        <v>Thursday</v>
      </c>
      <c r="P967">
        <f t="shared" si="90"/>
        <v>10</v>
      </c>
      <c r="Q967" s="2">
        <f t="shared" si="94"/>
        <v>4</v>
      </c>
      <c r="R967" s="2">
        <f t="shared" si="95"/>
        <v>7</v>
      </c>
      <c r="S967">
        <f>SUMIF(Table1[product_category],"Bakery",Table1[Total_bill])</f>
        <v>2951.25</v>
      </c>
    </row>
    <row r="968" spans="1:19" x14ac:dyDescent="0.3">
      <c r="A968" s="2">
        <v>10967</v>
      </c>
      <c r="B968" s="4">
        <v>46598</v>
      </c>
      <c r="C968" t="s">
        <v>1117</v>
      </c>
      <c r="D968" t="s">
        <v>40</v>
      </c>
      <c r="E968" t="s">
        <v>41</v>
      </c>
      <c r="F968" t="s">
        <v>50</v>
      </c>
      <c r="G968">
        <v>2</v>
      </c>
      <c r="H968" s="5">
        <v>8</v>
      </c>
      <c r="I968" t="s">
        <v>28</v>
      </c>
      <c r="J968" t="s">
        <v>28</v>
      </c>
      <c r="K968" t="s">
        <v>76</v>
      </c>
      <c r="L968" t="s">
        <v>2125</v>
      </c>
      <c r="M968" s="5">
        <f t="shared" si="91"/>
        <v>16</v>
      </c>
      <c r="N968" t="str">
        <f t="shared" si="92"/>
        <v>July</v>
      </c>
      <c r="O968" t="str">
        <f t="shared" si="93"/>
        <v>Friday</v>
      </c>
      <c r="P968">
        <f t="shared" si="90"/>
        <v>15</v>
      </c>
      <c r="Q968" s="2">
        <f t="shared" si="94"/>
        <v>5</v>
      </c>
      <c r="R968" s="2">
        <f t="shared" si="95"/>
        <v>7</v>
      </c>
      <c r="S968">
        <f>SUMIF(Table1[product_category],"Bakery",Table1[Total_bill])</f>
        <v>2951.25</v>
      </c>
    </row>
    <row r="969" spans="1:19" x14ac:dyDescent="0.3">
      <c r="A969" s="2">
        <v>10968</v>
      </c>
      <c r="B969" s="4">
        <v>46599</v>
      </c>
      <c r="C969" t="s">
        <v>1118</v>
      </c>
      <c r="D969" t="s">
        <v>40</v>
      </c>
      <c r="E969" t="s">
        <v>41</v>
      </c>
      <c r="F969" t="s">
        <v>54</v>
      </c>
      <c r="G969">
        <v>1</v>
      </c>
      <c r="H969" s="5">
        <v>3.25</v>
      </c>
      <c r="I969" t="s">
        <v>21</v>
      </c>
      <c r="J969" t="s">
        <v>81</v>
      </c>
      <c r="K969" t="s">
        <v>82</v>
      </c>
      <c r="L969" t="s">
        <v>2125</v>
      </c>
      <c r="M969" s="5">
        <f t="shared" si="91"/>
        <v>3.25</v>
      </c>
      <c r="N969" t="str">
        <f t="shared" si="92"/>
        <v>July</v>
      </c>
      <c r="O969" t="str">
        <f t="shared" si="93"/>
        <v>Saturday</v>
      </c>
      <c r="P969">
        <f t="shared" si="90"/>
        <v>9</v>
      </c>
      <c r="Q969" s="2">
        <f t="shared" si="94"/>
        <v>6</v>
      </c>
      <c r="R969" s="2">
        <f t="shared" si="95"/>
        <v>7</v>
      </c>
      <c r="S969">
        <f>SUMIF(Table1[product_category],"Bakery",Table1[Total_bill])</f>
        <v>2951.25</v>
      </c>
    </row>
    <row r="970" spans="1:19" x14ac:dyDescent="0.3">
      <c r="A970" s="2">
        <v>10969</v>
      </c>
      <c r="B970" s="4">
        <v>46600</v>
      </c>
      <c r="C970" t="s">
        <v>1119</v>
      </c>
      <c r="D970" t="s">
        <v>25</v>
      </c>
      <c r="E970" t="s">
        <v>26</v>
      </c>
      <c r="F970" t="s">
        <v>57</v>
      </c>
      <c r="G970">
        <v>2</v>
      </c>
      <c r="H970" s="5">
        <v>2.75</v>
      </c>
      <c r="I970" t="s">
        <v>32</v>
      </c>
      <c r="J970" t="s">
        <v>226</v>
      </c>
      <c r="K970" t="s">
        <v>273</v>
      </c>
      <c r="L970" t="s">
        <v>2122</v>
      </c>
      <c r="M970" s="5">
        <f t="shared" si="91"/>
        <v>5.5</v>
      </c>
      <c r="N970" t="str">
        <f t="shared" si="92"/>
        <v>August</v>
      </c>
      <c r="O970" t="str">
        <f t="shared" si="93"/>
        <v>Sunday</v>
      </c>
      <c r="P970">
        <f t="shared" si="90"/>
        <v>12</v>
      </c>
      <c r="Q970" s="2">
        <f t="shared" si="94"/>
        <v>7</v>
      </c>
      <c r="R970" s="2">
        <f t="shared" si="95"/>
        <v>8</v>
      </c>
      <c r="S970">
        <f>SUMIF(Table1[product_category],"Bakery",Table1[Total_bill])</f>
        <v>2951.25</v>
      </c>
    </row>
    <row r="971" spans="1:19" x14ac:dyDescent="0.3">
      <c r="A971" s="2">
        <v>10970</v>
      </c>
      <c r="B971" s="4">
        <v>46601</v>
      </c>
      <c r="C971" t="s">
        <v>1120</v>
      </c>
      <c r="D971" t="s">
        <v>40</v>
      </c>
      <c r="E971" t="s">
        <v>41</v>
      </c>
      <c r="F971" t="s">
        <v>61</v>
      </c>
      <c r="G971">
        <v>1</v>
      </c>
      <c r="H971" s="5">
        <v>2.5</v>
      </c>
      <c r="I971" t="s">
        <v>36</v>
      </c>
      <c r="J971" t="s">
        <v>37</v>
      </c>
      <c r="K971" t="s">
        <v>38</v>
      </c>
      <c r="L971" t="s">
        <v>2122</v>
      </c>
      <c r="M971" s="5">
        <f t="shared" si="91"/>
        <v>2.5</v>
      </c>
      <c r="N971" t="str">
        <f t="shared" si="92"/>
        <v>August</v>
      </c>
      <c r="O971" t="str">
        <f t="shared" si="93"/>
        <v>Monday</v>
      </c>
      <c r="P971">
        <f t="shared" si="90"/>
        <v>11</v>
      </c>
      <c r="Q971" s="2">
        <f t="shared" si="94"/>
        <v>1</v>
      </c>
      <c r="R971" s="2">
        <f t="shared" si="95"/>
        <v>8</v>
      </c>
      <c r="S971">
        <f>SUMIF(Table1[product_category],"Bakery",Table1[Total_bill])</f>
        <v>2951.25</v>
      </c>
    </row>
    <row r="972" spans="1:19" x14ac:dyDescent="0.3">
      <c r="A972" s="2">
        <v>10971</v>
      </c>
      <c r="B972" s="4">
        <v>46602</v>
      </c>
      <c r="C972" t="s">
        <v>1121</v>
      </c>
      <c r="D972" t="s">
        <v>40</v>
      </c>
      <c r="E972" t="s">
        <v>41</v>
      </c>
      <c r="F972" t="s">
        <v>64</v>
      </c>
      <c r="G972">
        <v>3</v>
      </c>
      <c r="H972" s="5">
        <v>6</v>
      </c>
      <c r="I972" t="s">
        <v>72</v>
      </c>
      <c r="J972" t="s">
        <v>72</v>
      </c>
      <c r="K972" t="s">
        <v>138</v>
      </c>
      <c r="L972" t="s">
        <v>2125</v>
      </c>
      <c r="M972" s="5">
        <f t="shared" si="91"/>
        <v>18</v>
      </c>
      <c r="N972" t="str">
        <f t="shared" si="92"/>
        <v>August</v>
      </c>
      <c r="O972" t="str">
        <f t="shared" si="93"/>
        <v>Tuesday</v>
      </c>
      <c r="P972">
        <f t="shared" si="90"/>
        <v>14</v>
      </c>
      <c r="Q972" s="2">
        <f t="shared" si="94"/>
        <v>2</v>
      </c>
      <c r="R972" s="2">
        <f t="shared" si="95"/>
        <v>8</v>
      </c>
      <c r="S972">
        <f>SUMIF(Table1[product_category],"Bakery",Table1[Total_bill])</f>
        <v>2951.25</v>
      </c>
    </row>
    <row r="973" spans="1:19" x14ac:dyDescent="0.3">
      <c r="A973" s="2">
        <v>10972</v>
      </c>
      <c r="B973" s="4">
        <v>46603</v>
      </c>
      <c r="C973" t="s">
        <v>1122</v>
      </c>
      <c r="D973" t="s">
        <v>18</v>
      </c>
      <c r="E973" t="s">
        <v>19</v>
      </c>
      <c r="F973" t="s">
        <v>66</v>
      </c>
      <c r="G973">
        <v>2</v>
      </c>
      <c r="H973" s="5">
        <v>3.75</v>
      </c>
      <c r="I973" t="s">
        <v>32</v>
      </c>
      <c r="J973" t="s">
        <v>69</v>
      </c>
      <c r="K973" t="s">
        <v>69</v>
      </c>
      <c r="L973" t="s">
        <v>2122</v>
      </c>
      <c r="M973" s="5">
        <f t="shared" si="91"/>
        <v>7.5</v>
      </c>
      <c r="N973" t="str">
        <f t="shared" si="92"/>
        <v>August</v>
      </c>
      <c r="O973" t="str">
        <f t="shared" si="93"/>
        <v>Wednesday</v>
      </c>
      <c r="P973">
        <f t="shared" si="90"/>
        <v>19</v>
      </c>
      <c r="Q973" s="2">
        <f t="shared" si="94"/>
        <v>3</v>
      </c>
      <c r="R973" s="2">
        <f t="shared" si="95"/>
        <v>8</v>
      </c>
      <c r="S973">
        <f>SUMIF(Table1[product_category],"Bakery",Table1[Total_bill])</f>
        <v>2951.25</v>
      </c>
    </row>
    <row r="974" spans="1:19" x14ac:dyDescent="0.3">
      <c r="A974" s="2">
        <v>10973</v>
      </c>
      <c r="B974" s="4">
        <v>46604</v>
      </c>
      <c r="C974" t="s">
        <v>1123</v>
      </c>
      <c r="D974" t="s">
        <v>25</v>
      </c>
      <c r="E974" t="s">
        <v>26</v>
      </c>
      <c r="F974" t="s">
        <v>68</v>
      </c>
      <c r="G974">
        <v>1</v>
      </c>
      <c r="H974" s="5">
        <v>5.5</v>
      </c>
      <c r="I974" t="s">
        <v>72</v>
      </c>
      <c r="J974" t="s">
        <v>72</v>
      </c>
      <c r="K974" t="s">
        <v>73</v>
      </c>
      <c r="L974" t="s">
        <v>2125</v>
      </c>
      <c r="M974" s="5">
        <f t="shared" si="91"/>
        <v>5.5</v>
      </c>
      <c r="N974" t="str">
        <f t="shared" si="92"/>
        <v>August</v>
      </c>
      <c r="O974" t="str">
        <f t="shared" si="93"/>
        <v>Thursday</v>
      </c>
      <c r="P974">
        <f t="shared" si="90"/>
        <v>15</v>
      </c>
      <c r="Q974" s="2">
        <f t="shared" si="94"/>
        <v>4</v>
      </c>
      <c r="R974" s="2">
        <f t="shared" si="95"/>
        <v>8</v>
      </c>
      <c r="S974">
        <f>SUMIF(Table1[product_category],"Bakery",Table1[Total_bill])</f>
        <v>2951.25</v>
      </c>
    </row>
    <row r="975" spans="1:19" x14ac:dyDescent="0.3">
      <c r="A975" s="2">
        <v>10974</v>
      </c>
      <c r="B975" s="4">
        <v>46605</v>
      </c>
      <c r="C975" t="s">
        <v>1124</v>
      </c>
      <c r="D975" t="s">
        <v>40</v>
      </c>
      <c r="E975" t="s">
        <v>41</v>
      </c>
      <c r="F975" t="s">
        <v>71</v>
      </c>
      <c r="G975">
        <v>1</v>
      </c>
      <c r="H975" s="5">
        <v>2.25</v>
      </c>
      <c r="I975" t="s">
        <v>21</v>
      </c>
      <c r="J975" t="s">
        <v>58</v>
      </c>
      <c r="K975" t="s">
        <v>59</v>
      </c>
      <c r="L975" t="s">
        <v>2125</v>
      </c>
      <c r="M975" s="5">
        <f t="shared" si="91"/>
        <v>2.25</v>
      </c>
      <c r="N975" t="str">
        <f t="shared" si="92"/>
        <v>August</v>
      </c>
      <c r="O975" t="str">
        <f t="shared" si="93"/>
        <v>Friday</v>
      </c>
      <c r="P975">
        <f t="shared" si="90"/>
        <v>8</v>
      </c>
      <c r="Q975" s="2">
        <f t="shared" si="94"/>
        <v>5</v>
      </c>
      <c r="R975" s="2">
        <f t="shared" si="95"/>
        <v>8</v>
      </c>
      <c r="S975">
        <f>SUMIF(Table1[product_category],"Bakery",Table1[Total_bill])</f>
        <v>2951.25</v>
      </c>
    </row>
    <row r="976" spans="1:19" x14ac:dyDescent="0.3">
      <c r="A976" s="2">
        <v>10975</v>
      </c>
      <c r="B976" s="4">
        <v>46606</v>
      </c>
      <c r="C976" t="s">
        <v>1125</v>
      </c>
      <c r="D976" t="s">
        <v>25</v>
      </c>
      <c r="E976" t="s">
        <v>26</v>
      </c>
      <c r="F976" t="s">
        <v>75</v>
      </c>
      <c r="G976">
        <v>1</v>
      </c>
      <c r="H976" s="5">
        <v>4.25</v>
      </c>
      <c r="I976" t="s">
        <v>32</v>
      </c>
      <c r="J976" t="s">
        <v>69</v>
      </c>
      <c r="K976" t="s">
        <v>69</v>
      </c>
      <c r="L976" t="s">
        <v>2124</v>
      </c>
      <c r="M976" s="5">
        <f t="shared" si="91"/>
        <v>4.25</v>
      </c>
      <c r="N976" t="str">
        <f t="shared" si="92"/>
        <v>August</v>
      </c>
      <c r="O976" t="str">
        <f t="shared" si="93"/>
        <v>Saturday</v>
      </c>
      <c r="P976">
        <f t="shared" si="90"/>
        <v>6</v>
      </c>
      <c r="Q976" s="2">
        <f t="shared" si="94"/>
        <v>6</v>
      </c>
      <c r="R976" s="2">
        <f t="shared" si="95"/>
        <v>8</v>
      </c>
      <c r="S976">
        <f>SUMIF(Table1[product_category],"Bakery",Table1[Total_bill])</f>
        <v>2951.25</v>
      </c>
    </row>
    <row r="977" spans="1:19" x14ac:dyDescent="0.3">
      <c r="A977" s="2">
        <v>10976</v>
      </c>
      <c r="B977" s="4">
        <v>46607</v>
      </c>
      <c r="C977" t="s">
        <v>1126</v>
      </c>
      <c r="D977" t="s">
        <v>25</v>
      </c>
      <c r="E977" t="s">
        <v>26</v>
      </c>
      <c r="F977" t="s">
        <v>78</v>
      </c>
      <c r="G977">
        <v>4</v>
      </c>
      <c r="H977" s="5">
        <v>3.5</v>
      </c>
      <c r="I977" t="s">
        <v>36</v>
      </c>
      <c r="J977" t="s">
        <v>37</v>
      </c>
      <c r="K977" t="s">
        <v>62</v>
      </c>
      <c r="L977" t="s">
        <v>2123</v>
      </c>
      <c r="M977" s="5">
        <f t="shared" si="91"/>
        <v>14</v>
      </c>
      <c r="N977" t="str">
        <f t="shared" si="92"/>
        <v>August</v>
      </c>
      <c r="O977" t="str">
        <f t="shared" si="93"/>
        <v>Sunday</v>
      </c>
      <c r="P977">
        <f t="shared" si="90"/>
        <v>9</v>
      </c>
      <c r="Q977" s="2">
        <f t="shared" si="94"/>
        <v>7</v>
      </c>
      <c r="R977" s="2">
        <f t="shared" si="95"/>
        <v>8</v>
      </c>
      <c r="S977">
        <f>SUMIF(Table1[product_category],"Bakery",Table1[Total_bill])</f>
        <v>2951.25</v>
      </c>
    </row>
    <row r="978" spans="1:19" x14ac:dyDescent="0.3">
      <c r="A978" s="2">
        <v>10977</v>
      </c>
      <c r="B978" s="4">
        <v>46608</v>
      </c>
      <c r="C978" t="s">
        <v>1127</v>
      </c>
      <c r="D978" t="s">
        <v>18</v>
      </c>
      <c r="E978" t="s">
        <v>19</v>
      </c>
      <c r="F978" t="s">
        <v>80</v>
      </c>
      <c r="G978">
        <v>4</v>
      </c>
      <c r="H978" s="5">
        <v>3</v>
      </c>
      <c r="I978" t="s">
        <v>36</v>
      </c>
      <c r="J978" t="s">
        <v>246</v>
      </c>
      <c r="K978" t="s">
        <v>247</v>
      </c>
      <c r="L978" t="s">
        <v>2124</v>
      </c>
      <c r="M978" s="5">
        <f t="shared" si="91"/>
        <v>12</v>
      </c>
      <c r="N978" t="str">
        <f t="shared" si="92"/>
        <v>August</v>
      </c>
      <c r="O978" t="str">
        <f t="shared" si="93"/>
        <v>Monday</v>
      </c>
      <c r="P978">
        <f t="shared" si="90"/>
        <v>13</v>
      </c>
      <c r="Q978" s="2">
        <f t="shared" si="94"/>
        <v>1</v>
      </c>
      <c r="R978" s="2">
        <f t="shared" si="95"/>
        <v>8</v>
      </c>
      <c r="S978">
        <f>SUMIF(Table1[product_category],"Bakery",Table1[Total_bill])</f>
        <v>2951.25</v>
      </c>
    </row>
    <row r="979" spans="1:19" x14ac:dyDescent="0.3">
      <c r="A979" s="2">
        <v>10978</v>
      </c>
      <c r="B979" s="4">
        <v>46609</v>
      </c>
      <c r="C979" t="s">
        <v>1128</v>
      </c>
      <c r="D979" t="s">
        <v>18</v>
      </c>
      <c r="E979" t="s">
        <v>19</v>
      </c>
      <c r="F979" t="s">
        <v>84</v>
      </c>
      <c r="G979">
        <v>4</v>
      </c>
      <c r="H979" s="5">
        <v>3.5</v>
      </c>
      <c r="I979" t="s">
        <v>21</v>
      </c>
      <c r="J979" t="s">
        <v>51</v>
      </c>
      <c r="K979" t="s">
        <v>52</v>
      </c>
      <c r="L979" t="s">
        <v>2125</v>
      </c>
      <c r="M979" s="5">
        <f t="shared" si="91"/>
        <v>14</v>
      </c>
      <c r="N979" t="str">
        <f t="shared" si="92"/>
        <v>August</v>
      </c>
      <c r="O979" t="str">
        <f t="shared" si="93"/>
        <v>Tuesday</v>
      </c>
      <c r="P979">
        <f t="shared" si="90"/>
        <v>6</v>
      </c>
      <c r="Q979" s="2">
        <f t="shared" si="94"/>
        <v>2</v>
      </c>
      <c r="R979" s="2">
        <f t="shared" si="95"/>
        <v>8</v>
      </c>
      <c r="S979">
        <f>SUMIF(Table1[product_category],"Bakery",Table1[Total_bill])</f>
        <v>2951.25</v>
      </c>
    </row>
    <row r="980" spans="1:19" x14ac:dyDescent="0.3">
      <c r="A980" s="2">
        <v>10979</v>
      </c>
      <c r="B980" s="4">
        <v>46610</v>
      </c>
      <c r="C980" t="s">
        <v>1129</v>
      </c>
      <c r="D980" t="s">
        <v>25</v>
      </c>
      <c r="E980" t="s">
        <v>26</v>
      </c>
      <c r="F980" t="s">
        <v>86</v>
      </c>
      <c r="G980">
        <v>4</v>
      </c>
      <c r="H980" s="5">
        <v>3.25</v>
      </c>
      <c r="I980" t="s">
        <v>36</v>
      </c>
      <c r="J980" t="s">
        <v>211</v>
      </c>
      <c r="K980" t="s">
        <v>212</v>
      </c>
      <c r="L980" t="s">
        <v>2122</v>
      </c>
      <c r="M980" s="5">
        <f t="shared" si="91"/>
        <v>13</v>
      </c>
      <c r="N980" t="str">
        <f t="shared" si="92"/>
        <v>August</v>
      </c>
      <c r="O980" t="str">
        <f t="shared" si="93"/>
        <v>Wednesday</v>
      </c>
      <c r="P980">
        <f t="shared" si="90"/>
        <v>11</v>
      </c>
      <c r="Q980" s="2">
        <f t="shared" si="94"/>
        <v>3</v>
      </c>
      <c r="R980" s="2">
        <f t="shared" si="95"/>
        <v>8</v>
      </c>
      <c r="S980">
        <f>SUMIF(Table1[product_category],"Bakery",Table1[Total_bill])</f>
        <v>2951.25</v>
      </c>
    </row>
    <row r="981" spans="1:19" x14ac:dyDescent="0.3">
      <c r="A981" s="2">
        <v>10980</v>
      </c>
      <c r="B981" s="4">
        <v>46611</v>
      </c>
      <c r="C981" t="s">
        <v>1130</v>
      </c>
      <c r="D981" t="s">
        <v>25</v>
      </c>
      <c r="E981" t="s">
        <v>26</v>
      </c>
      <c r="F981" t="s">
        <v>88</v>
      </c>
      <c r="G981">
        <v>4</v>
      </c>
      <c r="H981" s="5">
        <v>9.5</v>
      </c>
      <c r="I981" t="s">
        <v>28</v>
      </c>
      <c r="J981" t="s">
        <v>28</v>
      </c>
      <c r="K981" t="s">
        <v>29</v>
      </c>
      <c r="L981" t="s">
        <v>2125</v>
      </c>
      <c r="M981" s="5">
        <f t="shared" si="91"/>
        <v>38</v>
      </c>
      <c r="N981" t="str">
        <f t="shared" si="92"/>
        <v>August</v>
      </c>
      <c r="O981" t="str">
        <f t="shared" si="93"/>
        <v>Thursday</v>
      </c>
      <c r="P981">
        <f t="shared" si="90"/>
        <v>13</v>
      </c>
      <c r="Q981" s="2">
        <f t="shared" si="94"/>
        <v>4</v>
      </c>
      <c r="R981" s="2">
        <f t="shared" si="95"/>
        <v>8</v>
      </c>
      <c r="S981">
        <f>SUMIF(Table1[product_category],"Bakery",Table1[Total_bill])</f>
        <v>2951.25</v>
      </c>
    </row>
    <row r="982" spans="1:19" x14ac:dyDescent="0.3">
      <c r="A982" s="2">
        <v>10981</v>
      </c>
      <c r="B982" s="4">
        <v>46612</v>
      </c>
      <c r="C982" t="s">
        <v>1131</v>
      </c>
      <c r="D982" t="s">
        <v>18</v>
      </c>
      <c r="E982" t="s">
        <v>19</v>
      </c>
      <c r="F982" t="s">
        <v>93</v>
      </c>
      <c r="G982">
        <v>3</v>
      </c>
      <c r="H982" s="5">
        <v>3.25</v>
      </c>
      <c r="I982" t="s">
        <v>21</v>
      </c>
      <c r="J982" t="s">
        <v>81</v>
      </c>
      <c r="K982" t="s">
        <v>82</v>
      </c>
      <c r="L982" t="s">
        <v>2125</v>
      </c>
      <c r="M982" s="5">
        <f t="shared" si="91"/>
        <v>9.75</v>
      </c>
      <c r="N982" t="str">
        <f t="shared" si="92"/>
        <v>August</v>
      </c>
      <c r="O982" t="str">
        <f t="shared" si="93"/>
        <v>Friday</v>
      </c>
      <c r="P982">
        <f t="shared" si="90"/>
        <v>9</v>
      </c>
      <c r="Q982" s="2">
        <f t="shared" si="94"/>
        <v>5</v>
      </c>
      <c r="R982" s="2">
        <f t="shared" si="95"/>
        <v>8</v>
      </c>
      <c r="S982">
        <f>SUMIF(Table1[product_category],"Bakery",Table1[Total_bill])</f>
        <v>2951.25</v>
      </c>
    </row>
    <row r="983" spans="1:19" x14ac:dyDescent="0.3">
      <c r="A983" s="2">
        <v>10982</v>
      </c>
      <c r="B983" s="4">
        <v>46613</v>
      </c>
      <c r="C983" t="s">
        <v>1132</v>
      </c>
      <c r="D983" t="s">
        <v>40</v>
      </c>
      <c r="E983" t="s">
        <v>41</v>
      </c>
      <c r="F983" t="s">
        <v>97</v>
      </c>
      <c r="G983">
        <v>2</v>
      </c>
      <c r="H983" s="5">
        <v>3.25</v>
      </c>
      <c r="I983" t="s">
        <v>21</v>
      </c>
      <c r="J983" t="s">
        <v>81</v>
      </c>
      <c r="K983" t="s">
        <v>82</v>
      </c>
      <c r="L983" t="s">
        <v>2125</v>
      </c>
      <c r="M983" s="5">
        <f t="shared" si="91"/>
        <v>6.5</v>
      </c>
      <c r="N983" t="str">
        <f t="shared" si="92"/>
        <v>August</v>
      </c>
      <c r="O983" t="str">
        <f t="shared" si="93"/>
        <v>Saturday</v>
      </c>
      <c r="P983">
        <f t="shared" si="90"/>
        <v>15</v>
      </c>
      <c r="Q983" s="2">
        <f t="shared" si="94"/>
        <v>6</v>
      </c>
      <c r="R983" s="2">
        <f t="shared" si="95"/>
        <v>8</v>
      </c>
      <c r="S983">
        <f>SUMIF(Table1[product_category],"Bakery",Table1[Total_bill])</f>
        <v>2951.25</v>
      </c>
    </row>
    <row r="984" spans="1:19" x14ac:dyDescent="0.3">
      <c r="A984" s="2">
        <v>10983</v>
      </c>
      <c r="B984" s="4">
        <v>46614</v>
      </c>
      <c r="C984" t="s">
        <v>177</v>
      </c>
      <c r="D984" t="s">
        <v>40</v>
      </c>
      <c r="E984" t="s">
        <v>41</v>
      </c>
      <c r="F984" t="s">
        <v>100</v>
      </c>
      <c r="G984">
        <v>3</v>
      </c>
      <c r="H984" s="5">
        <v>8</v>
      </c>
      <c r="I984" t="s">
        <v>28</v>
      </c>
      <c r="J984" t="s">
        <v>28</v>
      </c>
      <c r="K984" t="s">
        <v>76</v>
      </c>
      <c r="L984" t="s">
        <v>2125</v>
      </c>
      <c r="M984" s="5">
        <f t="shared" si="91"/>
        <v>24</v>
      </c>
      <c r="N984" t="str">
        <f t="shared" si="92"/>
        <v>August</v>
      </c>
      <c r="O984" t="str">
        <f t="shared" si="93"/>
        <v>Sunday</v>
      </c>
      <c r="P984">
        <f t="shared" si="90"/>
        <v>7</v>
      </c>
      <c r="Q984" s="2">
        <f t="shared" si="94"/>
        <v>7</v>
      </c>
      <c r="R984" s="2">
        <f t="shared" si="95"/>
        <v>8</v>
      </c>
      <c r="S984">
        <f>SUMIF(Table1[product_category],"Bakery",Table1[Total_bill])</f>
        <v>2951.25</v>
      </c>
    </row>
    <row r="985" spans="1:19" x14ac:dyDescent="0.3">
      <c r="A985" s="2">
        <v>10984</v>
      </c>
      <c r="B985" s="4">
        <v>46615</v>
      </c>
      <c r="C985" t="s">
        <v>1133</v>
      </c>
      <c r="D985" t="s">
        <v>40</v>
      </c>
      <c r="E985" t="s">
        <v>41</v>
      </c>
      <c r="F985" t="s">
        <v>105</v>
      </c>
      <c r="G985">
        <v>1</v>
      </c>
      <c r="H985" s="5">
        <v>2.75</v>
      </c>
      <c r="I985" t="s">
        <v>32</v>
      </c>
      <c r="J985" t="s">
        <v>43</v>
      </c>
      <c r="K985" t="s">
        <v>44</v>
      </c>
      <c r="L985" t="s">
        <v>2123</v>
      </c>
      <c r="M985" s="5">
        <f t="shared" si="91"/>
        <v>2.75</v>
      </c>
      <c r="N985" t="str">
        <f t="shared" si="92"/>
        <v>August</v>
      </c>
      <c r="O985" t="str">
        <f t="shared" si="93"/>
        <v>Monday</v>
      </c>
      <c r="P985">
        <f t="shared" si="90"/>
        <v>7</v>
      </c>
      <c r="Q985" s="2">
        <f t="shared" si="94"/>
        <v>1</v>
      </c>
      <c r="R985" s="2">
        <f t="shared" si="95"/>
        <v>8</v>
      </c>
      <c r="S985">
        <f>SUMIF(Table1[product_category],"Bakery",Table1[Total_bill])</f>
        <v>2951.25</v>
      </c>
    </row>
    <row r="986" spans="1:19" x14ac:dyDescent="0.3">
      <c r="A986" s="2">
        <v>10985</v>
      </c>
      <c r="B986" s="4">
        <v>46616</v>
      </c>
      <c r="C986" t="s">
        <v>1134</v>
      </c>
      <c r="D986" t="s">
        <v>18</v>
      </c>
      <c r="E986" t="s">
        <v>19</v>
      </c>
      <c r="F986" t="s">
        <v>107</v>
      </c>
      <c r="G986">
        <v>1</v>
      </c>
      <c r="H986" s="5">
        <v>4.75</v>
      </c>
      <c r="I986" t="s">
        <v>32</v>
      </c>
      <c r="J986" t="s">
        <v>122</v>
      </c>
      <c r="K986" t="s">
        <v>122</v>
      </c>
      <c r="L986" t="s">
        <v>2123</v>
      </c>
      <c r="M986" s="5">
        <f t="shared" si="91"/>
        <v>4.75</v>
      </c>
      <c r="N986" t="str">
        <f t="shared" si="92"/>
        <v>August</v>
      </c>
      <c r="O986" t="str">
        <f t="shared" si="93"/>
        <v>Tuesday</v>
      </c>
      <c r="P986">
        <f t="shared" si="90"/>
        <v>15</v>
      </c>
      <c r="Q986" s="2">
        <f t="shared" si="94"/>
        <v>2</v>
      </c>
      <c r="R986" s="2">
        <f t="shared" si="95"/>
        <v>8</v>
      </c>
      <c r="S986">
        <f>SUMIF(Table1[product_category],"Bakery",Table1[Total_bill])</f>
        <v>2951.25</v>
      </c>
    </row>
    <row r="987" spans="1:19" x14ac:dyDescent="0.3">
      <c r="A987" s="2">
        <v>10986</v>
      </c>
      <c r="B987" s="4">
        <v>46617</v>
      </c>
      <c r="C987" t="s">
        <v>1135</v>
      </c>
      <c r="D987" t="s">
        <v>40</v>
      </c>
      <c r="E987" t="s">
        <v>41</v>
      </c>
      <c r="F987" t="s">
        <v>109</v>
      </c>
      <c r="G987">
        <v>3</v>
      </c>
      <c r="H987" s="5">
        <v>3.5</v>
      </c>
      <c r="I987" t="s">
        <v>32</v>
      </c>
      <c r="J987" t="s">
        <v>226</v>
      </c>
      <c r="K987" t="s">
        <v>227</v>
      </c>
      <c r="L987" t="s">
        <v>2123</v>
      </c>
      <c r="M987" s="5">
        <f t="shared" si="91"/>
        <v>10.5</v>
      </c>
      <c r="N987" t="str">
        <f t="shared" si="92"/>
        <v>August</v>
      </c>
      <c r="O987" t="str">
        <f t="shared" si="93"/>
        <v>Wednesday</v>
      </c>
      <c r="P987">
        <f t="shared" si="90"/>
        <v>11</v>
      </c>
      <c r="Q987" s="2">
        <f t="shared" si="94"/>
        <v>3</v>
      </c>
      <c r="R987" s="2">
        <f t="shared" si="95"/>
        <v>8</v>
      </c>
      <c r="S987">
        <f>SUMIF(Table1[product_category],"Bakery",Table1[Total_bill])</f>
        <v>2951.25</v>
      </c>
    </row>
    <row r="988" spans="1:19" x14ac:dyDescent="0.3">
      <c r="A988" s="2">
        <v>10987</v>
      </c>
      <c r="B988" s="4">
        <v>46618</v>
      </c>
      <c r="C988" t="s">
        <v>1136</v>
      </c>
      <c r="D988" t="s">
        <v>18</v>
      </c>
      <c r="E988" t="s">
        <v>19</v>
      </c>
      <c r="F988" t="s">
        <v>112</v>
      </c>
      <c r="G988">
        <v>1</v>
      </c>
      <c r="H988" s="5">
        <v>4.25</v>
      </c>
      <c r="I988" t="s">
        <v>32</v>
      </c>
      <c r="J988" t="s">
        <v>202</v>
      </c>
      <c r="K988" t="s">
        <v>202</v>
      </c>
      <c r="L988" t="s">
        <v>2124</v>
      </c>
      <c r="M988" s="5">
        <f t="shared" si="91"/>
        <v>4.25</v>
      </c>
      <c r="N988" t="str">
        <f t="shared" si="92"/>
        <v>August</v>
      </c>
      <c r="O988" t="str">
        <f t="shared" si="93"/>
        <v>Thursday</v>
      </c>
      <c r="P988">
        <f t="shared" si="90"/>
        <v>14</v>
      </c>
      <c r="Q988" s="2">
        <f t="shared" si="94"/>
        <v>4</v>
      </c>
      <c r="R988" s="2">
        <f t="shared" si="95"/>
        <v>8</v>
      </c>
      <c r="S988">
        <f>SUMIF(Table1[product_category],"Bakery",Table1[Total_bill])</f>
        <v>2951.25</v>
      </c>
    </row>
    <row r="989" spans="1:19" x14ac:dyDescent="0.3">
      <c r="A989" s="2">
        <v>10988</v>
      </c>
      <c r="B989" s="4">
        <v>46619</v>
      </c>
      <c r="C989" t="s">
        <v>1137</v>
      </c>
      <c r="D989" t="s">
        <v>25</v>
      </c>
      <c r="E989" t="s">
        <v>26</v>
      </c>
      <c r="F989" t="s">
        <v>115</v>
      </c>
      <c r="G989">
        <v>2</v>
      </c>
      <c r="H989" s="5">
        <v>4.5</v>
      </c>
      <c r="I989" t="s">
        <v>36</v>
      </c>
      <c r="J989" t="s">
        <v>110</v>
      </c>
      <c r="K989" t="s">
        <v>110</v>
      </c>
      <c r="L989" t="s">
        <v>2124</v>
      </c>
      <c r="M989" s="5">
        <f t="shared" si="91"/>
        <v>9</v>
      </c>
      <c r="N989" t="str">
        <f t="shared" si="92"/>
        <v>August</v>
      </c>
      <c r="O989" t="str">
        <f t="shared" si="93"/>
        <v>Friday</v>
      </c>
      <c r="P989">
        <f t="shared" si="90"/>
        <v>11</v>
      </c>
      <c r="Q989" s="2">
        <f t="shared" si="94"/>
        <v>5</v>
      </c>
      <c r="R989" s="2">
        <f t="shared" si="95"/>
        <v>8</v>
      </c>
      <c r="S989">
        <f>SUMIF(Table1[product_category],"Bakery",Table1[Total_bill])</f>
        <v>2951.25</v>
      </c>
    </row>
    <row r="990" spans="1:19" x14ac:dyDescent="0.3">
      <c r="A990" s="2">
        <v>10989</v>
      </c>
      <c r="B990" s="4">
        <v>46620</v>
      </c>
      <c r="C990" t="s">
        <v>1138</v>
      </c>
      <c r="D990" t="s">
        <v>40</v>
      </c>
      <c r="E990" t="s">
        <v>41</v>
      </c>
      <c r="F990" t="s">
        <v>117</v>
      </c>
      <c r="G990">
        <v>4</v>
      </c>
      <c r="H990" s="5">
        <v>4.5</v>
      </c>
      <c r="I990" t="s">
        <v>32</v>
      </c>
      <c r="J990" t="s">
        <v>33</v>
      </c>
      <c r="K990" t="s">
        <v>33</v>
      </c>
      <c r="L990" t="s">
        <v>2123</v>
      </c>
      <c r="M990" s="5">
        <f t="shared" si="91"/>
        <v>18</v>
      </c>
      <c r="N990" t="str">
        <f t="shared" si="92"/>
        <v>August</v>
      </c>
      <c r="O990" t="str">
        <f t="shared" si="93"/>
        <v>Saturday</v>
      </c>
      <c r="P990">
        <f t="shared" si="90"/>
        <v>8</v>
      </c>
      <c r="Q990" s="2">
        <f t="shared" si="94"/>
        <v>6</v>
      </c>
      <c r="R990" s="2">
        <f t="shared" si="95"/>
        <v>8</v>
      </c>
      <c r="S990">
        <f>SUMIF(Table1[product_category],"Bakery",Table1[Total_bill])</f>
        <v>2951.25</v>
      </c>
    </row>
    <row r="991" spans="1:19" x14ac:dyDescent="0.3">
      <c r="A991" s="2">
        <v>10990</v>
      </c>
      <c r="B991" s="4">
        <v>46621</v>
      </c>
      <c r="C991" t="s">
        <v>1139</v>
      </c>
      <c r="D991" t="s">
        <v>18</v>
      </c>
      <c r="E991" t="s">
        <v>19</v>
      </c>
      <c r="F991" t="s">
        <v>119</v>
      </c>
      <c r="G991">
        <v>3</v>
      </c>
      <c r="H991" s="5">
        <v>4.75</v>
      </c>
      <c r="I991" t="s">
        <v>32</v>
      </c>
      <c r="J991" t="s">
        <v>69</v>
      </c>
      <c r="K991" t="s">
        <v>69</v>
      </c>
      <c r="L991" t="s">
        <v>2123</v>
      </c>
      <c r="M991" s="5">
        <f t="shared" si="91"/>
        <v>14.25</v>
      </c>
      <c r="N991" t="str">
        <f t="shared" si="92"/>
        <v>August</v>
      </c>
      <c r="O991" t="str">
        <f t="shared" si="93"/>
        <v>Sunday</v>
      </c>
      <c r="P991">
        <f t="shared" si="90"/>
        <v>16</v>
      </c>
      <c r="Q991" s="2">
        <f t="shared" si="94"/>
        <v>7</v>
      </c>
      <c r="R991" s="2">
        <f t="shared" si="95"/>
        <v>8</v>
      </c>
      <c r="S991">
        <f>SUMIF(Table1[product_category],"Bakery",Table1[Total_bill])</f>
        <v>2951.25</v>
      </c>
    </row>
    <row r="992" spans="1:19" x14ac:dyDescent="0.3">
      <c r="A992" s="2">
        <v>10991</v>
      </c>
      <c r="B992" s="4">
        <v>46622</v>
      </c>
      <c r="C992" t="s">
        <v>1140</v>
      </c>
      <c r="D992" t="s">
        <v>18</v>
      </c>
      <c r="E992" t="s">
        <v>19</v>
      </c>
      <c r="F992" t="s">
        <v>121</v>
      </c>
      <c r="G992">
        <v>3</v>
      </c>
      <c r="H992" s="5">
        <v>3.75</v>
      </c>
      <c r="I992" t="s">
        <v>32</v>
      </c>
      <c r="J992" t="s">
        <v>144</v>
      </c>
      <c r="K992" t="s">
        <v>144</v>
      </c>
      <c r="L992" t="s">
        <v>2123</v>
      </c>
      <c r="M992" s="5">
        <f t="shared" si="91"/>
        <v>11.25</v>
      </c>
      <c r="N992" t="str">
        <f t="shared" si="92"/>
        <v>August</v>
      </c>
      <c r="O992" t="str">
        <f t="shared" si="93"/>
        <v>Monday</v>
      </c>
      <c r="P992">
        <f t="shared" si="90"/>
        <v>16</v>
      </c>
      <c r="Q992" s="2">
        <f t="shared" si="94"/>
        <v>1</v>
      </c>
      <c r="R992" s="2">
        <f t="shared" si="95"/>
        <v>8</v>
      </c>
      <c r="S992">
        <f>SUMIF(Table1[product_category],"Bakery",Table1[Total_bill])</f>
        <v>2951.25</v>
      </c>
    </row>
    <row r="993" spans="1:19" x14ac:dyDescent="0.3">
      <c r="A993" s="2">
        <v>10992</v>
      </c>
      <c r="B993" s="4">
        <v>46623</v>
      </c>
      <c r="C993" t="s">
        <v>1141</v>
      </c>
      <c r="D993" t="s">
        <v>18</v>
      </c>
      <c r="E993" t="s">
        <v>19</v>
      </c>
      <c r="F993" t="s">
        <v>124</v>
      </c>
      <c r="G993">
        <v>1</v>
      </c>
      <c r="H993" s="5">
        <v>3.5</v>
      </c>
      <c r="I993" t="s">
        <v>89</v>
      </c>
      <c r="J993" t="s">
        <v>261</v>
      </c>
      <c r="K993" t="s">
        <v>261</v>
      </c>
      <c r="L993" t="s">
        <v>2122</v>
      </c>
      <c r="M993" s="5">
        <f t="shared" si="91"/>
        <v>3.5</v>
      </c>
      <c r="N993" t="str">
        <f t="shared" si="92"/>
        <v>August</v>
      </c>
      <c r="O993" t="str">
        <f t="shared" si="93"/>
        <v>Tuesday</v>
      </c>
      <c r="P993">
        <f t="shared" si="90"/>
        <v>14</v>
      </c>
      <c r="Q993" s="2">
        <f t="shared" si="94"/>
        <v>2</v>
      </c>
      <c r="R993" s="2">
        <f t="shared" si="95"/>
        <v>8</v>
      </c>
      <c r="S993">
        <f>SUMIF(Table1[product_category],"Bakery",Table1[Total_bill])</f>
        <v>2951.25</v>
      </c>
    </row>
    <row r="994" spans="1:19" x14ac:dyDescent="0.3">
      <c r="A994" s="2">
        <v>10993</v>
      </c>
      <c r="B994" s="4">
        <v>46624</v>
      </c>
      <c r="C994" t="s">
        <v>1142</v>
      </c>
      <c r="D994" t="s">
        <v>40</v>
      </c>
      <c r="E994" t="s">
        <v>41</v>
      </c>
      <c r="F994" t="s">
        <v>126</v>
      </c>
      <c r="G994">
        <v>1</v>
      </c>
      <c r="H994" s="5">
        <v>11</v>
      </c>
      <c r="I994" t="s">
        <v>98</v>
      </c>
      <c r="J994" t="s">
        <v>98</v>
      </c>
      <c r="K994" t="s">
        <v>215</v>
      </c>
      <c r="L994" t="s">
        <v>2125</v>
      </c>
      <c r="M994" s="5">
        <f t="shared" si="91"/>
        <v>11</v>
      </c>
      <c r="N994" t="str">
        <f t="shared" si="92"/>
        <v>August</v>
      </c>
      <c r="O994" t="str">
        <f t="shared" si="93"/>
        <v>Wednesday</v>
      </c>
      <c r="P994">
        <f t="shared" si="90"/>
        <v>9</v>
      </c>
      <c r="Q994" s="2">
        <f t="shared" si="94"/>
        <v>3</v>
      </c>
      <c r="R994" s="2">
        <f t="shared" si="95"/>
        <v>8</v>
      </c>
      <c r="S994">
        <f>SUMIF(Table1[product_category],"Bakery",Table1[Total_bill])</f>
        <v>2951.25</v>
      </c>
    </row>
    <row r="995" spans="1:19" x14ac:dyDescent="0.3">
      <c r="A995" s="2">
        <v>10994</v>
      </c>
      <c r="B995" s="4">
        <v>46625</v>
      </c>
      <c r="C995" t="s">
        <v>1143</v>
      </c>
      <c r="D995" t="s">
        <v>18</v>
      </c>
      <c r="E995" t="s">
        <v>19</v>
      </c>
      <c r="F995" t="s">
        <v>128</v>
      </c>
      <c r="G995">
        <v>4</v>
      </c>
      <c r="H995" s="5">
        <v>2.75</v>
      </c>
      <c r="I995" t="s">
        <v>32</v>
      </c>
      <c r="J995" t="s">
        <v>43</v>
      </c>
      <c r="K995" t="s">
        <v>44</v>
      </c>
      <c r="L995" t="s">
        <v>2123</v>
      </c>
      <c r="M995" s="5">
        <f t="shared" si="91"/>
        <v>11</v>
      </c>
      <c r="N995" t="str">
        <f t="shared" si="92"/>
        <v>August</v>
      </c>
      <c r="O995" t="str">
        <f t="shared" si="93"/>
        <v>Thursday</v>
      </c>
      <c r="P995">
        <f t="shared" si="90"/>
        <v>13</v>
      </c>
      <c r="Q995" s="2">
        <f t="shared" si="94"/>
        <v>4</v>
      </c>
      <c r="R995" s="2">
        <f t="shared" si="95"/>
        <v>8</v>
      </c>
      <c r="S995">
        <f>SUMIF(Table1[product_category],"Bakery",Table1[Total_bill])</f>
        <v>2951.25</v>
      </c>
    </row>
    <row r="996" spans="1:19" x14ac:dyDescent="0.3">
      <c r="A996" s="2">
        <v>10995</v>
      </c>
      <c r="B996" s="4">
        <v>46626</v>
      </c>
      <c r="C996" t="s">
        <v>1144</v>
      </c>
      <c r="D996" t="s">
        <v>25</v>
      </c>
      <c r="E996" t="s">
        <v>26</v>
      </c>
      <c r="F996" t="s">
        <v>131</v>
      </c>
      <c r="G996">
        <v>2</v>
      </c>
      <c r="H996" s="5">
        <v>3.25</v>
      </c>
      <c r="I996" t="s">
        <v>21</v>
      </c>
      <c r="J996" t="s">
        <v>81</v>
      </c>
      <c r="K996" t="s">
        <v>82</v>
      </c>
      <c r="L996" t="s">
        <v>2125</v>
      </c>
      <c r="M996" s="5">
        <f t="shared" si="91"/>
        <v>6.5</v>
      </c>
      <c r="N996" t="str">
        <f t="shared" si="92"/>
        <v>August</v>
      </c>
      <c r="O996" t="str">
        <f t="shared" si="93"/>
        <v>Friday</v>
      </c>
      <c r="P996">
        <f t="shared" si="90"/>
        <v>10</v>
      </c>
      <c r="Q996" s="2">
        <f t="shared" si="94"/>
        <v>5</v>
      </c>
      <c r="R996" s="2">
        <f t="shared" si="95"/>
        <v>8</v>
      </c>
      <c r="S996">
        <f>SUMIF(Table1[product_category],"Bakery",Table1[Total_bill])</f>
        <v>2951.25</v>
      </c>
    </row>
    <row r="997" spans="1:19" x14ac:dyDescent="0.3">
      <c r="A997" s="2">
        <v>10996</v>
      </c>
      <c r="B997" s="4">
        <v>46627</v>
      </c>
      <c r="C997" t="s">
        <v>1145</v>
      </c>
      <c r="D997" t="s">
        <v>25</v>
      </c>
      <c r="E997" t="s">
        <v>26</v>
      </c>
      <c r="F997" t="s">
        <v>133</v>
      </c>
      <c r="G997">
        <v>4</v>
      </c>
      <c r="H997" s="5">
        <v>4.25</v>
      </c>
      <c r="I997" t="s">
        <v>32</v>
      </c>
      <c r="J997" t="s">
        <v>202</v>
      </c>
      <c r="K997" t="s">
        <v>202</v>
      </c>
      <c r="L997" t="s">
        <v>2124</v>
      </c>
      <c r="M997" s="5">
        <f t="shared" si="91"/>
        <v>17</v>
      </c>
      <c r="N997" t="str">
        <f t="shared" si="92"/>
        <v>August</v>
      </c>
      <c r="O997" t="str">
        <f t="shared" si="93"/>
        <v>Saturday</v>
      </c>
      <c r="P997">
        <f t="shared" si="90"/>
        <v>7</v>
      </c>
      <c r="Q997" s="2">
        <f t="shared" si="94"/>
        <v>6</v>
      </c>
      <c r="R997" s="2">
        <f t="shared" si="95"/>
        <v>8</v>
      </c>
      <c r="S997">
        <f>SUMIF(Table1[product_category],"Bakery",Table1[Total_bill])</f>
        <v>2951.25</v>
      </c>
    </row>
    <row r="998" spans="1:19" x14ac:dyDescent="0.3">
      <c r="A998" s="2">
        <v>10997</v>
      </c>
      <c r="B998" s="4">
        <v>46628</v>
      </c>
      <c r="C998" t="s">
        <v>1146</v>
      </c>
      <c r="D998" t="s">
        <v>18</v>
      </c>
      <c r="E998" t="s">
        <v>19</v>
      </c>
      <c r="F998" t="s">
        <v>135</v>
      </c>
      <c r="G998">
        <v>1</v>
      </c>
      <c r="H998" s="5">
        <v>14</v>
      </c>
      <c r="I998" t="s">
        <v>101</v>
      </c>
      <c r="J998" t="s">
        <v>102</v>
      </c>
      <c r="K998" t="s">
        <v>193</v>
      </c>
      <c r="L998" t="s">
        <v>2125</v>
      </c>
      <c r="M998" s="5">
        <f t="shared" si="91"/>
        <v>14</v>
      </c>
      <c r="N998" t="str">
        <f t="shared" si="92"/>
        <v>August</v>
      </c>
      <c r="O998" t="str">
        <f t="shared" si="93"/>
        <v>Sunday</v>
      </c>
      <c r="P998">
        <f t="shared" si="90"/>
        <v>18</v>
      </c>
      <c r="Q998" s="2">
        <f t="shared" si="94"/>
        <v>7</v>
      </c>
      <c r="R998" s="2">
        <f t="shared" si="95"/>
        <v>8</v>
      </c>
      <c r="S998">
        <f>SUMIF(Table1[product_category],"Bakery",Table1[Total_bill])</f>
        <v>2951.25</v>
      </c>
    </row>
    <row r="999" spans="1:19" x14ac:dyDescent="0.3">
      <c r="A999" s="2">
        <v>10998</v>
      </c>
      <c r="B999" s="4">
        <v>46629</v>
      </c>
      <c r="C999" t="s">
        <v>1147</v>
      </c>
      <c r="D999" t="s">
        <v>40</v>
      </c>
      <c r="E999" t="s">
        <v>41</v>
      </c>
      <c r="F999" t="s">
        <v>137</v>
      </c>
      <c r="G999">
        <v>3</v>
      </c>
      <c r="H999" s="5">
        <v>4.25</v>
      </c>
      <c r="I999" t="s">
        <v>32</v>
      </c>
      <c r="J999" t="s">
        <v>202</v>
      </c>
      <c r="K999" t="s">
        <v>202</v>
      </c>
      <c r="L999" t="s">
        <v>2124</v>
      </c>
      <c r="M999" s="5">
        <f t="shared" si="91"/>
        <v>12.75</v>
      </c>
      <c r="N999" t="str">
        <f t="shared" si="92"/>
        <v>August</v>
      </c>
      <c r="O999" t="str">
        <f t="shared" si="93"/>
        <v>Monday</v>
      </c>
      <c r="P999">
        <f t="shared" si="90"/>
        <v>7</v>
      </c>
      <c r="Q999" s="2">
        <f t="shared" si="94"/>
        <v>1</v>
      </c>
      <c r="R999" s="2">
        <f t="shared" si="95"/>
        <v>8</v>
      </c>
      <c r="S999">
        <f>SUMIF(Table1[product_category],"Bakery",Table1[Total_bill])</f>
        <v>2951.25</v>
      </c>
    </row>
    <row r="1000" spans="1:19" x14ac:dyDescent="0.3">
      <c r="A1000" s="2">
        <v>10999</v>
      </c>
      <c r="B1000" s="4">
        <v>46630</v>
      </c>
      <c r="C1000" t="s">
        <v>1148</v>
      </c>
      <c r="D1000" t="s">
        <v>18</v>
      </c>
      <c r="E1000" t="s">
        <v>19</v>
      </c>
      <c r="F1000" t="s">
        <v>140</v>
      </c>
      <c r="G1000">
        <v>4</v>
      </c>
      <c r="H1000" s="5">
        <v>4.5</v>
      </c>
      <c r="I1000" t="s">
        <v>32</v>
      </c>
      <c r="J1000" t="s">
        <v>94</v>
      </c>
      <c r="K1000" t="s">
        <v>95</v>
      </c>
      <c r="L1000" t="s">
        <v>2123</v>
      </c>
      <c r="M1000" s="5">
        <f t="shared" si="91"/>
        <v>18</v>
      </c>
      <c r="N1000" t="str">
        <f t="shared" si="92"/>
        <v>August</v>
      </c>
      <c r="O1000" t="str">
        <f t="shared" si="93"/>
        <v>Tuesday</v>
      </c>
      <c r="P1000">
        <f t="shared" si="90"/>
        <v>20</v>
      </c>
      <c r="Q1000" s="2">
        <f t="shared" si="94"/>
        <v>2</v>
      </c>
      <c r="R1000" s="2">
        <f t="shared" si="95"/>
        <v>8</v>
      </c>
      <c r="S1000">
        <f>SUMIF(Table1[product_category],"Bakery",Table1[Total_bill])</f>
        <v>2951.25</v>
      </c>
    </row>
    <row r="1001" spans="1:19" x14ac:dyDescent="0.3">
      <c r="A1001" s="2">
        <v>11000</v>
      </c>
      <c r="B1001" s="4">
        <v>46631</v>
      </c>
      <c r="C1001" t="s">
        <v>1149</v>
      </c>
      <c r="D1001" t="s">
        <v>18</v>
      </c>
      <c r="E1001" t="s">
        <v>19</v>
      </c>
      <c r="F1001" t="s">
        <v>143</v>
      </c>
      <c r="G1001">
        <v>2</v>
      </c>
      <c r="H1001" s="5">
        <v>13</v>
      </c>
      <c r="I1001" t="s">
        <v>98</v>
      </c>
      <c r="J1001" t="s">
        <v>98</v>
      </c>
      <c r="K1001" t="s">
        <v>95</v>
      </c>
      <c r="L1001" t="s">
        <v>2125</v>
      </c>
      <c r="M1001" s="5">
        <f t="shared" si="91"/>
        <v>26</v>
      </c>
      <c r="N1001" t="str">
        <f t="shared" si="92"/>
        <v>September</v>
      </c>
      <c r="O1001" t="str">
        <f t="shared" si="93"/>
        <v>Wednesday</v>
      </c>
      <c r="P1001">
        <f t="shared" si="90"/>
        <v>11</v>
      </c>
      <c r="Q1001" s="2">
        <f t="shared" si="94"/>
        <v>3</v>
      </c>
      <c r="R1001" s="2">
        <f t="shared" si="95"/>
        <v>9</v>
      </c>
      <c r="S1001">
        <f>SUMIF(Table1[product_category],"Bakery",Table1[Total_bill])</f>
        <v>2951.25</v>
      </c>
    </row>
    <row r="1002" spans="1:19" x14ac:dyDescent="0.3">
      <c r="A1002" s="2">
        <v>11001</v>
      </c>
      <c r="B1002" s="4">
        <v>46632</v>
      </c>
      <c r="C1002" t="s">
        <v>1150</v>
      </c>
      <c r="D1002" t="s">
        <v>25</v>
      </c>
      <c r="E1002" t="s">
        <v>26</v>
      </c>
      <c r="F1002" t="s">
        <v>146</v>
      </c>
      <c r="G1002">
        <v>4</v>
      </c>
      <c r="H1002" s="5">
        <v>6</v>
      </c>
      <c r="I1002" t="s">
        <v>72</v>
      </c>
      <c r="J1002" t="s">
        <v>72</v>
      </c>
      <c r="K1002" t="s">
        <v>138</v>
      </c>
      <c r="L1002" t="s">
        <v>2125</v>
      </c>
      <c r="M1002" s="5">
        <f t="shared" si="91"/>
        <v>24</v>
      </c>
      <c r="N1002" t="str">
        <f t="shared" si="92"/>
        <v>September</v>
      </c>
      <c r="O1002" t="str">
        <f t="shared" si="93"/>
        <v>Thursday</v>
      </c>
      <c r="P1002">
        <f t="shared" si="90"/>
        <v>8</v>
      </c>
      <c r="Q1002" s="2">
        <f t="shared" si="94"/>
        <v>4</v>
      </c>
      <c r="R1002" s="2">
        <f t="shared" si="95"/>
        <v>9</v>
      </c>
      <c r="S1002">
        <f>SUMIF(Table1[product_category],"Bakery",Table1[Total_bill])</f>
        <v>2951.25</v>
      </c>
    </row>
    <row r="1003" spans="1:19" x14ac:dyDescent="0.3">
      <c r="A1003" s="2">
        <v>11002</v>
      </c>
      <c r="B1003" s="4">
        <v>46633</v>
      </c>
      <c r="C1003" t="s">
        <v>1151</v>
      </c>
      <c r="D1003" t="s">
        <v>18</v>
      </c>
      <c r="E1003" t="s">
        <v>19</v>
      </c>
      <c r="F1003" t="s">
        <v>148</v>
      </c>
      <c r="G1003">
        <v>2</v>
      </c>
      <c r="H1003" s="5">
        <v>24</v>
      </c>
      <c r="I1003" t="s">
        <v>101</v>
      </c>
      <c r="J1003" t="s">
        <v>102</v>
      </c>
      <c r="K1003" t="s">
        <v>103</v>
      </c>
      <c r="L1003" t="s">
        <v>2125</v>
      </c>
      <c r="M1003" s="5">
        <f t="shared" si="91"/>
        <v>48</v>
      </c>
      <c r="N1003" t="str">
        <f t="shared" si="92"/>
        <v>September</v>
      </c>
      <c r="O1003" t="str">
        <f t="shared" si="93"/>
        <v>Friday</v>
      </c>
      <c r="P1003">
        <f t="shared" si="90"/>
        <v>12</v>
      </c>
      <c r="Q1003" s="2">
        <f t="shared" si="94"/>
        <v>5</v>
      </c>
      <c r="R1003" s="2">
        <f t="shared" si="95"/>
        <v>9</v>
      </c>
      <c r="S1003">
        <f>SUMIF(Table1[product_category],"Bakery",Table1[Total_bill])</f>
        <v>2951.25</v>
      </c>
    </row>
    <row r="1004" spans="1:19" x14ac:dyDescent="0.3">
      <c r="A1004" s="2">
        <v>11003</v>
      </c>
      <c r="B1004" s="4">
        <v>46634</v>
      </c>
      <c r="C1004" t="s">
        <v>1152</v>
      </c>
      <c r="D1004" t="s">
        <v>40</v>
      </c>
      <c r="E1004" t="s">
        <v>41</v>
      </c>
      <c r="F1004" t="s">
        <v>150</v>
      </c>
      <c r="G1004">
        <v>1</v>
      </c>
      <c r="H1004" s="5">
        <v>3.25</v>
      </c>
      <c r="I1004" t="s">
        <v>21</v>
      </c>
      <c r="J1004" t="s">
        <v>81</v>
      </c>
      <c r="K1004" t="s">
        <v>82</v>
      </c>
      <c r="L1004" t="s">
        <v>2125</v>
      </c>
      <c r="M1004" s="5">
        <f t="shared" si="91"/>
        <v>3.25</v>
      </c>
      <c r="N1004" t="str">
        <f t="shared" si="92"/>
        <v>September</v>
      </c>
      <c r="O1004" t="str">
        <f t="shared" si="93"/>
        <v>Saturday</v>
      </c>
      <c r="P1004">
        <f t="shared" si="90"/>
        <v>17</v>
      </c>
      <c r="Q1004" s="2">
        <f t="shared" si="94"/>
        <v>6</v>
      </c>
      <c r="R1004" s="2">
        <f t="shared" si="95"/>
        <v>9</v>
      </c>
      <c r="S1004">
        <f>SUMIF(Table1[product_category],"Bakery",Table1[Total_bill])</f>
        <v>2951.25</v>
      </c>
    </row>
    <row r="1005" spans="1:19" x14ac:dyDescent="0.3">
      <c r="A1005" s="2">
        <v>11004</v>
      </c>
      <c r="B1005" s="4">
        <v>46635</v>
      </c>
      <c r="C1005" t="s">
        <v>1153</v>
      </c>
      <c r="D1005" t="s">
        <v>40</v>
      </c>
      <c r="E1005" t="s">
        <v>41</v>
      </c>
      <c r="F1005" t="s">
        <v>152</v>
      </c>
      <c r="G1005">
        <v>3</v>
      </c>
      <c r="H1005" s="5">
        <v>2.25</v>
      </c>
      <c r="I1005" t="s">
        <v>21</v>
      </c>
      <c r="J1005" t="s">
        <v>58</v>
      </c>
      <c r="K1005" t="s">
        <v>59</v>
      </c>
      <c r="L1005" t="s">
        <v>2125</v>
      </c>
      <c r="M1005" s="5">
        <f t="shared" si="91"/>
        <v>6.75</v>
      </c>
      <c r="N1005" t="str">
        <f t="shared" si="92"/>
        <v>September</v>
      </c>
      <c r="O1005" t="str">
        <f t="shared" si="93"/>
        <v>Sunday</v>
      </c>
      <c r="P1005">
        <f t="shared" si="90"/>
        <v>15</v>
      </c>
      <c r="Q1005" s="2">
        <f t="shared" si="94"/>
        <v>7</v>
      </c>
      <c r="R1005" s="2">
        <f t="shared" si="95"/>
        <v>9</v>
      </c>
      <c r="S1005">
        <f>SUMIF(Table1[product_category],"Bakery",Table1[Total_bill])</f>
        <v>2951.25</v>
      </c>
    </row>
    <row r="1006" spans="1:19" x14ac:dyDescent="0.3">
      <c r="A1006" s="2">
        <v>11005</v>
      </c>
      <c r="B1006" s="4">
        <v>46636</v>
      </c>
      <c r="C1006" t="s">
        <v>1154</v>
      </c>
      <c r="D1006" t="s">
        <v>18</v>
      </c>
      <c r="E1006" t="s">
        <v>19</v>
      </c>
      <c r="F1006" t="s">
        <v>154</v>
      </c>
      <c r="G1006">
        <v>2</v>
      </c>
      <c r="H1006" s="5">
        <v>3</v>
      </c>
      <c r="I1006" t="s">
        <v>32</v>
      </c>
      <c r="J1006" t="s">
        <v>226</v>
      </c>
      <c r="K1006" t="s">
        <v>227</v>
      </c>
      <c r="L1006" t="s">
        <v>2124</v>
      </c>
      <c r="M1006" s="5">
        <f t="shared" si="91"/>
        <v>6</v>
      </c>
      <c r="N1006" t="str">
        <f t="shared" si="92"/>
        <v>September</v>
      </c>
      <c r="O1006" t="str">
        <f t="shared" si="93"/>
        <v>Monday</v>
      </c>
      <c r="P1006">
        <f t="shared" si="90"/>
        <v>16</v>
      </c>
      <c r="Q1006" s="2">
        <f t="shared" si="94"/>
        <v>1</v>
      </c>
      <c r="R1006" s="2">
        <f t="shared" si="95"/>
        <v>9</v>
      </c>
      <c r="S1006">
        <f>SUMIF(Table1[product_category],"Bakery",Table1[Total_bill])</f>
        <v>2951.25</v>
      </c>
    </row>
    <row r="1007" spans="1:19" x14ac:dyDescent="0.3">
      <c r="A1007" s="2">
        <v>11006</v>
      </c>
      <c r="B1007" s="4">
        <v>46637</v>
      </c>
      <c r="C1007" t="s">
        <v>1155</v>
      </c>
      <c r="D1007" t="s">
        <v>40</v>
      </c>
      <c r="E1007" t="s">
        <v>41</v>
      </c>
      <c r="F1007" t="s">
        <v>156</v>
      </c>
      <c r="G1007">
        <v>1</v>
      </c>
      <c r="H1007" s="5">
        <v>4.75</v>
      </c>
      <c r="I1007" t="s">
        <v>32</v>
      </c>
      <c r="J1007" t="s">
        <v>202</v>
      </c>
      <c r="K1007" t="s">
        <v>202</v>
      </c>
      <c r="L1007" t="s">
        <v>2123</v>
      </c>
      <c r="M1007" s="5">
        <f t="shared" si="91"/>
        <v>4.75</v>
      </c>
      <c r="N1007" t="str">
        <f t="shared" si="92"/>
        <v>September</v>
      </c>
      <c r="O1007" t="str">
        <f t="shared" si="93"/>
        <v>Tuesday</v>
      </c>
      <c r="P1007">
        <f t="shared" si="90"/>
        <v>14</v>
      </c>
      <c r="Q1007" s="2">
        <f t="shared" si="94"/>
        <v>2</v>
      </c>
      <c r="R1007" s="2">
        <f t="shared" si="95"/>
        <v>9</v>
      </c>
      <c r="S1007">
        <f>SUMIF(Table1[product_category],"Bakery",Table1[Total_bill])</f>
        <v>2951.25</v>
      </c>
    </row>
    <row r="1008" spans="1:19" x14ac:dyDescent="0.3">
      <c r="A1008" s="2">
        <v>11007</v>
      </c>
      <c r="B1008" s="4">
        <v>46638</v>
      </c>
      <c r="C1008" t="s">
        <v>1156</v>
      </c>
      <c r="D1008" t="s">
        <v>40</v>
      </c>
      <c r="E1008" t="s">
        <v>41</v>
      </c>
      <c r="F1008" t="s">
        <v>158</v>
      </c>
      <c r="G1008">
        <v>1</v>
      </c>
      <c r="H1008" s="5">
        <v>4.25</v>
      </c>
      <c r="I1008" t="s">
        <v>32</v>
      </c>
      <c r="J1008" t="s">
        <v>202</v>
      </c>
      <c r="K1008" t="s">
        <v>202</v>
      </c>
      <c r="L1008" t="s">
        <v>2124</v>
      </c>
      <c r="M1008" s="5">
        <f t="shared" si="91"/>
        <v>4.25</v>
      </c>
      <c r="N1008" t="str">
        <f t="shared" si="92"/>
        <v>September</v>
      </c>
      <c r="O1008" t="str">
        <f t="shared" si="93"/>
        <v>Wednesday</v>
      </c>
      <c r="P1008">
        <f t="shared" si="90"/>
        <v>14</v>
      </c>
      <c r="Q1008" s="2">
        <f t="shared" si="94"/>
        <v>3</v>
      </c>
      <c r="R1008" s="2">
        <f t="shared" si="95"/>
        <v>9</v>
      </c>
      <c r="S1008">
        <f>SUMIF(Table1[product_category],"Bakery",Table1[Total_bill])</f>
        <v>2951.25</v>
      </c>
    </row>
    <row r="1009" spans="1:19" x14ac:dyDescent="0.3">
      <c r="A1009" s="2">
        <v>11008</v>
      </c>
      <c r="B1009" s="4">
        <v>46639</v>
      </c>
      <c r="C1009" t="s">
        <v>1157</v>
      </c>
      <c r="D1009" t="s">
        <v>25</v>
      </c>
      <c r="E1009" t="s">
        <v>26</v>
      </c>
      <c r="F1009" t="s">
        <v>160</v>
      </c>
      <c r="G1009">
        <v>1</v>
      </c>
      <c r="H1009" s="5">
        <v>3</v>
      </c>
      <c r="I1009" t="s">
        <v>21</v>
      </c>
      <c r="J1009" t="s">
        <v>181</v>
      </c>
      <c r="K1009" t="s">
        <v>182</v>
      </c>
      <c r="L1009" t="s">
        <v>2125</v>
      </c>
      <c r="M1009" s="5">
        <f t="shared" si="91"/>
        <v>3</v>
      </c>
      <c r="N1009" t="str">
        <f t="shared" si="92"/>
        <v>September</v>
      </c>
      <c r="O1009" t="str">
        <f t="shared" si="93"/>
        <v>Thursday</v>
      </c>
      <c r="P1009">
        <f t="shared" si="90"/>
        <v>17</v>
      </c>
      <c r="Q1009" s="2">
        <f t="shared" si="94"/>
        <v>4</v>
      </c>
      <c r="R1009" s="2">
        <f t="shared" si="95"/>
        <v>9</v>
      </c>
      <c r="S1009">
        <f>SUMIF(Table1[product_category],"Bakery",Table1[Total_bill])</f>
        <v>2951.25</v>
      </c>
    </row>
    <row r="1010" spans="1:19" x14ac:dyDescent="0.3">
      <c r="A1010" s="2">
        <v>11009</v>
      </c>
      <c r="B1010" s="4">
        <v>46640</v>
      </c>
      <c r="C1010" t="s">
        <v>1158</v>
      </c>
      <c r="D1010" t="s">
        <v>25</v>
      </c>
      <c r="E1010" t="s">
        <v>26</v>
      </c>
      <c r="F1010" t="s">
        <v>162</v>
      </c>
      <c r="G1010">
        <v>4</v>
      </c>
      <c r="H1010" s="5">
        <v>3.25</v>
      </c>
      <c r="I1010" t="s">
        <v>21</v>
      </c>
      <c r="J1010" t="s">
        <v>81</v>
      </c>
      <c r="K1010" t="s">
        <v>113</v>
      </c>
      <c r="L1010" t="s">
        <v>2125</v>
      </c>
      <c r="M1010" s="5">
        <f t="shared" si="91"/>
        <v>13</v>
      </c>
      <c r="N1010" t="str">
        <f t="shared" si="92"/>
        <v>September</v>
      </c>
      <c r="O1010" t="str">
        <f t="shared" si="93"/>
        <v>Friday</v>
      </c>
      <c r="P1010">
        <f t="shared" si="90"/>
        <v>8</v>
      </c>
      <c r="Q1010" s="2">
        <f t="shared" si="94"/>
        <v>5</v>
      </c>
      <c r="R1010" s="2">
        <f t="shared" si="95"/>
        <v>9</v>
      </c>
      <c r="S1010">
        <f>SUMIF(Table1[product_category],"Bakery",Table1[Total_bill])</f>
        <v>2951.25</v>
      </c>
    </row>
    <row r="1011" spans="1:19" x14ac:dyDescent="0.3">
      <c r="A1011" s="2">
        <v>11010</v>
      </c>
      <c r="B1011" s="4">
        <v>46641</v>
      </c>
      <c r="C1011" t="s">
        <v>1159</v>
      </c>
      <c r="D1011" t="s">
        <v>25</v>
      </c>
      <c r="E1011" t="s">
        <v>26</v>
      </c>
      <c r="F1011" t="s">
        <v>164</v>
      </c>
      <c r="G1011">
        <v>2</v>
      </c>
      <c r="H1011" s="5">
        <v>9.5</v>
      </c>
      <c r="I1011" t="s">
        <v>28</v>
      </c>
      <c r="J1011" t="s">
        <v>28</v>
      </c>
      <c r="K1011" t="s">
        <v>29</v>
      </c>
      <c r="L1011" t="s">
        <v>2125</v>
      </c>
      <c r="M1011" s="5">
        <f t="shared" si="91"/>
        <v>19</v>
      </c>
      <c r="N1011" t="str">
        <f t="shared" si="92"/>
        <v>September</v>
      </c>
      <c r="O1011" t="str">
        <f t="shared" si="93"/>
        <v>Saturday</v>
      </c>
      <c r="P1011">
        <f t="shared" si="90"/>
        <v>11</v>
      </c>
      <c r="Q1011" s="2">
        <f t="shared" si="94"/>
        <v>6</v>
      </c>
      <c r="R1011" s="2">
        <f t="shared" si="95"/>
        <v>9</v>
      </c>
      <c r="S1011">
        <f>SUMIF(Table1[product_category],"Bakery",Table1[Total_bill])</f>
        <v>2951.25</v>
      </c>
    </row>
    <row r="1012" spans="1:19" x14ac:dyDescent="0.3">
      <c r="A1012" s="2">
        <v>11011</v>
      </c>
      <c r="B1012" s="4">
        <v>46642</v>
      </c>
      <c r="C1012" t="s">
        <v>1160</v>
      </c>
      <c r="D1012" t="s">
        <v>40</v>
      </c>
      <c r="E1012" t="s">
        <v>41</v>
      </c>
      <c r="F1012" t="s">
        <v>166</v>
      </c>
      <c r="G1012">
        <v>4</v>
      </c>
      <c r="H1012" s="5">
        <v>8</v>
      </c>
      <c r="I1012" t="s">
        <v>28</v>
      </c>
      <c r="J1012" t="s">
        <v>28</v>
      </c>
      <c r="K1012" t="s">
        <v>76</v>
      </c>
      <c r="L1012" t="s">
        <v>2125</v>
      </c>
      <c r="M1012" s="5">
        <f t="shared" si="91"/>
        <v>32</v>
      </c>
      <c r="N1012" t="str">
        <f t="shared" si="92"/>
        <v>September</v>
      </c>
      <c r="O1012" t="str">
        <f t="shared" si="93"/>
        <v>Sunday</v>
      </c>
      <c r="P1012">
        <f t="shared" si="90"/>
        <v>8</v>
      </c>
      <c r="Q1012" s="2">
        <f t="shared" si="94"/>
        <v>7</v>
      </c>
      <c r="R1012" s="2">
        <f t="shared" si="95"/>
        <v>9</v>
      </c>
      <c r="S1012">
        <f>SUMIF(Table1[product_category],"Bakery",Table1[Total_bill])</f>
        <v>2951.25</v>
      </c>
    </row>
    <row r="1013" spans="1:19" x14ac:dyDescent="0.3">
      <c r="A1013" s="2">
        <v>11012</v>
      </c>
      <c r="B1013" s="4">
        <v>46643</v>
      </c>
      <c r="C1013" t="s">
        <v>1161</v>
      </c>
      <c r="D1013" t="s">
        <v>18</v>
      </c>
      <c r="E1013" t="s">
        <v>19</v>
      </c>
      <c r="F1013" t="s">
        <v>168</v>
      </c>
      <c r="G1013">
        <v>1</v>
      </c>
      <c r="H1013" s="5">
        <v>3</v>
      </c>
      <c r="I1013" t="s">
        <v>32</v>
      </c>
      <c r="J1013" t="s">
        <v>226</v>
      </c>
      <c r="K1013" t="s">
        <v>227</v>
      </c>
      <c r="L1013" t="s">
        <v>2124</v>
      </c>
      <c r="M1013" s="5">
        <f t="shared" si="91"/>
        <v>3</v>
      </c>
      <c r="N1013" t="str">
        <f t="shared" si="92"/>
        <v>September</v>
      </c>
      <c r="O1013" t="str">
        <f t="shared" si="93"/>
        <v>Monday</v>
      </c>
      <c r="P1013">
        <f t="shared" si="90"/>
        <v>20</v>
      </c>
      <c r="Q1013" s="2">
        <f t="shared" si="94"/>
        <v>1</v>
      </c>
      <c r="R1013" s="2">
        <f t="shared" si="95"/>
        <v>9</v>
      </c>
      <c r="S1013">
        <f>SUMIF(Table1[product_category],"Bakery",Table1[Total_bill])</f>
        <v>2951.25</v>
      </c>
    </row>
    <row r="1014" spans="1:19" x14ac:dyDescent="0.3">
      <c r="A1014" s="2">
        <v>11013</v>
      </c>
      <c r="B1014" s="4">
        <v>46644</v>
      </c>
      <c r="C1014" t="s">
        <v>1162</v>
      </c>
      <c r="D1014" t="s">
        <v>40</v>
      </c>
      <c r="E1014" t="s">
        <v>41</v>
      </c>
      <c r="F1014" t="s">
        <v>170</v>
      </c>
      <c r="G1014">
        <v>3</v>
      </c>
      <c r="H1014" s="5">
        <v>3.5</v>
      </c>
      <c r="I1014" t="s">
        <v>36</v>
      </c>
      <c r="J1014" t="s">
        <v>37</v>
      </c>
      <c r="K1014" t="s">
        <v>38</v>
      </c>
      <c r="L1014" t="s">
        <v>2123</v>
      </c>
      <c r="M1014" s="5">
        <f t="shared" si="91"/>
        <v>10.5</v>
      </c>
      <c r="N1014" t="str">
        <f t="shared" si="92"/>
        <v>September</v>
      </c>
      <c r="O1014" t="str">
        <f t="shared" si="93"/>
        <v>Tuesday</v>
      </c>
      <c r="P1014">
        <f t="shared" si="90"/>
        <v>19</v>
      </c>
      <c r="Q1014" s="2">
        <f t="shared" si="94"/>
        <v>2</v>
      </c>
      <c r="R1014" s="2">
        <f t="shared" si="95"/>
        <v>9</v>
      </c>
      <c r="S1014">
        <f>SUMIF(Table1[product_category],"Bakery",Table1[Total_bill])</f>
        <v>2951.25</v>
      </c>
    </row>
    <row r="1015" spans="1:19" x14ac:dyDescent="0.3">
      <c r="A1015" s="2">
        <v>11014</v>
      </c>
      <c r="B1015" s="4">
        <v>46645</v>
      </c>
      <c r="C1015" t="s">
        <v>1163</v>
      </c>
      <c r="D1015" t="s">
        <v>25</v>
      </c>
      <c r="E1015" t="s">
        <v>26</v>
      </c>
      <c r="F1015" t="s">
        <v>172</v>
      </c>
      <c r="G1015">
        <v>3</v>
      </c>
      <c r="H1015" s="5">
        <v>4.25</v>
      </c>
      <c r="I1015" t="s">
        <v>32</v>
      </c>
      <c r="J1015" t="s">
        <v>69</v>
      </c>
      <c r="K1015" t="s">
        <v>69</v>
      </c>
      <c r="L1015" t="s">
        <v>2124</v>
      </c>
      <c r="M1015" s="5">
        <f t="shared" si="91"/>
        <v>12.75</v>
      </c>
      <c r="N1015" t="str">
        <f t="shared" si="92"/>
        <v>September</v>
      </c>
      <c r="O1015" t="str">
        <f t="shared" si="93"/>
        <v>Wednesday</v>
      </c>
      <c r="P1015">
        <f t="shared" si="90"/>
        <v>6</v>
      </c>
      <c r="Q1015" s="2">
        <f t="shared" si="94"/>
        <v>3</v>
      </c>
      <c r="R1015" s="2">
        <f t="shared" si="95"/>
        <v>9</v>
      </c>
      <c r="S1015">
        <f>SUMIF(Table1[product_category],"Bakery",Table1[Total_bill])</f>
        <v>2951.25</v>
      </c>
    </row>
    <row r="1016" spans="1:19" x14ac:dyDescent="0.3">
      <c r="A1016" s="2">
        <v>11015</v>
      </c>
      <c r="B1016" s="4">
        <v>46646</v>
      </c>
      <c r="C1016" t="s">
        <v>1164</v>
      </c>
      <c r="D1016" t="s">
        <v>18</v>
      </c>
      <c r="E1016" t="s">
        <v>19</v>
      </c>
      <c r="F1016" t="s">
        <v>174</v>
      </c>
      <c r="G1016">
        <v>1</v>
      </c>
      <c r="H1016" s="5">
        <v>2.25</v>
      </c>
      <c r="I1016" t="s">
        <v>21</v>
      </c>
      <c r="J1016" t="s">
        <v>58</v>
      </c>
      <c r="K1016" t="s">
        <v>59</v>
      </c>
      <c r="L1016" t="s">
        <v>2125</v>
      </c>
      <c r="M1016" s="5">
        <f t="shared" si="91"/>
        <v>2.25</v>
      </c>
      <c r="N1016" t="str">
        <f t="shared" si="92"/>
        <v>September</v>
      </c>
      <c r="O1016" t="str">
        <f t="shared" si="93"/>
        <v>Thursday</v>
      </c>
      <c r="P1016">
        <f t="shared" si="90"/>
        <v>14</v>
      </c>
      <c r="Q1016" s="2">
        <f t="shared" si="94"/>
        <v>4</v>
      </c>
      <c r="R1016" s="2">
        <f t="shared" si="95"/>
        <v>9</v>
      </c>
      <c r="S1016">
        <f>SUMIF(Table1[product_category],"Bakery",Table1[Total_bill])</f>
        <v>2951.25</v>
      </c>
    </row>
    <row r="1017" spans="1:19" x14ac:dyDescent="0.3">
      <c r="A1017" s="2">
        <v>11016</v>
      </c>
      <c r="B1017" s="4">
        <v>46647</v>
      </c>
      <c r="C1017" t="s">
        <v>1165</v>
      </c>
      <c r="D1017" t="s">
        <v>18</v>
      </c>
      <c r="E1017" t="s">
        <v>19</v>
      </c>
      <c r="F1017" t="s">
        <v>176</v>
      </c>
      <c r="G1017">
        <v>4</v>
      </c>
      <c r="H1017" s="5">
        <v>3.5</v>
      </c>
      <c r="I1017" t="s">
        <v>89</v>
      </c>
      <c r="J1017" t="s">
        <v>261</v>
      </c>
      <c r="K1017" t="s">
        <v>261</v>
      </c>
      <c r="L1017" t="s">
        <v>2122</v>
      </c>
      <c r="M1017" s="5">
        <f t="shared" si="91"/>
        <v>14</v>
      </c>
      <c r="N1017" t="str">
        <f t="shared" si="92"/>
        <v>September</v>
      </c>
      <c r="O1017" t="str">
        <f t="shared" si="93"/>
        <v>Friday</v>
      </c>
      <c r="P1017">
        <f t="shared" si="90"/>
        <v>18</v>
      </c>
      <c r="Q1017" s="2">
        <f t="shared" si="94"/>
        <v>5</v>
      </c>
      <c r="R1017" s="2">
        <f t="shared" si="95"/>
        <v>9</v>
      </c>
      <c r="S1017">
        <f>SUMIF(Table1[product_category],"Bakery",Table1[Total_bill])</f>
        <v>2951.25</v>
      </c>
    </row>
    <row r="1018" spans="1:19" x14ac:dyDescent="0.3">
      <c r="A1018" s="2">
        <v>11017</v>
      </c>
      <c r="B1018" s="4">
        <v>46648</v>
      </c>
      <c r="C1018" t="s">
        <v>1166</v>
      </c>
      <c r="D1018" t="s">
        <v>40</v>
      </c>
      <c r="E1018" t="s">
        <v>41</v>
      </c>
      <c r="F1018" t="s">
        <v>178</v>
      </c>
      <c r="G1018">
        <v>1</v>
      </c>
      <c r="H1018" s="5">
        <v>6</v>
      </c>
      <c r="I1018" t="s">
        <v>72</v>
      </c>
      <c r="J1018" t="s">
        <v>72</v>
      </c>
      <c r="K1018" t="s">
        <v>138</v>
      </c>
      <c r="L1018" t="s">
        <v>2125</v>
      </c>
      <c r="M1018" s="5">
        <f t="shared" si="91"/>
        <v>6</v>
      </c>
      <c r="N1018" t="str">
        <f t="shared" si="92"/>
        <v>September</v>
      </c>
      <c r="O1018" t="str">
        <f t="shared" si="93"/>
        <v>Saturday</v>
      </c>
      <c r="P1018">
        <f t="shared" si="90"/>
        <v>8</v>
      </c>
      <c r="Q1018" s="2">
        <f t="shared" si="94"/>
        <v>6</v>
      </c>
      <c r="R1018" s="2">
        <f t="shared" si="95"/>
        <v>9</v>
      </c>
      <c r="S1018">
        <f>SUMIF(Table1[product_category],"Bakery",Table1[Total_bill])</f>
        <v>2951.25</v>
      </c>
    </row>
    <row r="1019" spans="1:19" x14ac:dyDescent="0.3">
      <c r="A1019" s="2">
        <v>11018</v>
      </c>
      <c r="B1019" s="4">
        <v>46649</v>
      </c>
      <c r="C1019" t="s">
        <v>1167</v>
      </c>
      <c r="D1019" t="s">
        <v>40</v>
      </c>
      <c r="E1019" t="s">
        <v>41</v>
      </c>
      <c r="F1019" t="s">
        <v>180</v>
      </c>
      <c r="G1019">
        <v>1</v>
      </c>
      <c r="H1019" s="5">
        <v>8</v>
      </c>
      <c r="I1019" t="s">
        <v>28</v>
      </c>
      <c r="J1019" t="s">
        <v>28</v>
      </c>
      <c r="K1019" t="s">
        <v>76</v>
      </c>
      <c r="L1019" t="s">
        <v>2125</v>
      </c>
      <c r="M1019" s="5">
        <f t="shared" si="91"/>
        <v>8</v>
      </c>
      <c r="N1019" t="str">
        <f t="shared" si="92"/>
        <v>September</v>
      </c>
      <c r="O1019" t="str">
        <f t="shared" si="93"/>
        <v>Sunday</v>
      </c>
      <c r="P1019">
        <f t="shared" si="90"/>
        <v>12</v>
      </c>
      <c r="Q1019" s="2">
        <f t="shared" si="94"/>
        <v>7</v>
      </c>
      <c r="R1019" s="2">
        <f t="shared" si="95"/>
        <v>9</v>
      </c>
      <c r="S1019">
        <f>SUMIF(Table1[product_category],"Bakery",Table1[Total_bill])</f>
        <v>2951.25</v>
      </c>
    </row>
    <row r="1020" spans="1:19" x14ac:dyDescent="0.3">
      <c r="A1020" s="2">
        <v>11019</v>
      </c>
      <c r="B1020" s="4">
        <v>46650</v>
      </c>
      <c r="C1020" t="s">
        <v>1168</v>
      </c>
      <c r="D1020" t="s">
        <v>18</v>
      </c>
      <c r="E1020" t="s">
        <v>19</v>
      </c>
      <c r="F1020" t="s">
        <v>184</v>
      </c>
      <c r="G1020">
        <v>3</v>
      </c>
      <c r="H1020" s="5">
        <v>3.25</v>
      </c>
      <c r="I1020" t="s">
        <v>21</v>
      </c>
      <c r="J1020" t="s">
        <v>81</v>
      </c>
      <c r="K1020" t="s">
        <v>113</v>
      </c>
      <c r="L1020" t="s">
        <v>2125</v>
      </c>
      <c r="M1020" s="5">
        <f t="shared" si="91"/>
        <v>9.75</v>
      </c>
      <c r="N1020" t="str">
        <f t="shared" si="92"/>
        <v>September</v>
      </c>
      <c r="O1020" t="str">
        <f t="shared" si="93"/>
        <v>Monday</v>
      </c>
      <c r="P1020">
        <f t="shared" si="90"/>
        <v>18</v>
      </c>
      <c r="Q1020" s="2">
        <f t="shared" si="94"/>
        <v>1</v>
      </c>
      <c r="R1020" s="2">
        <f t="shared" si="95"/>
        <v>9</v>
      </c>
      <c r="S1020">
        <f>SUMIF(Table1[product_category],"Bakery",Table1[Total_bill])</f>
        <v>2951.25</v>
      </c>
    </row>
    <row r="1021" spans="1:19" x14ac:dyDescent="0.3">
      <c r="A1021" s="2">
        <v>11020</v>
      </c>
      <c r="B1021" s="4">
        <v>46651</v>
      </c>
      <c r="C1021" t="s">
        <v>1169</v>
      </c>
      <c r="D1021" t="s">
        <v>25</v>
      </c>
      <c r="E1021" t="s">
        <v>26</v>
      </c>
      <c r="F1021" t="s">
        <v>186</v>
      </c>
      <c r="G1021">
        <v>3</v>
      </c>
      <c r="H1021" s="5">
        <v>3</v>
      </c>
      <c r="I1021" t="s">
        <v>32</v>
      </c>
      <c r="J1021" t="s">
        <v>226</v>
      </c>
      <c r="K1021" t="s">
        <v>227</v>
      </c>
      <c r="L1021" t="s">
        <v>2124</v>
      </c>
      <c r="M1021" s="5">
        <f t="shared" si="91"/>
        <v>9</v>
      </c>
      <c r="N1021" t="str">
        <f t="shared" si="92"/>
        <v>September</v>
      </c>
      <c r="O1021" t="str">
        <f t="shared" si="93"/>
        <v>Tuesday</v>
      </c>
      <c r="P1021">
        <f t="shared" si="90"/>
        <v>6</v>
      </c>
      <c r="Q1021" s="2">
        <f t="shared" si="94"/>
        <v>2</v>
      </c>
      <c r="R1021" s="2">
        <f t="shared" si="95"/>
        <v>9</v>
      </c>
      <c r="S1021">
        <f>SUMIF(Table1[product_category],"Bakery",Table1[Total_bill])</f>
        <v>2951.25</v>
      </c>
    </row>
    <row r="1022" spans="1:19" x14ac:dyDescent="0.3">
      <c r="A1022" s="2">
        <v>11021</v>
      </c>
      <c r="B1022" s="4">
        <v>46652</v>
      </c>
      <c r="C1022" t="s">
        <v>1170</v>
      </c>
      <c r="D1022" t="s">
        <v>25</v>
      </c>
      <c r="E1022" t="s">
        <v>26</v>
      </c>
      <c r="F1022" t="s">
        <v>188</v>
      </c>
      <c r="G1022">
        <v>3</v>
      </c>
      <c r="H1022" s="5">
        <v>14</v>
      </c>
      <c r="I1022" t="s">
        <v>101</v>
      </c>
      <c r="J1022" t="s">
        <v>102</v>
      </c>
      <c r="K1022" t="s">
        <v>193</v>
      </c>
      <c r="L1022" t="s">
        <v>2125</v>
      </c>
      <c r="M1022" s="5">
        <f t="shared" si="91"/>
        <v>42</v>
      </c>
      <c r="N1022" t="str">
        <f t="shared" si="92"/>
        <v>September</v>
      </c>
      <c r="O1022" t="str">
        <f t="shared" si="93"/>
        <v>Wednesday</v>
      </c>
      <c r="P1022">
        <f t="shared" si="90"/>
        <v>14</v>
      </c>
      <c r="Q1022" s="2">
        <f t="shared" si="94"/>
        <v>3</v>
      </c>
      <c r="R1022" s="2">
        <f t="shared" si="95"/>
        <v>9</v>
      </c>
      <c r="S1022">
        <f>SUMIF(Table1[product_category],"Bakery",Table1[Total_bill])</f>
        <v>2951.25</v>
      </c>
    </row>
    <row r="1023" spans="1:19" x14ac:dyDescent="0.3">
      <c r="A1023" s="2">
        <v>11022</v>
      </c>
      <c r="B1023" s="4">
        <v>46653</v>
      </c>
      <c r="C1023" t="s">
        <v>1171</v>
      </c>
      <c r="D1023" t="s">
        <v>40</v>
      </c>
      <c r="E1023" t="s">
        <v>41</v>
      </c>
      <c r="F1023" t="s">
        <v>190</v>
      </c>
      <c r="G1023">
        <v>3</v>
      </c>
      <c r="H1023" s="5">
        <v>3.5</v>
      </c>
      <c r="I1023" t="s">
        <v>32</v>
      </c>
      <c r="J1023" t="s">
        <v>226</v>
      </c>
      <c r="K1023" t="s">
        <v>227</v>
      </c>
      <c r="L1023" t="s">
        <v>2123</v>
      </c>
      <c r="M1023" s="5">
        <f t="shared" si="91"/>
        <v>10.5</v>
      </c>
      <c r="N1023" t="str">
        <f t="shared" si="92"/>
        <v>September</v>
      </c>
      <c r="O1023" t="str">
        <f t="shared" si="93"/>
        <v>Thursday</v>
      </c>
      <c r="P1023">
        <f t="shared" si="90"/>
        <v>9</v>
      </c>
      <c r="Q1023" s="2">
        <f t="shared" si="94"/>
        <v>4</v>
      </c>
      <c r="R1023" s="2">
        <f t="shared" si="95"/>
        <v>9</v>
      </c>
      <c r="S1023">
        <f>SUMIF(Table1[product_category],"Bakery",Table1[Total_bill])</f>
        <v>2951.25</v>
      </c>
    </row>
    <row r="1024" spans="1:19" x14ac:dyDescent="0.3">
      <c r="A1024" s="2">
        <v>11023</v>
      </c>
      <c r="B1024" s="4">
        <v>46654</v>
      </c>
      <c r="C1024" t="s">
        <v>1172</v>
      </c>
      <c r="D1024" t="s">
        <v>40</v>
      </c>
      <c r="E1024" t="s">
        <v>41</v>
      </c>
      <c r="F1024" t="s">
        <v>192</v>
      </c>
      <c r="G1024">
        <v>4</v>
      </c>
      <c r="H1024" s="5">
        <v>4</v>
      </c>
      <c r="I1024" t="s">
        <v>32</v>
      </c>
      <c r="J1024" t="s">
        <v>122</v>
      </c>
      <c r="K1024" t="s">
        <v>122</v>
      </c>
      <c r="L1024" t="s">
        <v>2124</v>
      </c>
      <c r="M1024" s="5">
        <f t="shared" si="91"/>
        <v>16</v>
      </c>
      <c r="N1024" t="str">
        <f t="shared" si="92"/>
        <v>September</v>
      </c>
      <c r="O1024" t="str">
        <f t="shared" si="93"/>
        <v>Friday</v>
      </c>
      <c r="P1024">
        <f t="shared" si="90"/>
        <v>18</v>
      </c>
      <c r="Q1024" s="2">
        <f t="shared" si="94"/>
        <v>5</v>
      </c>
      <c r="R1024" s="2">
        <f t="shared" si="95"/>
        <v>9</v>
      </c>
      <c r="S1024">
        <f>SUMIF(Table1[product_category],"Bakery",Table1[Total_bill])</f>
        <v>2951.25</v>
      </c>
    </row>
    <row r="1025" spans="1:19" x14ac:dyDescent="0.3">
      <c r="A1025" s="2">
        <v>11024</v>
      </c>
      <c r="B1025" s="4">
        <v>46655</v>
      </c>
      <c r="C1025" t="s">
        <v>1173</v>
      </c>
      <c r="D1025" t="s">
        <v>18</v>
      </c>
      <c r="E1025" t="s">
        <v>19</v>
      </c>
      <c r="F1025" t="s">
        <v>195</v>
      </c>
      <c r="G1025">
        <v>2</v>
      </c>
      <c r="H1025" s="5">
        <v>3</v>
      </c>
      <c r="I1025" t="s">
        <v>36</v>
      </c>
      <c r="J1025" t="s">
        <v>37</v>
      </c>
      <c r="K1025" t="s">
        <v>62</v>
      </c>
      <c r="L1025" t="s">
        <v>2124</v>
      </c>
      <c r="M1025" s="5">
        <f t="shared" si="91"/>
        <v>6</v>
      </c>
      <c r="N1025" t="str">
        <f t="shared" si="92"/>
        <v>September</v>
      </c>
      <c r="O1025" t="str">
        <f t="shared" si="93"/>
        <v>Saturday</v>
      </c>
      <c r="P1025">
        <f t="shared" si="90"/>
        <v>20</v>
      </c>
      <c r="Q1025" s="2">
        <f t="shared" si="94"/>
        <v>6</v>
      </c>
      <c r="R1025" s="2">
        <f t="shared" si="95"/>
        <v>9</v>
      </c>
      <c r="S1025">
        <f>SUMIF(Table1[product_category],"Bakery",Table1[Total_bill])</f>
        <v>2951.25</v>
      </c>
    </row>
    <row r="1026" spans="1:19" x14ac:dyDescent="0.3">
      <c r="A1026" s="2">
        <v>11025</v>
      </c>
      <c r="B1026" s="4">
        <v>46656</v>
      </c>
      <c r="C1026" t="s">
        <v>1174</v>
      </c>
      <c r="D1026" t="s">
        <v>40</v>
      </c>
      <c r="E1026" t="s">
        <v>41</v>
      </c>
      <c r="F1026" t="s">
        <v>197</v>
      </c>
      <c r="G1026">
        <v>4</v>
      </c>
      <c r="H1026" s="5">
        <v>2.5</v>
      </c>
      <c r="I1026" t="s">
        <v>21</v>
      </c>
      <c r="J1026" t="s">
        <v>47</v>
      </c>
      <c r="K1026" t="s">
        <v>48</v>
      </c>
      <c r="L1026" t="s">
        <v>2125</v>
      </c>
      <c r="M1026" s="5">
        <f t="shared" si="91"/>
        <v>10</v>
      </c>
      <c r="N1026" t="str">
        <f t="shared" si="92"/>
        <v>September</v>
      </c>
      <c r="O1026" t="str">
        <f t="shared" si="93"/>
        <v>Sunday</v>
      </c>
      <c r="P1026">
        <f t="shared" ref="P1026:P1089" si="96">HOUR(TIMEVALUE(C1026))</f>
        <v>19</v>
      </c>
      <c r="Q1026" s="2">
        <f t="shared" si="94"/>
        <v>7</v>
      </c>
      <c r="R1026" s="2">
        <f t="shared" si="95"/>
        <v>9</v>
      </c>
      <c r="S1026">
        <f>SUMIF(Table1[product_category],"Bakery",Table1[Total_bill])</f>
        <v>2951.25</v>
      </c>
    </row>
    <row r="1027" spans="1:19" x14ac:dyDescent="0.3">
      <c r="A1027" s="2">
        <v>11026</v>
      </c>
      <c r="B1027" s="4">
        <v>46657</v>
      </c>
      <c r="C1027" t="s">
        <v>1175</v>
      </c>
      <c r="D1027" t="s">
        <v>18</v>
      </c>
      <c r="E1027" t="s">
        <v>19</v>
      </c>
      <c r="F1027" t="s">
        <v>199</v>
      </c>
      <c r="G1027">
        <v>2</v>
      </c>
      <c r="H1027" s="5">
        <v>4</v>
      </c>
      <c r="I1027" t="s">
        <v>32</v>
      </c>
      <c r="J1027" t="s">
        <v>122</v>
      </c>
      <c r="K1027" t="s">
        <v>122</v>
      </c>
      <c r="L1027" t="s">
        <v>2124</v>
      </c>
      <c r="M1027" s="5">
        <f t="shared" ref="M1027:M1090" si="97">G1027*H1027</f>
        <v>8</v>
      </c>
      <c r="N1027" t="str">
        <f t="shared" ref="N1027:N1090" si="98">TEXT(B1027,"mmmm")</f>
        <v>September</v>
      </c>
      <c r="O1027" t="str">
        <f t="shared" ref="O1027:O1090" si="99">TEXT(B1027,"dddd")</f>
        <v>Monday</v>
      </c>
      <c r="P1027">
        <f t="shared" si="96"/>
        <v>11</v>
      </c>
      <c r="Q1027" s="2">
        <f t="shared" ref="Q1027:Q1090" si="100">WEEKDAY(B1027,2)</f>
        <v>1</v>
      </c>
      <c r="R1027" s="2">
        <f t="shared" ref="R1027:R1090" si="101">MONTH(B1027)</f>
        <v>9</v>
      </c>
      <c r="S1027">
        <f>SUMIF(Table1[product_category],"Bakery",Table1[Total_bill])</f>
        <v>2951.25</v>
      </c>
    </row>
    <row r="1028" spans="1:19" x14ac:dyDescent="0.3">
      <c r="A1028" s="2">
        <v>11027</v>
      </c>
      <c r="B1028" s="4">
        <v>46658</v>
      </c>
      <c r="C1028" t="s">
        <v>1176</v>
      </c>
      <c r="D1028" t="s">
        <v>18</v>
      </c>
      <c r="E1028" t="s">
        <v>19</v>
      </c>
      <c r="F1028" t="s">
        <v>201</v>
      </c>
      <c r="G1028">
        <v>2</v>
      </c>
      <c r="H1028" s="5">
        <v>4.75</v>
      </c>
      <c r="I1028" t="s">
        <v>32</v>
      </c>
      <c r="J1028" t="s">
        <v>122</v>
      </c>
      <c r="K1028" t="s">
        <v>122</v>
      </c>
      <c r="L1028" t="s">
        <v>2123</v>
      </c>
      <c r="M1028" s="5">
        <f t="shared" si="97"/>
        <v>9.5</v>
      </c>
      <c r="N1028" t="str">
        <f t="shared" si="98"/>
        <v>September</v>
      </c>
      <c r="O1028" t="str">
        <f t="shared" si="99"/>
        <v>Tuesday</v>
      </c>
      <c r="P1028">
        <f t="shared" si="96"/>
        <v>17</v>
      </c>
      <c r="Q1028" s="2">
        <f t="shared" si="100"/>
        <v>2</v>
      </c>
      <c r="R1028" s="2">
        <f t="shared" si="101"/>
        <v>9</v>
      </c>
      <c r="S1028">
        <f>SUMIF(Table1[product_category],"Bakery",Table1[Total_bill])</f>
        <v>2951.25</v>
      </c>
    </row>
    <row r="1029" spans="1:19" x14ac:dyDescent="0.3">
      <c r="A1029" s="2">
        <v>11028</v>
      </c>
      <c r="B1029" s="4">
        <v>46659</v>
      </c>
      <c r="C1029" t="s">
        <v>1177</v>
      </c>
      <c r="D1029" t="s">
        <v>25</v>
      </c>
      <c r="E1029" t="s">
        <v>26</v>
      </c>
      <c r="F1029" t="s">
        <v>204</v>
      </c>
      <c r="G1029">
        <v>1</v>
      </c>
      <c r="H1029" s="5">
        <v>3.25</v>
      </c>
      <c r="I1029" t="s">
        <v>21</v>
      </c>
      <c r="J1029" t="s">
        <v>81</v>
      </c>
      <c r="K1029" t="s">
        <v>82</v>
      </c>
      <c r="L1029" t="s">
        <v>2125</v>
      </c>
      <c r="M1029" s="5">
        <f t="shared" si="97"/>
        <v>3.25</v>
      </c>
      <c r="N1029" t="str">
        <f t="shared" si="98"/>
        <v>September</v>
      </c>
      <c r="O1029" t="str">
        <f t="shared" si="99"/>
        <v>Wednesday</v>
      </c>
      <c r="P1029">
        <f t="shared" si="96"/>
        <v>17</v>
      </c>
      <c r="Q1029" s="2">
        <f t="shared" si="100"/>
        <v>3</v>
      </c>
      <c r="R1029" s="2">
        <f t="shared" si="101"/>
        <v>9</v>
      </c>
      <c r="S1029">
        <f>SUMIF(Table1[product_category],"Bakery",Table1[Total_bill])</f>
        <v>2951.25</v>
      </c>
    </row>
    <row r="1030" spans="1:19" x14ac:dyDescent="0.3">
      <c r="A1030" s="2">
        <v>11029</v>
      </c>
      <c r="B1030" s="4">
        <v>46660</v>
      </c>
      <c r="C1030" t="s">
        <v>1178</v>
      </c>
      <c r="D1030" t="s">
        <v>25</v>
      </c>
      <c r="E1030" t="s">
        <v>26</v>
      </c>
      <c r="F1030" t="s">
        <v>206</v>
      </c>
      <c r="G1030">
        <v>2</v>
      </c>
      <c r="H1030" s="5">
        <v>3.75</v>
      </c>
      <c r="I1030" t="s">
        <v>36</v>
      </c>
      <c r="J1030" t="s">
        <v>211</v>
      </c>
      <c r="K1030" t="s">
        <v>239</v>
      </c>
      <c r="L1030" t="s">
        <v>2124</v>
      </c>
      <c r="M1030" s="5">
        <f t="shared" si="97"/>
        <v>7.5</v>
      </c>
      <c r="N1030" t="str">
        <f t="shared" si="98"/>
        <v>September</v>
      </c>
      <c r="O1030" t="str">
        <f t="shared" si="99"/>
        <v>Thursday</v>
      </c>
      <c r="P1030">
        <f t="shared" si="96"/>
        <v>9</v>
      </c>
      <c r="Q1030" s="2">
        <f t="shared" si="100"/>
        <v>4</v>
      </c>
      <c r="R1030" s="2">
        <f t="shared" si="101"/>
        <v>9</v>
      </c>
      <c r="S1030">
        <f>SUMIF(Table1[product_category],"Bakery",Table1[Total_bill])</f>
        <v>2951.25</v>
      </c>
    </row>
    <row r="1031" spans="1:19" x14ac:dyDescent="0.3">
      <c r="A1031" s="2">
        <v>11030</v>
      </c>
      <c r="B1031" s="4">
        <v>46661</v>
      </c>
      <c r="C1031" t="s">
        <v>1179</v>
      </c>
      <c r="D1031" t="s">
        <v>40</v>
      </c>
      <c r="E1031" t="s">
        <v>41</v>
      </c>
      <c r="F1031" t="s">
        <v>208</v>
      </c>
      <c r="G1031">
        <v>3</v>
      </c>
      <c r="H1031" s="5">
        <v>11</v>
      </c>
      <c r="I1031" t="s">
        <v>98</v>
      </c>
      <c r="J1031" t="s">
        <v>98</v>
      </c>
      <c r="K1031" t="s">
        <v>215</v>
      </c>
      <c r="L1031" t="s">
        <v>2125</v>
      </c>
      <c r="M1031" s="5">
        <f t="shared" si="97"/>
        <v>33</v>
      </c>
      <c r="N1031" t="str">
        <f t="shared" si="98"/>
        <v>October</v>
      </c>
      <c r="O1031" t="str">
        <f t="shared" si="99"/>
        <v>Friday</v>
      </c>
      <c r="P1031">
        <f t="shared" si="96"/>
        <v>16</v>
      </c>
      <c r="Q1031" s="2">
        <f t="shared" si="100"/>
        <v>5</v>
      </c>
      <c r="R1031" s="2">
        <f t="shared" si="101"/>
        <v>10</v>
      </c>
      <c r="S1031">
        <f>SUMIF(Table1[product_category],"Bakery",Table1[Total_bill])</f>
        <v>2951.25</v>
      </c>
    </row>
    <row r="1032" spans="1:19" x14ac:dyDescent="0.3">
      <c r="A1032" s="2">
        <v>11031</v>
      </c>
      <c r="B1032" s="4">
        <v>46662</v>
      </c>
      <c r="C1032" t="s">
        <v>1180</v>
      </c>
      <c r="D1032" t="s">
        <v>18</v>
      </c>
      <c r="E1032" t="s">
        <v>19</v>
      </c>
      <c r="F1032" t="s">
        <v>210</v>
      </c>
      <c r="G1032">
        <v>2</v>
      </c>
      <c r="H1032" s="5">
        <v>2.75</v>
      </c>
      <c r="I1032" t="s">
        <v>21</v>
      </c>
      <c r="J1032" t="s">
        <v>22</v>
      </c>
      <c r="K1032" t="s">
        <v>23</v>
      </c>
      <c r="L1032" t="s">
        <v>2125</v>
      </c>
      <c r="M1032" s="5">
        <f t="shared" si="97"/>
        <v>5.5</v>
      </c>
      <c r="N1032" t="str">
        <f t="shared" si="98"/>
        <v>October</v>
      </c>
      <c r="O1032" t="str">
        <f t="shared" si="99"/>
        <v>Saturday</v>
      </c>
      <c r="P1032">
        <f t="shared" si="96"/>
        <v>6</v>
      </c>
      <c r="Q1032" s="2">
        <f t="shared" si="100"/>
        <v>6</v>
      </c>
      <c r="R1032" s="2">
        <f t="shared" si="101"/>
        <v>10</v>
      </c>
      <c r="S1032">
        <f>SUMIF(Table1[product_category],"Bakery",Table1[Total_bill])</f>
        <v>2951.25</v>
      </c>
    </row>
    <row r="1033" spans="1:19" x14ac:dyDescent="0.3">
      <c r="A1033" s="2">
        <v>11032</v>
      </c>
      <c r="B1033" s="4">
        <v>46663</v>
      </c>
      <c r="C1033" t="s">
        <v>1181</v>
      </c>
      <c r="D1033" t="s">
        <v>25</v>
      </c>
      <c r="E1033" t="s">
        <v>26</v>
      </c>
      <c r="F1033" t="s">
        <v>214</v>
      </c>
      <c r="G1033">
        <v>3</v>
      </c>
      <c r="H1033" s="5">
        <v>3.5</v>
      </c>
      <c r="I1033" t="s">
        <v>32</v>
      </c>
      <c r="J1033" t="s">
        <v>226</v>
      </c>
      <c r="K1033" t="s">
        <v>227</v>
      </c>
      <c r="L1033" t="s">
        <v>2123</v>
      </c>
      <c r="M1033" s="5">
        <f t="shared" si="97"/>
        <v>10.5</v>
      </c>
      <c r="N1033" t="str">
        <f t="shared" si="98"/>
        <v>October</v>
      </c>
      <c r="O1033" t="str">
        <f t="shared" si="99"/>
        <v>Sunday</v>
      </c>
      <c r="P1033">
        <f t="shared" si="96"/>
        <v>13</v>
      </c>
      <c r="Q1033" s="2">
        <f t="shared" si="100"/>
        <v>7</v>
      </c>
      <c r="R1033" s="2">
        <f t="shared" si="101"/>
        <v>10</v>
      </c>
      <c r="S1033">
        <f>SUMIF(Table1[product_category],"Bakery",Table1[Total_bill])</f>
        <v>2951.25</v>
      </c>
    </row>
    <row r="1034" spans="1:19" x14ac:dyDescent="0.3">
      <c r="A1034" s="2">
        <v>11033</v>
      </c>
      <c r="B1034" s="4">
        <v>46664</v>
      </c>
      <c r="C1034" t="s">
        <v>1182</v>
      </c>
      <c r="D1034" t="s">
        <v>25</v>
      </c>
      <c r="E1034" t="s">
        <v>26</v>
      </c>
      <c r="F1034" t="s">
        <v>217</v>
      </c>
      <c r="G1034">
        <v>1</v>
      </c>
      <c r="H1034" s="5">
        <v>2.5</v>
      </c>
      <c r="I1034" t="s">
        <v>36</v>
      </c>
      <c r="J1034" t="s">
        <v>37</v>
      </c>
      <c r="K1034" t="s">
        <v>62</v>
      </c>
      <c r="L1034" t="s">
        <v>2122</v>
      </c>
      <c r="M1034" s="5">
        <f t="shared" si="97"/>
        <v>2.5</v>
      </c>
      <c r="N1034" t="str">
        <f t="shared" si="98"/>
        <v>October</v>
      </c>
      <c r="O1034" t="str">
        <f t="shared" si="99"/>
        <v>Monday</v>
      </c>
      <c r="P1034">
        <f t="shared" si="96"/>
        <v>8</v>
      </c>
      <c r="Q1034" s="2">
        <f t="shared" si="100"/>
        <v>1</v>
      </c>
      <c r="R1034" s="2">
        <f t="shared" si="101"/>
        <v>10</v>
      </c>
      <c r="S1034">
        <f>SUMIF(Table1[product_category],"Bakery",Table1[Total_bill])</f>
        <v>2951.25</v>
      </c>
    </row>
    <row r="1035" spans="1:19" x14ac:dyDescent="0.3">
      <c r="A1035" s="2">
        <v>11034</v>
      </c>
      <c r="B1035" s="4">
        <v>46665</v>
      </c>
      <c r="C1035" t="s">
        <v>1183</v>
      </c>
      <c r="D1035" t="s">
        <v>40</v>
      </c>
      <c r="E1035" t="s">
        <v>41</v>
      </c>
      <c r="F1035" t="s">
        <v>219</v>
      </c>
      <c r="G1035">
        <v>3</v>
      </c>
      <c r="H1035" s="5">
        <v>4.75</v>
      </c>
      <c r="I1035" t="s">
        <v>32</v>
      </c>
      <c r="J1035" t="s">
        <v>122</v>
      </c>
      <c r="K1035" t="s">
        <v>122</v>
      </c>
      <c r="L1035" t="s">
        <v>2123</v>
      </c>
      <c r="M1035" s="5">
        <f t="shared" si="97"/>
        <v>14.25</v>
      </c>
      <c r="N1035" t="str">
        <f t="shared" si="98"/>
        <v>October</v>
      </c>
      <c r="O1035" t="str">
        <f t="shared" si="99"/>
        <v>Tuesday</v>
      </c>
      <c r="P1035">
        <f t="shared" si="96"/>
        <v>7</v>
      </c>
      <c r="Q1035" s="2">
        <f t="shared" si="100"/>
        <v>2</v>
      </c>
      <c r="R1035" s="2">
        <f t="shared" si="101"/>
        <v>10</v>
      </c>
      <c r="S1035">
        <f>SUMIF(Table1[product_category],"Bakery",Table1[Total_bill])</f>
        <v>2951.25</v>
      </c>
    </row>
    <row r="1036" spans="1:19" x14ac:dyDescent="0.3">
      <c r="A1036" s="2">
        <v>11035</v>
      </c>
      <c r="B1036" s="4">
        <v>46666</v>
      </c>
      <c r="C1036" t="s">
        <v>1184</v>
      </c>
      <c r="D1036" t="s">
        <v>40</v>
      </c>
      <c r="E1036" t="s">
        <v>41</v>
      </c>
      <c r="F1036" t="s">
        <v>221</v>
      </c>
      <c r="G1036">
        <v>2</v>
      </c>
      <c r="H1036" s="5">
        <v>5.5</v>
      </c>
      <c r="I1036" t="s">
        <v>72</v>
      </c>
      <c r="J1036" t="s">
        <v>72</v>
      </c>
      <c r="K1036" t="s">
        <v>141</v>
      </c>
      <c r="L1036" t="s">
        <v>2125</v>
      </c>
      <c r="M1036" s="5">
        <f t="shared" si="97"/>
        <v>11</v>
      </c>
      <c r="N1036" t="str">
        <f t="shared" si="98"/>
        <v>October</v>
      </c>
      <c r="O1036" t="str">
        <f t="shared" si="99"/>
        <v>Wednesday</v>
      </c>
      <c r="P1036">
        <f t="shared" si="96"/>
        <v>7</v>
      </c>
      <c r="Q1036" s="2">
        <f t="shared" si="100"/>
        <v>3</v>
      </c>
      <c r="R1036" s="2">
        <f t="shared" si="101"/>
        <v>10</v>
      </c>
      <c r="S1036">
        <f>SUMIF(Table1[product_category],"Bakery",Table1[Total_bill])</f>
        <v>2951.25</v>
      </c>
    </row>
    <row r="1037" spans="1:19" x14ac:dyDescent="0.3">
      <c r="A1037" s="2">
        <v>11036</v>
      </c>
      <c r="B1037" s="4">
        <v>46667</v>
      </c>
      <c r="C1037" t="s">
        <v>1185</v>
      </c>
      <c r="D1037" t="s">
        <v>25</v>
      </c>
      <c r="E1037" t="s">
        <v>26</v>
      </c>
      <c r="F1037" t="s">
        <v>223</v>
      </c>
      <c r="G1037">
        <v>1</v>
      </c>
      <c r="H1037" s="5">
        <v>11</v>
      </c>
      <c r="I1037" t="s">
        <v>98</v>
      </c>
      <c r="J1037" t="s">
        <v>98</v>
      </c>
      <c r="K1037" t="s">
        <v>215</v>
      </c>
      <c r="L1037" t="s">
        <v>2125</v>
      </c>
      <c r="M1037" s="5">
        <f t="shared" si="97"/>
        <v>11</v>
      </c>
      <c r="N1037" t="str">
        <f t="shared" si="98"/>
        <v>October</v>
      </c>
      <c r="O1037" t="str">
        <f t="shared" si="99"/>
        <v>Thursday</v>
      </c>
      <c r="P1037">
        <f t="shared" si="96"/>
        <v>14</v>
      </c>
      <c r="Q1037" s="2">
        <f t="shared" si="100"/>
        <v>4</v>
      </c>
      <c r="R1037" s="2">
        <f t="shared" si="101"/>
        <v>10</v>
      </c>
      <c r="S1037">
        <f>SUMIF(Table1[product_category],"Bakery",Table1[Total_bill])</f>
        <v>2951.25</v>
      </c>
    </row>
    <row r="1038" spans="1:19" x14ac:dyDescent="0.3">
      <c r="A1038" s="2">
        <v>11037</v>
      </c>
      <c r="B1038" s="4">
        <v>46668</v>
      </c>
      <c r="C1038" t="s">
        <v>1186</v>
      </c>
      <c r="D1038" t="s">
        <v>18</v>
      </c>
      <c r="E1038" t="s">
        <v>19</v>
      </c>
      <c r="F1038" t="s">
        <v>225</v>
      </c>
      <c r="G1038">
        <v>1</v>
      </c>
      <c r="H1038" s="5">
        <v>2.5</v>
      </c>
      <c r="I1038" t="s">
        <v>36</v>
      </c>
      <c r="J1038" t="s">
        <v>37</v>
      </c>
      <c r="K1038" t="s">
        <v>38</v>
      </c>
      <c r="L1038" t="s">
        <v>2122</v>
      </c>
      <c r="M1038" s="5">
        <f t="shared" si="97"/>
        <v>2.5</v>
      </c>
      <c r="N1038" t="str">
        <f t="shared" si="98"/>
        <v>October</v>
      </c>
      <c r="O1038" t="str">
        <f t="shared" si="99"/>
        <v>Friday</v>
      </c>
      <c r="P1038">
        <f t="shared" si="96"/>
        <v>9</v>
      </c>
      <c r="Q1038" s="2">
        <f t="shared" si="100"/>
        <v>5</v>
      </c>
      <c r="R1038" s="2">
        <f t="shared" si="101"/>
        <v>10</v>
      </c>
      <c r="S1038">
        <f>SUMIF(Table1[product_category],"Bakery",Table1[Total_bill])</f>
        <v>2951.25</v>
      </c>
    </row>
    <row r="1039" spans="1:19" x14ac:dyDescent="0.3">
      <c r="A1039" s="2">
        <v>11038</v>
      </c>
      <c r="B1039" s="4">
        <v>46669</v>
      </c>
      <c r="C1039" t="s">
        <v>1187</v>
      </c>
      <c r="D1039" t="s">
        <v>18</v>
      </c>
      <c r="E1039" t="s">
        <v>19</v>
      </c>
      <c r="F1039" t="s">
        <v>229</v>
      </c>
      <c r="G1039">
        <v>3</v>
      </c>
      <c r="H1039" s="5">
        <v>6</v>
      </c>
      <c r="I1039" t="s">
        <v>72</v>
      </c>
      <c r="J1039" t="s">
        <v>72</v>
      </c>
      <c r="K1039" t="s">
        <v>138</v>
      </c>
      <c r="L1039" t="s">
        <v>2125</v>
      </c>
      <c r="M1039" s="5">
        <f t="shared" si="97"/>
        <v>18</v>
      </c>
      <c r="N1039" t="str">
        <f t="shared" si="98"/>
        <v>October</v>
      </c>
      <c r="O1039" t="str">
        <f t="shared" si="99"/>
        <v>Saturday</v>
      </c>
      <c r="P1039">
        <f t="shared" si="96"/>
        <v>15</v>
      </c>
      <c r="Q1039" s="2">
        <f t="shared" si="100"/>
        <v>6</v>
      </c>
      <c r="R1039" s="2">
        <f t="shared" si="101"/>
        <v>10</v>
      </c>
      <c r="S1039">
        <f>SUMIF(Table1[product_category],"Bakery",Table1[Total_bill])</f>
        <v>2951.25</v>
      </c>
    </row>
    <row r="1040" spans="1:19" x14ac:dyDescent="0.3">
      <c r="A1040" s="2">
        <v>11039</v>
      </c>
      <c r="B1040" s="4">
        <v>46670</v>
      </c>
      <c r="C1040" t="s">
        <v>1188</v>
      </c>
      <c r="D1040" t="s">
        <v>40</v>
      </c>
      <c r="E1040" t="s">
        <v>41</v>
      </c>
      <c r="F1040" t="s">
        <v>231</v>
      </c>
      <c r="G1040">
        <v>4</v>
      </c>
      <c r="H1040" s="5">
        <v>4</v>
      </c>
      <c r="I1040" t="s">
        <v>89</v>
      </c>
      <c r="J1040" t="s">
        <v>90</v>
      </c>
      <c r="K1040" t="s">
        <v>91</v>
      </c>
      <c r="L1040" t="s">
        <v>2122</v>
      </c>
      <c r="M1040" s="5">
        <f t="shared" si="97"/>
        <v>16</v>
      </c>
      <c r="N1040" t="str">
        <f t="shared" si="98"/>
        <v>October</v>
      </c>
      <c r="O1040" t="str">
        <f t="shared" si="99"/>
        <v>Sunday</v>
      </c>
      <c r="P1040">
        <f t="shared" si="96"/>
        <v>7</v>
      </c>
      <c r="Q1040" s="2">
        <f t="shared" si="100"/>
        <v>7</v>
      </c>
      <c r="R1040" s="2">
        <f t="shared" si="101"/>
        <v>10</v>
      </c>
      <c r="S1040">
        <f>SUMIF(Table1[product_category],"Bakery",Table1[Total_bill])</f>
        <v>2951.25</v>
      </c>
    </row>
    <row r="1041" spans="1:19" x14ac:dyDescent="0.3">
      <c r="A1041" s="2">
        <v>11040</v>
      </c>
      <c r="B1041" s="4">
        <v>46671</v>
      </c>
      <c r="C1041" t="s">
        <v>1189</v>
      </c>
      <c r="D1041" t="s">
        <v>18</v>
      </c>
      <c r="E1041" t="s">
        <v>19</v>
      </c>
      <c r="F1041" t="s">
        <v>233</v>
      </c>
      <c r="G1041">
        <v>1</v>
      </c>
      <c r="H1041" s="5">
        <v>9.5</v>
      </c>
      <c r="I1041" t="s">
        <v>28</v>
      </c>
      <c r="J1041" t="s">
        <v>28</v>
      </c>
      <c r="K1041" t="s">
        <v>29</v>
      </c>
      <c r="L1041" t="s">
        <v>2125</v>
      </c>
      <c r="M1041" s="5">
        <f t="shared" si="97"/>
        <v>9.5</v>
      </c>
      <c r="N1041" t="str">
        <f t="shared" si="98"/>
        <v>October</v>
      </c>
      <c r="O1041" t="str">
        <f t="shared" si="99"/>
        <v>Monday</v>
      </c>
      <c r="P1041">
        <f t="shared" si="96"/>
        <v>9</v>
      </c>
      <c r="Q1041" s="2">
        <f t="shared" si="100"/>
        <v>1</v>
      </c>
      <c r="R1041" s="2">
        <f t="shared" si="101"/>
        <v>10</v>
      </c>
      <c r="S1041">
        <f>SUMIF(Table1[product_category],"Bakery",Table1[Total_bill])</f>
        <v>2951.25</v>
      </c>
    </row>
    <row r="1042" spans="1:19" x14ac:dyDescent="0.3">
      <c r="A1042" s="2">
        <v>11041</v>
      </c>
      <c r="B1042" s="4">
        <v>46672</v>
      </c>
      <c r="C1042" t="s">
        <v>1190</v>
      </c>
      <c r="D1042" t="s">
        <v>40</v>
      </c>
      <c r="E1042" t="s">
        <v>41</v>
      </c>
      <c r="F1042" t="s">
        <v>20</v>
      </c>
      <c r="G1042">
        <v>4</v>
      </c>
      <c r="H1042" s="5">
        <v>2.75</v>
      </c>
      <c r="I1042" t="s">
        <v>32</v>
      </c>
      <c r="J1042" t="s">
        <v>226</v>
      </c>
      <c r="K1042" t="s">
        <v>273</v>
      </c>
      <c r="L1042" t="s">
        <v>2122</v>
      </c>
      <c r="M1042" s="5">
        <f t="shared" si="97"/>
        <v>11</v>
      </c>
      <c r="N1042" t="str">
        <f t="shared" si="98"/>
        <v>October</v>
      </c>
      <c r="O1042" t="str">
        <f t="shared" si="99"/>
        <v>Tuesday</v>
      </c>
      <c r="P1042">
        <f t="shared" si="96"/>
        <v>12</v>
      </c>
      <c r="Q1042" s="2">
        <f t="shared" si="100"/>
        <v>2</v>
      </c>
      <c r="R1042" s="2">
        <f t="shared" si="101"/>
        <v>10</v>
      </c>
      <c r="S1042">
        <f>SUMIF(Table1[product_category],"Bakery",Table1[Total_bill])</f>
        <v>2951.25</v>
      </c>
    </row>
    <row r="1043" spans="1:19" x14ac:dyDescent="0.3">
      <c r="A1043" s="2">
        <v>11042</v>
      </c>
      <c r="B1043" s="4">
        <v>46673</v>
      </c>
      <c r="C1043" t="s">
        <v>1191</v>
      </c>
      <c r="D1043" t="s">
        <v>18</v>
      </c>
      <c r="E1043" t="s">
        <v>19</v>
      </c>
      <c r="F1043" t="s">
        <v>27</v>
      </c>
      <c r="G1043">
        <v>3</v>
      </c>
      <c r="H1043" s="5">
        <v>3.5</v>
      </c>
      <c r="I1043" t="s">
        <v>32</v>
      </c>
      <c r="J1043" t="s">
        <v>94</v>
      </c>
      <c r="K1043" t="s">
        <v>95</v>
      </c>
      <c r="L1043" t="s">
        <v>2122</v>
      </c>
      <c r="M1043" s="5">
        <f t="shared" si="97"/>
        <v>10.5</v>
      </c>
      <c r="N1043" t="str">
        <f t="shared" si="98"/>
        <v>October</v>
      </c>
      <c r="O1043" t="str">
        <f t="shared" si="99"/>
        <v>Wednesday</v>
      </c>
      <c r="P1043">
        <f t="shared" si="96"/>
        <v>16</v>
      </c>
      <c r="Q1043" s="2">
        <f t="shared" si="100"/>
        <v>3</v>
      </c>
      <c r="R1043" s="2">
        <f t="shared" si="101"/>
        <v>10</v>
      </c>
      <c r="S1043">
        <f>SUMIF(Table1[product_category],"Bakery",Table1[Total_bill])</f>
        <v>2951.25</v>
      </c>
    </row>
    <row r="1044" spans="1:19" x14ac:dyDescent="0.3">
      <c r="A1044" s="2">
        <v>11043</v>
      </c>
      <c r="B1044" s="4">
        <v>46674</v>
      </c>
      <c r="C1044" t="s">
        <v>1192</v>
      </c>
      <c r="D1044" t="s">
        <v>40</v>
      </c>
      <c r="E1044" t="s">
        <v>41</v>
      </c>
      <c r="F1044" t="s">
        <v>31</v>
      </c>
      <c r="G1044">
        <v>4</v>
      </c>
      <c r="H1044" s="5">
        <v>3</v>
      </c>
      <c r="I1044" t="s">
        <v>21</v>
      </c>
      <c r="J1044" t="s">
        <v>181</v>
      </c>
      <c r="K1044" t="s">
        <v>182</v>
      </c>
      <c r="L1044" t="s">
        <v>2125</v>
      </c>
      <c r="M1044" s="5">
        <f t="shared" si="97"/>
        <v>12</v>
      </c>
      <c r="N1044" t="str">
        <f t="shared" si="98"/>
        <v>October</v>
      </c>
      <c r="O1044" t="str">
        <f t="shared" si="99"/>
        <v>Thursday</v>
      </c>
      <c r="P1044">
        <f t="shared" si="96"/>
        <v>9</v>
      </c>
      <c r="Q1044" s="2">
        <f t="shared" si="100"/>
        <v>4</v>
      </c>
      <c r="R1044" s="2">
        <f t="shared" si="101"/>
        <v>10</v>
      </c>
      <c r="S1044">
        <f>SUMIF(Table1[product_category],"Bakery",Table1[Total_bill])</f>
        <v>2951.25</v>
      </c>
    </row>
    <row r="1045" spans="1:19" x14ac:dyDescent="0.3">
      <c r="A1045" s="2">
        <v>11044</v>
      </c>
      <c r="B1045" s="4">
        <v>46675</v>
      </c>
      <c r="C1045" t="s">
        <v>1193</v>
      </c>
      <c r="D1045" t="s">
        <v>18</v>
      </c>
      <c r="E1045" t="s">
        <v>19</v>
      </c>
      <c r="F1045" t="s">
        <v>35</v>
      </c>
      <c r="G1045">
        <v>2</v>
      </c>
      <c r="H1045" s="5">
        <v>4.5</v>
      </c>
      <c r="I1045" t="s">
        <v>32</v>
      </c>
      <c r="J1045" t="s">
        <v>94</v>
      </c>
      <c r="K1045" t="s">
        <v>95</v>
      </c>
      <c r="L1045" t="s">
        <v>2123</v>
      </c>
      <c r="M1045" s="5">
        <f t="shared" si="97"/>
        <v>9</v>
      </c>
      <c r="N1045" t="str">
        <f t="shared" si="98"/>
        <v>October</v>
      </c>
      <c r="O1045" t="str">
        <f t="shared" si="99"/>
        <v>Friday</v>
      </c>
      <c r="P1045">
        <f t="shared" si="96"/>
        <v>13</v>
      </c>
      <c r="Q1045" s="2">
        <f t="shared" si="100"/>
        <v>5</v>
      </c>
      <c r="R1045" s="2">
        <f t="shared" si="101"/>
        <v>10</v>
      </c>
      <c r="S1045">
        <f>SUMIF(Table1[product_category],"Bakery",Table1[Total_bill])</f>
        <v>2951.25</v>
      </c>
    </row>
    <row r="1046" spans="1:19" x14ac:dyDescent="0.3">
      <c r="A1046" s="2">
        <v>11045</v>
      </c>
      <c r="B1046" s="4">
        <v>46676</v>
      </c>
      <c r="C1046" t="s">
        <v>1194</v>
      </c>
      <c r="D1046" t="s">
        <v>40</v>
      </c>
      <c r="E1046" t="s">
        <v>41</v>
      </c>
      <c r="F1046" t="s">
        <v>42</v>
      </c>
      <c r="G1046">
        <v>1</v>
      </c>
      <c r="H1046" s="5">
        <v>4.5</v>
      </c>
      <c r="I1046" t="s">
        <v>32</v>
      </c>
      <c r="J1046" t="s">
        <v>33</v>
      </c>
      <c r="K1046" t="s">
        <v>33</v>
      </c>
      <c r="L1046" t="s">
        <v>2123</v>
      </c>
      <c r="M1046" s="5">
        <f t="shared" si="97"/>
        <v>4.5</v>
      </c>
      <c r="N1046" t="str">
        <f t="shared" si="98"/>
        <v>October</v>
      </c>
      <c r="O1046" t="str">
        <f t="shared" si="99"/>
        <v>Saturday</v>
      </c>
      <c r="P1046">
        <f t="shared" si="96"/>
        <v>17</v>
      </c>
      <c r="Q1046" s="2">
        <f t="shared" si="100"/>
        <v>6</v>
      </c>
      <c r="R1046" s="2">
        <f t="shared" si="101"/>
        <v>10</v>
      </c>
      <c r="S1046">
        <f>SUMIF(Table1[product_category],"Bakery",Table1[Total_bill])</f>
        <v>2951.25</v>
      </c>
    </row>
    <row r="1047" spans="1:19" x14ac:dyDescent="0.3">
      <c r="A1047" s="2">
        <v>11046</v>
      </c>
      <c r="B1047" s="4">
        <v>46677</v>
      </c>
      <c r="C1047" t="s">
        <v>1195</v>
      </c>
      <c r="D1047" t="s">
        <v>18</v>
      </c>
      <c r="E1047" t="s">
        <v>19</v>
      </c>
      <c r="F1047" t="s">
        <v>46</v>
      </c>
      <c r="G1047">
        <v>2</v>
      </c>
      <c r="H1047" s="5">
        <v>9.5</v>
      </c>
      <c r="I1047" t="s">
        <v>28</v>
      </c>
      <c r="J1047" t="s">
        <v>28</v>
      </c>
      <c r="K1047" t="s">
        <v>29</v>
      </c>
      <c r="L1047" t="s">
        <v>2125</v>
      </c>
      <c r="M1047" s="5">
        <f t="shared" si="97"/>
        <v>19</v>
      </c>
      <c r="N1047" t="str">
        <f t="shared" si="98"/>
        <v>October</v>
      </c>
      <c r="O1047" t="str">
        <f t="shared" si="99"/>
        <v>Sunday</v>
      </c>
      <c r="P1047">
        <f t="shared" si="96"/>
        <v>13</v>
      </c>
      <c r="Q1047" s="2">
        <f t="shared" si="100"/>
        <v>7</v>
      </c>
      <c r="R1047" s="2">
        <f t="shared" si="101"/>
        <v>10</v>
      </c>
      <c r="S1047">
        <f>SUMIF(Table1[product_category],"Bakery",Table1[Total_bill])</f>
        <v>2951.25</v>
      </c>
    </row>
    <row r="1048" spans="1:19" x14ac:dyDescent="0.3">
      <c r="A1048" s="2">
        <v>11047</v>
      </c>
      <c r="B1048" s="4">
        <v>46678</v>
      </c>
      <c r="C1048" t="s">
        <v>1196</v>
      </c>
      <c r="D1048" t="s">
        <v>40</v>
      </c>
      <c r="E1048" t="s">
        <v>41</v>
      </c>
      <c r="F1048" t="s">
        <v>50</v>
      </c>
      <c r="G1048">
        <v>4</v>
      </c>
      <c r="H1048" s="5">
        <v>2.5</v>
      </c>
      <c r="I1048" t="s">
        <v>32</v>
      </c>
      <c r="J1048" t="s">
        <v>226</v>
      </c>
      <c r="K1048" t="s">
        <v>227</v>
      </c>
      <c r="L1048" t="s">
        <v>2122</v>
      </c>
      <c r="M1048" s="5">
        <f t="shared" si="97"/>
        <v>10</v>
      </c>
      <c r="N1048" t="str">
        <f t="shared" si="98"/>
        <v>October</v>
      </c>
      <c r="O1048" t="str">
        <f t="shared" si="99"/>
        <v>Monday</v>
      </c>
      <c r="P1048">
        <f t="shared" si="96"/>
        <v>8</v>
      </c>
      <c r="Q1048" s="2">
        <f t="shared" si="100"/>
        <v>1</v>
      </c>
      <c r="R1048" s="2">
        <f t="shared" si="101"/>
        <v>10</v>
      </c>
      <c r="S1048">
        <f>SUMIF(Table1[product_category],"Bakery",Table1[Total_bill])</f>
        <v>2951.25</v>
      </c>
    </row>
    <row r="1049" spans="1:19" x14ac:dyDescent="0.3">
      <c r="A1049" s="2">
        <v>11048</v>
      </c>
      <c r="B1049" s="4">
        <v>46679</v>
      </c>
      <c r="C1049" t="s">
        <v>1197</v>
      </c>
      <c r="D1049" t="s">
        <v>25</v>
      </c>
      <c r="E1049" t="s">
        <v>26</v>
      </c>
      <c r="F1049" t="s">
        <v>54</v>
      </c>
      <c r="G1049">
        <v>1</v>
      </c>
      <c r="H1049" s="5">
        <v>5.5</v>
      </c>
      <c r="I1049" t="s">
        <v>72</v>
      </c>
      <c r="J1049" t="s">
        <v>72</v>
      </c>
      <c r="K1049" t="s">
        <v>73</v>
      </c>
      <c r="L1049" t="s">
        <v>2125</v>
      </c>
      <c r="M1049" s="5">
        <f t="shared" si="97"/>
        <v>5.5</v>
      </c>
      <c r="N1049" t="str">
        <f t="shared" si="98"/>
        <v>October</v>
      </c>
      <c r="O1049" t="str">
        <f t="shared" si="99"/>
        <v>Tuesday</v>
      </c>
      <c r="P1049">
        <f t="shared" si="96"/>
        <v>6</v>
      </c>
      <c r="Q1049" s="2">
        <f t="shared" si="100"/>
        <v>2</v>
      </c>
      <c r="R1049" s="2">
        <f t="shared" si="101"/>
        <v>10</v>
      </c>
      <c r="S1049">
        <f>SUMIF(Table1[product_category],"Bakery",Table1[Total_bill])</f>
        <v>2951.25</v>
      </c>
    </row>
    <row r="1050" spans="1:19" x14ac:dyDescent="0.3">
      <c r="A1050" s="2">
        <v>11049</v>
      </c>
      <c r="B1050" s="4">
        <v>46680</v>
      </c>
      <c r="C1050" t="s">
        <v>1198</v>
      </c>
      <c r="D1050" t="s">
        <v>18</v>
      </c>
      <c r="E1050" t="s">
        <v>19</v>
      </c>
      <c r="F1050" t="s">
        <v>57</v>
      </c>
      <c r="G1050">
        <v>1</v>
      </c>
      <c r="H1050" s="5">
        <v>4.25</v>
      </c>
      <c r="I1050" t="s">
        <v>36</v>
      </c>
      <c r="J1050" t="s">
        <v>211</v>
      </c>
      <c r="K1050" t="s">
        <v>212</v>
      </c>
      <c r="L1050" t="s">
        <v>2123</v>
      </c>
      <c r="M1050" s="5">
        <f t="shared" si="97"/>
        <v>4.25</v>
      </c>
      <c r="N1050" t="str">
        <f t="shared" si="98"/>
        <v>October</v>
      </c>
      <c r="O1050" t="str">
        <f t="shared" si="99"/>
        <v>Wednesday</v>
      </c>
      <c r="P1050">
        <f t="shared" si="96"/>
        <v>17</v>
      </c>
      <c r="Q1050" s="2">
        <f t="shared" si="100"/>
        <v>3</v>
      </c>
      <c r="R1050" s="2">
        <f t="shared" si="101"/>
        <v>10</v>
      </c>
      <c r="S1050">
        <f>SUMIF(Table1[product_category],"Bakery",Table1[Total_bill])</f>
        <v>2951.25</v>
      </c>
    </row>
    <row r="1051" spans="1:19" x14ac:dyDescent="0.3">
      <c r="A1051" s="2">
        <v>11050</v>
      </c>
      <c r="B1051" s="4">
        <v>46681</v>
      </c>
      <c r="C1051" t="s">
        <v>1199</v>
      </c>
      <c r="D1051" t="s">
        <v>40</v>
      </c>
      <c r="E1051" t="s">
        <v>41</v>
      </c>
      <c r="F1051" t="s">
        <v>61</v>
      </c>
      <c r="G1051">
        <v>1</v>
      </c>
      <c r="H1051" s="5">
        <v>2.25</v>
      </c>
      <c r="I1051" t="s">
        <v>21</v>
      </c>
      <c r="J1051" t="s">
        <v>58</v>
      </c>
      <c r="K1051" t="s">
        <v>59</v>
      </c>
      <c r="L1051" t="s">
        <v>2125</v>
      </c>
      <c r="M1051" s="5">
        <f t="shared" si="97"/>
        <v>2.25</v>
      </c>
      <c r="N1051" t="str">
        <f t="shared" si="98"/>
        <v>October</v>
      </c>
      <c r="O1051" t="str">
        <f t="shared" si="99"/>
        <v>Thursday</v>
      </c>
      <c r="P1051">
        <f t="shared" si="96"/>
        <v>6</v>
      </c>
      <c r="Q1051" s="2">
        <f t="shared" si="100"/>
        <v>4</v>
      </c>
      <c r="R1051" s="2">
        <f t="shared" si="101"/>
        <v>10</v>
      </c>
      <c r="S1051">
        <f>SUMIF(Table1[product_category],"Bakery",Table1[Total_bill])</f>
        <v>2951.25</v>
      </c>
    </row>
    <row r="1052" spans="1:19" x14ac:dyDescent="0.3">
      <c r="A1052" s="2">
        <v>11051</v>
      </c>
      <c r="B1052" s="4">
        <v>46682</v>
      </c>
      <c r="C1052" t="s">
        <v>1200</v>
      </c>
      <c r="D1052" t="s">
        <v>18</v>
      </c>
      <c r="E1052" t="s">
        <v>19</v>
      </c>
      <c r="F1052" t="s">
        <v>64</v>
      </c>
      <c r="G1052">
        <v>2</v>
      </c>
      <c r="H1052" s="5">
        <v>14</v>
      </c>
      <c r="I1052" t="s">
        <v>101</v>
      </c>
      <c r="J1052" t="s">
        <v>102</v>
      </c>
      <c r="K1052" t="s">
        <v>193</v>
      </c>
      <c r="L1052" t="s">
        <v>2125</v>
      </c>
      <c r="M1052" s="5">
        <f t="shared" si="97"/>
        <v>28</v>
      </c>
      <c r="N1052" t="str">
        <f t="shared" si="98"/>
        <v>October</v>
      </c>
      <c r="O1052" t="str">
        <f t="shared" si="99"/>
        <v>Friday</v>
      </c>
      <c r="P1052">
        <f t="shared" si="96"/>
        <v>17</v>
      </c>
      <c r="Q1052" s="2">
        <f t="shared" si="100"/>
        <v>5</v>
      </c>
      <c r="R1052" s="2">
        <f t="shared" si="101"/>
        <v>10</v>
      </c>
      <c r="S1052">
        <f>SUMIF(Table1[product_category],"Bakery",Table1[Total_bill])</f>
        <v>2951.25</v>
      </c>
    </row>
    <row r="1053" spans="1:19" x14ac:dyDescent="0.3">
      <c r="A1053" s="2">
        <v>11052</v>
      </c>
      <c r="B1053" s="4">
        <v>46683</v>
      </c>
      <c r="C1053" t="s">
        <v>1201</v>
      </c>
      <c r="D1053" t="s">
        <v>25</v>
      </c>
      <c r="E1053" t="s">
        <v>26</v>
      </c>
      <c r="F1053" t="s">
        <v>66</v>
      </c>
      <c r="G1053">
        <v>2</v>
      </c>
      <c r="H1053" s="5">
        <v>3.75</v>
      </c>
      <c r="I1053" t="s">
        <v>36</v>
      </c>
      <c r="J1053" t="s">
        <v>211</v>
      </c>
      <c r="K1053" t="s">
        <v>212</v>
      </c>
      <c r="L1053" t="s">
        <v>2124</v>
      </c>
      <c r="M1053" s="5">
        <f t="shared" si="97"/>
        <v>7.5</v>
      </c>
      <c r="N1053" t="str">
        <f t="shared" si="98"/>
        <v>October</v>
      </c>
      <c r="O1053" t="str">
        <f t="shared" si="99"/>
        <v>Saturday</v>
      </c>
      <c r="P1053">
        <f t="shared" si="96"/>
        <v>12</v>
      </c>
      <c r="Q1053" s="2">
        <f t="shared" si="100"/>
        <v>6</v>
      </c>
      <c r="R1053" s="2">
        <f t="shared" si="101"/>
        <v>10</v>
      </c>
      <c r="S1053">
        <f>SUMIF(Table1[product_category],"Bakery",Table1[Total_bill])</f>
        <v>2951.25</v>
      </c>
    </row>
    <row r="1054" spans="1:19" x14ac:dyDescent="0.3">
      <c r="A1054" s="2">
        <v>11053</v>
      </c>
      <c r="B1054" s="4">
        <v>46684</v>
      </c>
      <c r="C1054" t="s">
        <v>1202</v>
      </c>
      <c r="D1054" t="s">
        <v>25</v>
      </c>
      <c r="E1054" t="s">
        <v>26</v>
      </c>
      <c r="F1054" t="s">
        <v>68</v>
      </c>
      <c r="G1054">
        <v>3</v>
      </c>
      <c r="H1054" s="5">
        <v>4</v>
      </c>
      <c r="I1054" t="s">
        <v>32</v>
      </c>
      <c r="J1054" t="s">
        <v>94</v>
      </c>
      <c r="K1054" t="s">
        <v>95</v>
      </c>
      <c r="L1054" t="s">
        <v>2124</v>
      </c>
      <c r="M1054" s="5">
        <f t="shared" si="97"/>
        <v>12</v>
      </c>
      <c r="N1054" t="str">
        <f t="shared" si="98"/>
        <v>October</v>
      </c>
      <c r="O1054" t="str">
        <f t="shared" si="99"/>
        <v>Sunday</v>
      </c>
      <c r="P1054">
        <f t="shared" si="96"/>
        <v>19</v>
      </c>
      <c r="Q1054" s="2">
        <f t="shared" si="100"/>
        <v>7</v>
      </c>
      <c r="R1054" s="2">
        <f t="shared" si="101"/>
        <v>10</v>
      </c>
      <c r="S1054">
        <f>SUMIF(Table1[product_category],"Bakery",Table1[Total_bill])</f>
        <v>2951.25</v>
      </c>
    </row>
    <row r="1055" spans="1:19" x14ac:dyDescent="0.3">
      <c r="A1055" s="2">
        <v>11054</v>
      </c>
      <c r="B1055" s="4">
        <v>46685</v>
      </c>
      <c r="C1055" t="s">
        <v>1203</v>
      </c>
      <c r="D1055" t="s">
        <v>40</v>
      </c>
      <c r="E1055" t="s">
        <v>41</v>
      </c>
      <c r="F1055" t="s">
        <v>71</v>
      </c>
      <c r="G1055">
        <v>2</v>
      </c>
      <c r="H1055" s="5">
        <v>3</v>
      </c>
      <c r="I1055" t="s">
        <v>21</v>
      </c>
      <c r="J1055" t="s">
        <v>181</v>
      </c>
      <c r="K1055" t="s">
        <v>182</v>
      </c>
      <c r="L1055" t="s">
        <v>2125</v>
      </c>
      <c r="M1055" s="5">
        <f t="shared" si="97"/>
        <v>6</v>
      </c>
      <c r="N1055" t="str">
        <f t="shared" si="98"/>
        <v>October</v>
      </c>
      <c r="O1055" t="str">
        <f t="shared" si="99"/>
        <v>Monday</v>
      </c>
      <c r="P1055">
        <f t="shared" si="96"/>
        <v>16</v>
      </c>
      <c r="Q1055" s="2">
        <f t="shared" si="100"/>
        <v>1</v>
      </c>
      <c r="R1055" s="2">
        <f t="shared" si="101"/>
        <v>10</v>
      </c>
      <c r="S1055">
        <f>SUMIF(Table1[product_category],"Bakery",Table1[Total_bill])</f>
        <v>2951.25</v>
      </c>
    </row>
    <row r="1056" spans="1:19" x14ac:dyDescent="0.3">
      <c r="A1056" s="2">
        <v>11055</v>
      </c>
      <c r="B1056" s="4">
        <v>46686</v>
      </c>
      <c r="C1056" t="s">
        <v>1204</v>
      </c>
      <c r="D1056" t="s">
        <v>25</v>
      </c>
      <c r="E1056" t="s">
        <v>26</v>
      </c>
      <c r="F1056" t="s">
        <v>75</v>
      </c>
      <c r="G1056">
        <v>3</v>
      </c>
      <c r="H1056" s="5">
        <v>2.75</v>
      </c>
      <c r="I1056" t="s">
        <v>32</v>
      </c>
      <c r="J1056" t="s">
        <v>43</v>
      </c>
      <c r="K1056" t="s">
        <v>44</v>
      </c>
      <c r="L1056" t="s">
        <v>2123</v>
      </c>
      <c r="M1056" s="5">
        <f t="shared" si="97"/>
        <v>8.25</v>
      </c>
      <c r="N1056" t="str">
        <f t="shared" si="98"/>
        <v>October</v>
      </c>
      <c r="O1056" t="str">
        <f t="shared" si="99"/>
        <v>Tuesday</v>
      </c>
      <c r="P1056">
        <f t="shared" si="96"/>
        <v>20</v>
      </c>
      <c r="Q1056" s="2">
        <f t="shared" si="100"/>
        <v>2</v>
      </c>
      <c r="R1056" s="2">
        <f t="shared" si="101"/>
        <v>10</v>
      </c>
      <c r="S1056">
        <f>SUMIF(Table1[product_category],"Bakery",Table1[Total_bill])</f>
        <v>2951.25</v>
      </c>
    </row>
    <row r="1057" spans="1:19" x14ac:dyDescent="0.3">
      <c r="A1057" s="2">
        <v>11056</v>
      </c>
      <c r="B1057" s="4">
        <v>46687</v>
      </c>
      <c r="C1057" t="s">
        <v>1205</v>
      </c>
      <c r="D1057" t="s">
        <v>40</v>
      </c>
      <c r="E1057" t="s">
        <v>41</v>
      </c>
      <c r="F1057" t="s">
        <v>78</v>
      </c>
      <c r="G1057">
        <v>1</v>
      </c>
      <c r="H1057" s="5">
        <v>9.5</v>
      </c>
      <c r="I1057" t="s">
        <v>28</v>
      </c>
      <c r="J1057" t="s">
        <v>28</v>
      </c>
      <c r="K1057" t="s">
        <v>29</v>
      </c>
      <c r="L1057" t="s">
        <v>2125</v>
      </c>
      <c r="M1057" s="5">
        <f t="shared" si="97"/>
        <v>9.5</v>
      </c>
      <c r="N1057" t="str">
        <f t="shared" si="98"/>
        <v>October</v>
      </c>
      <c r="O1057" t="str">
        <f t="shared" si="99"/>
        <v>Wednesday</v>
      </c>
      <c r="P1057">
        <f t="shared" si="96"/>
        <v>10</v>
      </c>
      <c r="Q1057" s="2">
        <f t="shared" si="100"/>
        <v>3</v>
      </c>
      <c r="R1057" s="2">
        <f t="shared" si="101"/>
        <v>10</v>
      </c>
      <c r="S1057">
        <f>SUMIF(Table1[product_category],"Bakery",Table1[Total_bill])</f>
        <v>2951.25</v>
      </c>
    </row>
    <row r="1058" spans="1:19" x14ac:dyDescent="0.3">
      <c r="A1058" s="2">
        <v>11057</v>
      </c>
      <c r="B1058" s="4">
        <v>46688</v>
      </c>
      <c r="C1058" t="s">
        <v>1206</v>
      </c>
      <c r="D1058" t="s">
        <v>25</v>
      </c>
      <c r="E1058" t="s">
        <v>26</v>
      </c>
      <c r="F1058" t="s">
        <v>80</v>
      </c>
      <c r="G1058">
        <v>4</v>
      </c>
      <c r="H1058" s="5">
        <v>3.5</v>
      </c>
      <c r="I1058" t="s">
        <v>36</v>
      </c>
      <c r="J1058" t="s">
        <v>37</v>
      </c>
      <c r="K1058" t="s">
        <v>276</v>
      </c>
      <c r="L1058" t="s">
        <v>2123</v>
      </c>
      <c r="M1058" s="5">
        <f t="shared" si="97"/>
        <v>14</v>
      </c>
      <c r="N1058" t="str">
        <f t="shared" si="98"/>
        <v>October</v>
      </c>
      <c r="O1058" t="str">
        <f t="shared" si="99"/>
        <v>Thursday</v>
      </c>
      <c r="P1058">
        <f t="shared" si="96"/>
        <v>15</v>
      </c>
      <c r="Q1058" s="2">
        <f t="shared" si="100"/>
        <v>4</v>
      </c>
      <c r="R1058" s="2">
        <f t="shared" si="101"/>
        <v>10</v>
      </c>
      <c r="S1058">
        <f>SUMIF(Table1[product_category],"Bakery",Table1[Total_bill])</f>
        <v>2951.25</v>
      </c>
    </row>
    <row r="1059" spans="1:19" x14ac:dyDescent="0.3">
      <c r="A1059" s="2">
        <v>11058</v>
      </c>
      <c r="B1059" s="4">
        <v>46689</v>
      </c>
      <c r="C1059" t="s">
        <v>1207</v>
      </c>
      <c r="D1059" t="s">
        <v>25</v>
      </c>
      <c r="E1059" t="s">
        <v>26</v>
      </c>
      <c r="F1059" t="s">
        <v>84</v>
      </c>
      <c r="G1059">
        <v>3</v>
      </c>
      <c r="H1059" s="5">
        <v>1.75</v>
      </c>
      <c r="I1059" t="s">
        <v>32</v>
      </c>
      <c r="J1059" t="s">
        <v>43</v>
      </c>
      <c r="K1059" t="s">
        <v>44</v>
      </c>
      <c r="L1059" t="s">
        <v>2122</v>
      </c>
      <c r="M1059" s="5">
        <f t="shared" si="97"/>
        <v>5.25</v>
      </c>
      <c r="N1059" t="str">
        <f t="shared" si="98"/>
        <v>October</v>
      </c>
      <c r="O1059" t="str">
        <f t="shared" si="99"/>
        <v>Friday</v>
      </c>
      <c r="P1059">
        <f t="shared" si="96"/>
        <v>10</v>
      </c>
      <c r="Q1059" s="2">
        <f t="shared" si="100"/>
        <v>5</v>
      </c>
      <c r="R1059" s="2">
        <f t="shared" si="101"/>
        <v>10</v>
      </c>
      <c r="S1059">
        <f>SUMIF(Table1[product_category],"Bakery",Table1[Total_bill])</f>
        <v>2951.25</v>
      </c>
    </row>
    <row r="1060" spans="1:19" x14ac:dyDescent="0.3">
      <c r="A1060" s="2">
        <v>11059</v>
      </c>
      <c r="B1060" s="4">
        <v>46690</v>
      </c>
      <c r="C1060" t="s">
        <v>1208</v>
      </c>
      <c r="D1060" t="s">
        <v>25</v>
      </c>
      <c r="E1060" t="s">
        <v>26</v>
      </c>
      <c r="F1060" t="s">
        <v>86</v>
      </c>
      <c r="G1060">
        <v>2</v>
      </c>
      <c r="H1060" s="5">
        <v>3.5</v>
      </c>
      <c r="I1060" t="s">
        <v>32</v>
      </c>
      <c r="J1060" t="s">
        <v>94</v>
      </c>
      <c r="K1060" t="s">
        <v>95</v>
      </c>
      <c r="L1060" t="s">
        <v>2122</v>
      </c>
      <c r="M1060" s="5">
        <f t="shared" si="97"/>
        <v>7</v>
      </c>
      <c r="N1060" t="str">
        <f t="shared" si="98"/>
        <v>October</v>
      </c>
      <c r="O1060" t="str">
        <f t="shared" si="99"/>
        <v>Saturday</v>
      </c>
      <c r="P1060">
        <f t="shared" si="96"/>
        <v>11</v>
      </c>
      <c r="Q1060" s="2">
        <f t="shared" si="100"/>
        <v>6</v>
      </c>
      <c r="R1060" s="2">
        <f t="shared" si="101"/>
        <v>10</v>
      </c>
      <c r="S1060">
        <f>SUMIF(Table1[product_category],"Bakery",Table1[Total_bill])</f>
        <v>2951.25</v>
      </c>
    </row>
    <row r="1061" spans="1:19" x14ac:dyDescent="0.3">
      <c r="A1061" s="2">
        <v>11060</v>
      </c>
      <c r="B1061" s="4">
        <v>46691</v>
      </c>
      <c r="C1061" t="s">
        <v>1209</v>
      </c>
      <c r="D1061" t="s">
        <v>25</v>
      </c>
      <c r="E1061" t="s">
        <v>26</v>
      </c>
      <c r="F1061" t="s">
        <v>88</v>
      </c>
      <c r="G1061">
        <v>3</v>
      </c>
      <c r="H1061" s="5">
        <v>4.25</v>
      </c>
      <c r="I1061" t="s">
        <v>32</v>
      </c>
      <c r="J1061" t="s">
        <v>202</v>
      </c>
      <c r="K1061" t="s">
        <v>202</v>
      </c>
      <c r="L1061" t="s">
        <v>2124</v>
      </c>
      <c r="M1061" s="5">
        <f t="shared" si="97"/>
        <v>12.75</v>
      </c>
      <c r="N1061" t="str">
        <f t="shared" si="98"/>
        <v>October</v>
      </c>
      <c r="O1061" t="str">
        <f t="shared" si="99"/>
        <v>Sunday</v>
      </c>
      <c r="P1061">
        <f t="shared" si="96"/>
        <v>13</v>
      </c>
      <c r="Q1061" s="2">
        <f t="shared" si="100"/>
        <v>7</v>
      </c>
      <c r="R1061" s="2">
        <f t="shared" si="101"/>
        <v>10</v>
      </c>
      <c r="S1061">
        <f>SUMIF(Table1[product_category],"Bakery",Table1[Total_bill])</f>
        <v>2951.25</v>
      </c>
    </row>
    <row r="1062" spans="1:19" x14ac:dyDescent="0.3">
      <c r="A1062" s="2">
        <v>11061</v>
      </c>
      <c r="B1062" s="4">
        <v>46692</v>
      </c>
      <c r="C1062" t="s">
        <v>1210</v>
      </c>
      <c r="D1062" t="s">
        <v>25</v>
      </c>
      <c r="E1062" t="s">
        <v>26</v>
      </c>
      <c r="F1062" t="s">
        <v>93</v>
      </c>
      <c r="G1062">
        <v>2</v>
      </c>
      <c r="H1062" s="5">
        <v>3.25</v>
      </c>
      <c r="I1062" t="s">
        <v>32</v>
      </c>
      <c r="J1062" t="s">
        <v>144</v>
      </c>
      <c r="K1062" t="s">
        <v>144</v>
      </c>
      <c r="L1062" t="s">
        <v>2124</v>
      </c>
      <c r="M1062" s="5">
        <f t="shared" si="97"/>
        <v>6.5</v>
      </c>
      <c r="N1062" t="str">
        <f t="shared" si="98"/>
        <v>November</v>
      </c>
      <c r="O1062" t="str">
        <f t="shared" si="99"/>
        <v>Monday</v>
      </c>
      <c r="P1062">
        <f t="shared" si="96"/>
        <v>17</v>
      </c>
      <c r="Q1062" s="2">
        <f t="shared" si="100"/>
        <v>1</v>
      </c>
      <c r="R1062" s="2">
        <f t="shared" si="101"/>
        <v>11</v>
      </c>
      <c r="S1062">
        <f>SUMIF(Table1[product_category],"Bakery",Table1[Total_bill])</f>
        <v>2951.25</v>
      </c>
    </row>
    <row r="1063" spans="1:19" x14ac:dyDescent="0.3">
      <c r="A1063" s="2">
        <v>11062</v>
      </c>
      <c r="B1063" s="4">
        <v>46693</v>
      </c>
      <c r="C1063" t="s">
        <v>1211</v>
      </c>
      <c r="D1063" t="s">
        <v>18</v>
      </c>
      <c r="E1063" t="s">
        <v>19</v>
      </c>
      <c r="F1063" t="s">
        <v>97</v>
      </c>
      <c r="G1063">
        <v>2</v>
      </c>
      <c r="H1063" s="5">
        <v>8</v>
      </c>
      <c r="I1063" t="s">
        <v>28</v>
      </c>
      <c r="J1063" t="s">
        <v>28</v>
      </c>
      <c r="K1063" t="s">
        <v>76</v>
      </c>
      <c r="L1063" t="s">
        <v>2125</v>
      </c>
      <c r="M1063" s="5">
        <f t="shared" si="97"/>
        <v>16</v>
      </c>
      <c r="N1063" t="str">
        <f t="shared" si="98"/>
        <v>November</v>
      </c>
      <c r="O1063" t="str">
        <f t="shared" si="99"/>
        <v>Tuesday</v>
      </c>
      <c r="P1063">
        <f t="shared" si="96"/>
        <v>20</v>
      </c>
      <c r="Q1063" s="2">
        <f t="shared" si="100"/>
        <v>2</v>
      </c>
      <c r="R1063" s="2">
        <f t="shared" si="101"/>
        <v>11</v>
      </c>
      <c r="S1063">
        <f>SUMIF(Table1[product_category],"Bakery",Table1[Total_bill])</f>
        <v>2951.25</v>
      </c>
    </row>
    <row r="1064" spans="1:19" x14ac:dyDescent="0.3">
      <c r="A1064" s="2">
        <v>11063</v>
      </c>
      <c r="B1064" s="4">
        <v>46694</v>
      </c>
      <c r="C1064" t="s">
        <v>1212</v>
      </c>
      <c r="D1064" t="s">
        <v>40</v>
      </c>
      <c r="E1064" t="s">
        <v>41</v>
      </c>
      <c r="F1064" t="s">
        <v>100</v>
      </c>
      <c r="G1064">
        <v>3</v>
      </c>
      <c r="H1064" s="5">
        <v>2.75</v>
      </c>
      <c r="I1064" t="s">
        <v>32</v>
      </c>
      <c r="J1064" t="s">
        <v>226</v>
      </c>
      <c r="K1064" t="s">
        <v>273</v>
      </c>
      <c r="L1064" t="s">
        <v>2122</v>
      </c>
      <c r="M1064" s="5">
        <f t="shared" si="97"/>
        <v>8.25</v>
      </c>
      <c r="N1064" t="str">
        <f t="shared" si="98"/>
        <v>November</v>
      </c>
      <c r="O1064" t="str">
        <f t="shared" si="99"/>
        <v>Wednesday</v>
      </c>
      <c r="P1064">
        <f t="shared" si="96"/>
        <v>15</v>
      </c>
      <c r="Q1064" s="2">
        <f t="shared" si="100"/>
        <v>3</v>
      </c>
      <c r="R1064" s="2">
        <f t="shared" si="101"/>
        <v>11</v>
      </c>
      <c r="S1064">
        <f>SUMIF(Table1[product_category],"Bakery",Table1[Total_bill])</f>
        <v>2951.25</v>
      </c>
    </row>
    <row r="1065" spans="1:19" x14ac:dyDescent="0.3">
      <c r="A1065" s="2">
        <v>11064</v>
      </c>
      <c r="B1065" s="4">
        <v>46695</v>
      </c>
      <c r="C1065" t="s">
        <v>1213</v>
      </c>
      <c r="D1065" t="s">
        <v>40</v>
      </c>
      <c r="E1065" t="s">
        <v>41</v>
      </c>
      <c r="F1065" t="s">
        <v>105</v>
      </c>
      <c r="G1065">
        <v>1</v>
      </c>
      <c r="H1065" s="5">
        <v>4.25</v>
      </c>
      <c r="I1065" t="s">
        <v>32</v>
      </c>
      <c r="J1065" t="s">
        <v>69</v>
      </c>
      <c r="K1065" t="s">
        <v>69</v>
      </c>
      <c r="L1065" t="s">
        <v>2124</v>
      </c>
      <c r="M1065" s="5">
        <f t="shared" si="97"/>
        <v>4.25</v>
      </c>
      <c r="N1065" t="str">
        <f t="shared" si="98"/>
        <v>November</v>
      </c>
      <c r="O1065" t="str">
        <f t="shared" si="99"/>
        <v>Thursday</v>
      </c>
      <c r="P1065">
        <f t="shared" si="96"/>
        <v>10</v>
      </c>
      <c r="Q1065" s="2">
        <f t="shared" si="100"/>
        <v>4</v>
      </c>
      <c r="R1065" s="2">
        <f t="shared" si="101"/>
        <v>11</v>
      </c>
      <c r="S1065">
        <f>SUMIF(Table1[product_category],"Bakery",Table1[Total_bill])</f>
        <v>2951.25</v>
      </c>
    </row>
    <row r="1066" spans="1:19" x14ac:dyDescent="0.3">
      <c r="A1066" s="2">
        <v>11065</v>
      </c>
      <c r="B1066" s="4">
        <v>46696</v>
      </c>
      <c r="C1066" t="s">
        <v>1214</v>
      </c>
      <c r="D1066" t="s">
        <v>25</v>
      </c>
      <c r="E1066" t="s">
        <v>26</v>
      </c>
      <c r="F1066" t="s">
        <v>107</v>
      </c>
      <c r="G1066">
        <v>3</v>
      </c>
      <c r="H1066" s="5">
        <v>2.75</v>
      </c>
      <c r="I1066" t="s">
        <v>21</v>
      </c>
      <c r="J1066" t="s">
        <v>22</v>
      </c>
      <c r="K1066" t="s">
        <v>23</v>
      </c>
      <c r="L1066" t="s">
        <v>2125</v>
      </c>
      <c r="M1066" s="5">
        <f t="shared" si="97"/>
        <v>8.25</v>
      </c>
      <c r="N1066" t="str">
        <f t="shared" si="98"/>
        <v>November</v>
      </c>
      <c r="O1066" t="str">
        <f t="shared" si="99"/>
        <v>Friday</v>
      </c>
      <c r="P1066">
        <f t="shared" si="96"/>
        <v>10</v>
      </c>
      <c r="Q1066" s="2">
        <f t="shared" si="100"/>
        <v>5</v>
      </c>
      <c r="R1066" s="2">
        <f t="shared" si="101"/>
        <v>11</v>
      </c>
      <c r="S1066">
        <f>SUMIF(Table1[product_category],"Bakery",Table1[Total_bill])</f>
        <v>2951.25</v>
      </c>
    </row>
    <row r="1067" spans="1:19" x14ac:dyDescent="0.3">
      <c r="A1067" s="2">
        <v>11066</v>
      </c>
      <c r="B1067" s="4">
        <v>46697</v>
      </c>
      <c r="C1067" t="s">
        <v>1215</v>
      </c>
      <c r="D1067" t="s">
        <v>25</v>
      </c>
      <c r="E1067" t="s">
        <v>26</v>
      </c>
      <c r="F1067" t="s">
        <v>109</v>
      </c>
      <c r="G1067">
        <v>1</v>
      </c>
      <c r="H1067" s="5">
        <v>3.5</v>
      </c>
      <c r="I1067" t="s">
        <v>36</v>
      </c>
      <c r="J1067" t="s">
        <v>37</v>
      </c>
      <c r="K1067" t="s">
        <v>276</v>
      </c>
      <c r="L1067" t="s">
        <v>2123</v>
      </c>
      <c r="M1067" s="5">
        <f t="shared" si="97"/>
        <v>3.5</v>
      </c>
      <c r="N1067" t="str">
        <f t="shared" si="98"/>
        <v>November</v>
      </c>
      <c r="O1067" t="str">
        <f t="shared" si="99"/>
        <v>Saturday</v>
      </c>
      <c r="P1067">
        <f t="shared" si="96"/>
        <v>15</v>
      </c>
      <c r="Q1067" s="2">
        <f t="shared" si="100"/>
        <v>6</v>
      </c>
      <c r="R1067" s="2">
        <f t="shared" si="101"/>
        <v>11</v>
      </c>
      <c r="S1067">
        <f>SUMIF(Table1[product_category],"Bakery",Table1[Total_bill])</f>
        <v>2951.25</v>
      </c>
    </row>
    <row r="1068" spans="1:19" x14ac:dyDescent="0.3">
      <c r="A1068" s="2">
        <v>11067</v>
      </c>
      <c r="B1068" s="4">
        <v>46698</v>
      </c>
      <c r="C1068" t="s">
        <v>1216</v>
      </c>
      <c r="D1068" t="s">
        <v>18</v>
      </c>
      <c r="E1068" t="s">
        <v>19</v>
      </c>
      <c r="F1068" t="s">
        <v>112</v>
      </c>
      <c r="G1068">
        <v>1</v>
      </c>
      <c r="H1068" s="5">
        <v>24</v>
      </c>
      <c r="I1068" t="s">
        <v>101</v>
      </c>
      <c r="J1068" t="s">
        <v>102</v>
      </c>
      <c r="K1068" t="s">
        <v>103</v>
      </c>
      <c r="L1068" t="s">
        <v>2125</v>
      </c>
      <c r="M1068" s="5">
        <f t="shared" si="97"/>
        <v>24</v>
      </c>
      <c r="N1068" t="str">
        <f t="shared" si="98"/>
        <v>November</v>
      </c>
      <c r="O1068" t="str">
        <f t="shared" si="99"/>
        <v>Sunday</v>
      </c>
      <c r="P1068">
        <f t="shared" si="96"/>
        <v>8</v>
      </c>
      <c r="Q1068" s="2">
        <f t="shared" si="100"/>
        <v>7</v>
      </c>
      <c r="R1068" s="2">
        <f t="shared" si="101"/>
        <v>11</v>
      </c>
      <c r="S1068">
        <f>SUMIF(Table1[product_category],"Bakery",Table1[Total_bill])</f>
        <v>2951.25</v>
      </c>
    </row>
    <row r="1069" spans="1:19" x14ac:dyDescent="0.3">
      <c r="A1069" s="2">
        <v>11068</v>
      </c>
      <c r="B1069" s="4">
        <v>46699</v>
      </c>
      <c r="C1069" t="s">
        <v>1217</v>
      </c>
      <c r="D1069" t="s">
        <v>18</v>
      </c>
      <c r="E1069" t="s">
        <v>19</v>
      </c>
      <c r="F1069" t="s">
        <v>115</v>
      </c>
      <c r="G1069">
        <v>4</v>
      </c>
      <c r="H1069" s="5">
        <v>3</v>
      </c>
      <c r="I1069" t="s">
        <v>21</v>
      </c>
      <c r="J1069" t="s">
        <v>181</v>
      </c>
      <c r="K1069" t="s">
        <v>182</v>
      </c>
      <c r="L1069" t="s">
        <v>2125</v>
      </c>
      <c r="M1069" s="5">
        <f t="shared" si="97"/>
        <v>12</v>
      </c>
      <c r="N1069" t="str">
        <f t="shared" si="98"/>
        <v>November</v>
      </c>
      <c r="O1069" t="str">
        <f t="shared" si="99"/>
        <v>Monday</v>
      </c>
      <c r="P1069">
        <f t="shared" si="96"/>
        <v>7</v>
      </c>
      <c r="Q1069" s="2">
        <f t="shared" si="100"/>
        <v>1</v>
      </c>
      <c r="R1069" s="2">
        <f t="shared" si="101"/>
        <v>11</v>
      </c>
      <c r="S1069">
        <f>SUMIF(Table1[product_category],"Bakery",Table1[Total_bill])</f>
        <v>2951.25</v>
      </c>
    </row>
    <row r="1070" spans="1:19" x14ac:dyDescent="0.3">
      <c r="A1070" s="2">
        <v>11069</v>
      </c>
      <c r="B1070" s="4">
        <v>46700</v>
      </c>
      <c r="C1070" t="s">
        <v>1218</v>
      </c>
      <c r="D1070" t="s">
        <v>40</v>
      </c>
      <c r="E1070" t="s">
        <v>41</v>
      </c>
      <c r="F1070" t="s">
        <v>117</v>
      </c>
      <c r="G1070">
        <v>3</v>
      </c>
      <c r="H1070" s="5">
        <v>24</v>
      </c>
      <c r="I1070" t="s">
        <v>101</v>
      </c>
      <c r="J1070" t="s">
        <v>102</v>
      </c>
      <c r="K1070" t="s">
        <v>103</v>
      </c>
      <c r="L1070" t="s">
        <v>2125</v>
      </c>
      <c r="M1070" s="5">
        <f t="shared" si="97"/>
        <v>72</v>
      </c>
      <c r="N1070" t="str">
        <f t="shared" si="98"/>
        <v>November</v>
      </c>
      <c r="O1070" t="str">
        <f t="shared" si="99"/>
        <v>Tuesday</v>
      </c>
      <c r="P1070">
        <f t="shared" si="96"/>
        <v>10</v>
      </c>
      <c r="Q1070" s="2">
        <f t="shared" si="100"/>
        <v>2</v>
      </c>
      <c r="R1070" s="2">
        <f t="shared" si="101"/>
        <v>11</v>
      </c>
      <c r="S1070">
        <f>SUMIF(Table1[product_category],"Bakery",Table1[Total_bill])</f>
        <v>2951.25</v>
      </c>
    </row>
    <row r="1071" spans="1:19" x14ac:dyDescent="0.3">
      <c r="A1071" s="2">
        <v>11070</v>
      </c>
      <c r="B1071" s="4">
        <v>46701</v>
      </c>
      <c r="C1071" t="s">
        <v>1219</v>
      </c>
      <c r="D1071" t="s">
        <v>40</v>
      </c>
      <c r="E1071" t="s">
        <v>41</v>
      </c>
      <c r="F1071" t="s">
        <v>119</v>
      </c>
      <c r="G1071">
        <v>4</v>
      </c>
      <c r="H1071" s="5">
        <v>24</v>
      </c>
      <c r="I1071" t="s">
        <v>101</v>
      </c>
      <c r="J1071" t="s">
        <v>102</v>
      </c>
      <c r="K1071" t="s">
        <v>103</v>
      </c>
      <c r="L1071" t="s">
        <v>2125</v>
      </c>
      <c r="M1071" s="5">
        <f t="shared" si="97"/>
        <v>96</v>
      </c>
      <c r="N1071" t="str">
        <f t="shared" si="98"/>
        <v>November</v>
      </c>
      <c r="O1071" t="str">
        <f t="shared" si="99"/>
        <v>Wednesday</v>
      </c>
      <c r="P1071">
        <f t="shared" si="96"/>
        <v>9</v>
      </c>
      <c r="Q1071" s="2">
        <f t="shared" si="100"/>
        <v>3</v>
      </c>
      <c r="R1071" s="2">
        <f t="shared" si="101"/>
        <v>11</v>
      </c>
      <c r="S1071">
        <f>SUMIF(Table1[product_category],"Bakery",Table1[Total_bill])</f>
        <v>2951.25</v>
      </c>
    </row>
    <row r="1072" spans="1:19" x14ac:dyDescent="0.3">
      <c r="A1072" s="2">
        <v>11071</v>
      </c>
      <c r="B1072" s="4">
        <v>46702</v>
      </c>
      <c r="C1072" t="s">
        <v>1220</v>
      </c>
      <c r="D1072" t="s">
        <v>18</v>
      </c>
      <c r="E1072" t="s">
        <v>19</v>
      </c>
      <c r="F1072" t="s">
        <v>121</v>
      </c>
      <c r="G1072">
        <v>3</v>
      </c>
      <c r="H1072" s="5">
        <v>3.5</v>
      </c>
      <c r="I1072" t="s">
        <v>36</v>
      </c>
      <c r="J1072" t="s">
        <v>37</v>
      </c>
      <c r="K1072" t="s">
        <v>62</v>
      </c>
      <c r="L1072" t="s">
        <v>2123</v>
      </c>
      <c r="M1072" s="5">
        <f t="shared" si="97"/>
        <v>10.5</v>
      </c>
      <c r="N1072" t="str">
        <f t="shared" si="98"/>
        <v>November</v>
      </c>
      <c r="O1072" t="str">
        <f t="shared" si="99"/>
        <v>Thursday</v>
      </c>
      <c r="P1072">
        <f t="shared" si="96"/>
        <v>9</v>
      </c>
      <c r="Q1072" s="2">
        <f t="shared" si="100"/>
        <v>4</v>
      </c>
      <c r="R1072" s="2">
        <f t="shared" si="101"/>
        <v>11</v>
      </c>
      <c r="S1072">
        <f>SUMIF(Table1[product_category],"Bakery",Table1[Total_bill])</f>
        <v>2951.25</v>
      </c>
    </row>
    <row r="1073" spans="1:19" x14ac:dyDescent="0.3">
      <c r="A1073" s="2">
        <v>11072</v>
      </c>
      <c r="B1073" s="4">
        <v>46703</v>
      </c>
      <c r="C1073" t="s">
        <v>1221</v>
      </c>
      <c r="D1073" t="s">
        <v>25</v>
      </c>
      <c r="E1073" t="s">
        <v>26</v>
      </c>
      <c r="F1073" t="s">
        <v>124</v>
      </c>
      <c r="G1073">
        <v>1</v>
      </c>
      <c r="H1073" s="5">
        <v>5.5</v>
      </c>
      <c r="I1073" t="s">
        <v>72</v>
      </c>
      <c r="J1073" t="s">
        <v>72</v>
      </c>
      <c r="K1073" t="s">
        <v>73</v>
      </c>
      <c r="L1073" t="s">
        <v>2125</v>
      </c>
      <c r="M1073" s="5">
        <f t="shared" si="97"/>
        <v>5.5</v>
      </c>
      <c r="N1073" t="str">
        <f t="shared" si="98"/>
        <v>November</v>
      </c>
      <c r="O1073" t="str">
        <f t="shared" si="99"/>
        <v>Friday</v>
      </c>
      <c r="P1073">
        <f t="shared" si="96"/>
        <v>8</v>
      </c>
      <c r="Q1073" s="2">
        <f t="shared" si="100"/>
        <v>5</v>
      </c>
      <c r="R1073" s="2">
        <f t="shared" si="101"/>
        <v>11</v>
      </c>
      <c r="S1073">
        <f>SUMIF(Table1[product_category],"Bakery",Table1[Total_bill])</f>
        <v>2951.25</v>
      </c>
    </row>
    <row r="1074" spans="1:19" x14ac:dyDescent="0.3">
      <c r="A1074" s="2">
        <v>11073</v>
      </c>
      <c r="B1074" s="4">
        <v>46704</v>
      </c>
      <c r="C1074" t="s">
        <v>1222</v>
      </c>
      <c r="D1074" t="s">
        <v>40</v>
      </c>
      <c r="E1074" t="s">
        <v>41</v>
      </c>
      <c r="F1074" t="s">
        <v>126</v>
      </c>
      <c r="G1074">
        <v>1</v>
      </c>
      <c r="H1074" s="5">
        <v>11</v>
      </c>
      <c r="I1074" t="s">
        <v>98</v>
      </c>
      <c r="J1074" t="s">
        <v>98</v>
      </c>
      <c r="K1074" t="s">
        <v>215</v>
      </c>
      <c r="L1074" t="s">
        <v>2125</v>
      </c>
      <c r="M1074" s="5">
        <f t="shared" si="97"/>
        <v>11</v>
      </c>
      <c r="N1074" t="str">
        <f t="shared" si="98"/>
        <v>November</v>
      </c>
      <c r="O1074" t="str">
        <f t="shared" si="99"/>
        <v>Saturday</v>
      </c>
      <c r="P1074">
        <f t="shared" si="96"/>
        <v>6</v>
      </c>
      <c r="Q1074" s="2">
        <f t="shared" si="100"/>
        <v>6</v>
      </c>
      <c r="R1074" s="2">
        <f t="shared" si="101"/>
        <v>11</v>
      </c>
      <c r="S1074">
        <f>SUMIF(Table1[product_category],"Bakery",Table1[Total_bill])</f>
        <v>2951.25</v>
      </c>
    </row>
    <row r="1075" spans="1:19" x14ac:dyDescent="0.3">
      <c r="A1075" s="2">
        <v>11074</v>
      </c>
      <c r="B1075" s="4">
        <v>46705</v>
      </c>
      <c r="C1075" t="s">
        <v>1223</v>
      </c>
      <c r="D1075" t="s">
        <v>18</v>
      </c>
      <c r="E1075" t="s">
        <v>19</v>
      </c>
      <c r="F1075" t="s">
        <v>128</v>
      </c>
      <c r="G1075">
        <v>2</v>
      </c>
      <c r="H1075" s="5">
        <v>2.5</v>
      </c>
      <c r="I1075" t="s">
        <v>36</v>
      </c>
      <c r="J1075" t="s">
        <v>37</v>
      </c>
      <c r="K1075" t="s">
        <v>276</v>
      </c>
      <c r="L1075" t="s">
        <v>2122</v>
      </c>
      <c r="M1075" s="5">
        <f t="shared" si="97"/>
        <v>5</v>
      </c>
      <c r="N1075" t="str">
        <f t="shared" si="98"/>
        <v>November</v>
      </c>
      <c r="O1075" t="str">
        <f t="shared" si="99"/>
        <v>Sunday</v>
      </c>
      <c r="P1075">
        <f t="shared" si="96"/>
        <v>6</v>
      </c>
      <c r="Q1075" s="2">
        <f t="shared" si="100"/>
        <v>7</v>
      </c>
      <c r="R1075" s="2">
        <f t="shared" si="101"/>
        <v>11</v>
      </c>
      <c r="S1075">
        <f>SUMIF(Table1[product_category],"Bakery",Table1[Total_bill])</f>
        <v>2951.25</v>
      </c>
    </row>
    <row r="1076" spans="1:19" x14ac:dyDescent="0.3">
      <c r="A1076" s="2">
        <v>11075</v>
      </c>
      <c r="B1076" s="4">
        <v>46706</v>
      </c>
      <c r="C1076" t="s">
        <v>1224</v>
      </c>
      <c r="D1076" t="s">
        <v>25</v>
      </c>
      <c r="E1076" t="s">
        <v>26</v>
      </c>
      <c r="F1076" t="s">
        <v>131</v>
      </c>
      <c r="G1076">
        <v>3</v>
      </c>
      <c r="H1076" s="5">
        <v>3.25</v>
      </c>
      <c r="I1076" t="s">
        <v>21</v>
      </c>
      <c r="J1076" t="s">
        <v>81</v>
      </c>
      <c r="K1076" t="s">
        <v>113</v>
      </c>
      <c r="L1076" t="s">
        <v>2125</v>
      </c>
      <c r="M1076" s="5">
        <f t="shared" si="97"/>
        <v>9.75</v>
      </c>
      <c r="N1076" t="str">
        <f t="shared" si="98"/>
        <v>November</v>
      </c>
      <c r="O1076" t="str">
        <f t="shared" si="99"/>
        <v>Monday</v>
      </c>
      <c r="P1076">
        <f t="shared" si="96"/>
        <v>20</v>
      </c>
      <c r="Q1076" s="2">
        <f t="shared" si="100"/>
        <v>1</v>
      </c>
      <c r="R1076" s="2">
        <f t="shared" si="101"/>
        <v>11</v>
      </c>
      <c r="S1076">
        <f>SUMIF(Table1[product_category],"Bakery",Table1[Total_bill])</f>
        <v>2951.25</v>
      </c>
    </row>
    <row r="1077" spans="1:19" x14ac:dyDescent="0.3">
      <c r="A1077" s="2">
        <v>11076</v>
      </c>
      <c r="B1077" s="4">
        <v>46707</v>
      </c>
      <c r="C1077" t="s">
        <v>1225</v>
      </c>
      <c r="D1077" t="s">
        <v>25</v>
      </c>
      <c r="E1077" t="s">
        <v>26</v>
      </c>
      <c r="F1077" t="s">
        <v>133</v>
      </c>
      <c r="G1077">
        <v>3</v>
      </c>
      <c r="H1077" s="5">
        <v>4</v>
      </c>
      <c r="I1077" t="s">
        <v>32</v>
      </c>
      <c r="J1077" t="s">
        <v>55</v>
      </c>
      <c r="K1077" t="s">
        <v>55</v>
      </c>
      <c r="L1077" t="s">
        <v>2123</v>
      </c>
      <c r="M1077" s="5">
        <f t="shared" si="97"/>
        <v>12</v>
      </c>
      <c r="N1077" t="str">
        <f t="shared" si="98"/>
        <v>November</v>
      </c>
      <c r="O1077" t="str">
        <f t="shared" si="99"/>
        <v>Tuesday</v>
      </c>
      <c r="P1077">
        <f t="shared" si="96"/>
        <v>10</v>
      </c>
      <c r="Q1077" s="2">
        <f t="shared" si="100"/>
        <v>2</v>
      </c>
      <c r="R1077" s="2">
        <f t="shared" si="101"/>
        <v>11</v>
      </c>
      <c r="S1077">
        <f>SUMIF(Table1[product_category],"Bakery",Table1[Total_bill])</f>
        <v>2951.25</v>
      </c>
    </row>
    <row r="1078" spans="1:19" x14ac:dyDescent="0.3">
      <c r="A1078" s="2">
        <v>11077</v>
      </c>
      <c r="B1078" s="4">
        <v>46708</v>
      </c>
      <c r="C1078" t="s">
        <v>1226</v>
      </c>
      <c r="D1078" t="s">
        <v>18</v>
      </c>
      <c r="E1078" t="s">
        <v>19</v>
      </c>
      <c r="F1078" t="s">
        <v>135</v>
      </c>
      <c r="G1078">
        <v>2</v>
      </c>
      <c r="H1078" s="5">
        <v>2.5</v>
      </c>
      <c r="I1078" t="s">
        <v>32</v>
      </c>
      <c r="J1078" t="s">
        <v>226</v>
      </c>
      <c r="K1078" t="s">
        <v>227</v>
      </c>
      <c r="L1078" t="s">
        <v>2122</v>
      </c>
      <c r="M1078" s="5">
        <f t="shared" si="97"/>
        <v>5</v>
      </c>
      <c r="N1078" t="str">
        <f t="shared" si="98"/>
        <v>November</v>
      </c>
      <c r="O1078" t="str">
        <f t="shared" si="99"/>
        <v>Wednesday</v>
      </c>
      <c r="P1078">
        <f t="shared" si="96"/>
        <v>10</v>
      </c>
      <c r="Q1078" s="2">
        <f t="shared" si="100"/>
        <v>3</v>
      </c>
      <c r="R1078" s="2">
        <f t="shared" si="101"/>
        <v>11</v>
      </c>
      <c r="S1078">
        <f>SUMIF(Table1[product_category],"Bakery",Table1[Total_bill])</f>
        <v>2951.25</v>
      </c>
    </row>
    <row r="1079" spans="1:19" x14ac:dyDescent="0.3">
      <c r="A1079" s="2">
        <v>11078</v>
      </c>
      <c r="B1079" s="4">
        <v>46709</v>
      </c>
      <c r="C1079" t="s">
        <v>1227</v>
      </c>
      <c r="D1079" t="s">
        <v>18</v>
      </c>
      <c r="E1079" t="s">
        <v>19</v>
      </c>
      <c r="F1079" t="s">
        <v>137</v>
      </c>
      <c r="G1079">
        <v>4</v>
      </c>
      <c r="H1079" s="5">
        <v>5.5</v>
      </c>
      <c r="I1079" t="s">
        <v>72</v>
      </c>
      <c r="J1079" t="s">
        <v>72</v>
      </c>
      <c r="K1079" t="s">
        <v>141</v>
      </c>
      <c r="L1079" t="s">
        <v>2125</v>
      </c>
      <c r="M1079" s="5">
        <f t="shared" si="97"/>
        <v>22</v>
      </c>
      <c r="N1079" t="str">
        <f t="shared" si="98"/>
        <v>November</v>
      </c>
      <c r="O1079" t="str">
        <f t="shared" si="99"/>
        <v>Thursday</v>
      </c>
      <c r="P1079">
        <f t="shared" si="96"/>
        <v>14</v>
      </c>
      <c r="Q1079" s="2">
        <f t="shared" si="100"/>
        <v>4</v>
      </c>
      <c r="R1079" s="2">
        <f t="shared" si="101"/>
        <v>11</v>
      </c>
      <c r="S1079">
        <f>SUMIF(Table1[product_category],"Bakery",Table1[Total_bill])</f>
        <v>2951.25</v>
      </c>
    </row>
    <row r="1080" spans="1:19" x14ac:dyDescent="0.3">
      <c r="A1080" s="2">
        <v>11079</v>
      </c>
      <c r="B1080" s="4">
        <v>46710</v>
      </c>
      <c r="C1080" t="s">
        <v>1228</v>
      </c>
      <c r="D1080" t="s">
        <v>40</v>
      </c>
      <c r="E1080" t="s">
        <v>41</v>
      </c>
      <c r="F1080" t="s">
        <v>140</v>
      </c>
      <c r="G1080">
        <v>3</v>
      </c>
      <c r="H1080" s="5">
        <v>4.75</v>
      </c>
      <c r="I1080" t="s">
        <v>32</v>
      </c>
      <c r="J1080" t="s">
        <v>202</v>
      </c>
      <c r="K1080" t="s">
        <v>202</v>
      </c>
      <c r="L1080" t="s">
        <v>2123</v>
      </c>
      <c r="M1080" s="5">
        <f t="shared" si="97"/>
        <v>14.25</v>
      </c>
      <c r="N1080" t="str">
        <f t="shared" si="98"/>
        <v>November</v>
      </c>
      <c r="O1080" t="str">
        <f t="shared" si="99"/>
        <v>Friday</v>
      </c>
      <c r="P1080">
        <f t="shared" si="96"/>
        <v>8</v>
      </c>
      <c r="Q1080" s="2">
        <f t="shared" si="100"/>
        <v>5</v>
      </c>
      <c r="R1080" s="2">
        <f t="shared" si="101"/>
        <v>11</v>
      </c>
      <c r="S1080">
        <f>SUMIF(Table1[product_category],"Bakery",Table1[Total_bill])</f>
        <v>2951.25</v>
      </c>
    </row>
    <row r="1081" spans="1:19" x14ac:dyDescent="0.3">
      <c r="A1081" s="2">
        <v>11080</v>
      </c>
      <c r="B1081" s="4">
        <v>46711</v>
      </c>
      <c r="C1081" t="s">
        <v>1229</v>
      </c>
      <c r="D1081" t="s">
        <v>40</v>
      </c>
      <c r="E1081" t="s">
        <v>41</v>
      </c>
      <c r="F1081" t="s">
        <v>143</v>
      </c>
      <c r="G1081">
        <v>3</v>
      </c>
      <c r="H1081" s="5">
        <v>4.5</v>
      </c>
      <c r="I1081" t="s">
        <v>32</v>
      </c>
      <c r="J1081" t="s">
        <v>94</v>
      </c>
      <c r="K1081" t="s">
        <v>95</v>
      </c>
      <c r="L1081" t="s">
        <v>2123</v>
      </c>
      <c r="M1081" s="5">
        <f t="shared" si="97"/>
        <v>13.5</v>
      </c>
      <c r="N1081" t="str">
        <f t="shared" si="98"/>
        <v>November</v>
      </c>
      <c r="O1081" t="str">
        <f t="shared" si="99"/>
        <v>Saturday</v>
      </c>
      <c r="P1081">
        <f t="shared" si="96"/>
        <v>19</v>
      </c>
      <c r="Q1081" s="2">
        <f t="shared" si="100"/>
        <v>6</v>
      </c>
      <c r="R1081" s="2">
        <f t="shared" si="101"/>
        <v>11</v>
      </c>
      <c r="S1081">
        <f>SUMIF(Table1[product_category],"Bakery",Table1[Total_bill])</f>
        <v>2951.25</v>
      </c>
    </row>
    <row r="1082" spans="1:19" x14ac:dyDescent="0.3">
      <c r="A1082" s="2">
        <v>11081</v>
      </c>
      <c r="B1082" s="4">
        <v>46712</v>
      </c>
      <c r="C1082" t="s">
        <v>1230</v>
      </c>
      <c r="D1082" t="s">
        <v>40</v>
      </c>
      <c r="E1082" t="s">
        <v>41</v>
      </c>
      <c r="F1082" t="s">
        <v>146</v>
      </c>
      <c r="G1082">
        <v>1</v>
      </c>
      <c r="H1082" s="5">
        <v>8</v>
      </c>
      <c r="I1082" t="s">
        <v>28</v>
      </c>
      <c r="J1082" t="s">
        <v>28</v>
      </c>
      <c r="K1082" t="s">
        <v>76</v>
      </c>
      <c r="L1082" t="s">
        <v>2125</v>
      </c>
      <c r="M1082" s="5">
        <f t="shared" si="97"/>
        <v>8</v>
      </c>
      <c r="N1082" t="str">
        <f t="shared" si="98"/>
        <v>November</v>
      </c>
      <c r="O1082" t="str">
        <f t="shared" si="99"/>
        <v>Sunday</v>
      </c>
      <c r="P1082">
        <f t="shared" si="96"/>
        <v>16</v>
      </c>
      <c r="Q1082" s="2">
        <f t="shared" si="100"/>
        <v>7</v>
      </c>
      <c r="R1082" s="2">
        <f t="shared" si="101"/>
        <v>11</v>
      </c>
      <c r="S1082">
        <f>SUMIF(Table1[product_category],"Bakery",Table1[Total_bill])</f>
        <v>2951.25</v>
      </c>
    </row>
    <row r="1083" spans="1:19" x14ac:dyDescent="0.3">
      <c r="A1083" s="2">
        <v>11082</v>
      </c>
      <c r="B1083" s="4">
        <v>46713</v>
      </c>
      <c r="C1083" t="s">
        <v>558</v>
      </c>
      <c r="D1083" t="s">
        <v>40</v>
      </c>
      <c r="E1083" t="s">
        <v>41</v>
      </c>
      <c r="F1083" t="s">
        <v>148</v>
      </c>
      <c r="G1083">
        <v>1</v>
      </c>
      <c r="H1083" s="5">
        <v>3.5</v>
      </c>
      <c r="I1083" t="s">
        <v>21</v>
      </c>
      <c r="J1083" t="s">
        <v>51</v>
      </c>
      <c r="K1083" t="s">
        <v>52</v>
      </c>
      <c r="L1083" t="s">
        <v>2125</v>
      </c>
      <c r="M1083" s="5">
        <f t="shared" si="97"/>
        <v>3.5</v>
      </c>
      <c r="N1083" t="str">
        <f t="shared" si="98"/>
        <v>November</v>
      </c>
      <c r="O1083" t="str">
        <f t="shared" si="99"/>
        <v>Monday</v>
      </c>
      <c r="P1083">
        <f t="shared" si="96"/>
        <v>7</v>
      </c>
      <c r="Q1083" s="2">
        <f t="shared" si="100"/>
        <v>1</v>
      </c>
      <c r="R1083" s="2">
        <f t="shared" si="101"/>
        <v>11</v>
      </c>
      <c r="S1083">
        <f>SUMIF(Table1[product_category],"Bakery",Table1[Total_bill])</f>
        <v>2951.25</v>
      </c>
    </row>
    <row r="1084" spans="1:19" x14ac:dyDescent="0.3">
      <c r="A1084" s="2">
        <v>11083</v>
      </c>
      <c r="B1084" s="4">
        <v>46714</v>
      </c>
      <c r="C1084" t="s">
        <v>1231</v>
      </c>
      <c r="D1084" t="s">
        <v>25</v>
      </c>
      <c r="E1084" t="s">
        <v>26</v>
      </c>
      <c r="F1084" t="s">
        <v>150</v>
      </c>
      <c r="G1084">
        <v>4</v>
      </c>
      <c r="H1084" s="5">
        <v>2.5</v>
      </c>
      <c r="I1084" t="s">
        <v>21</v>
      </c>
      <c r="J1084" t="s">
        <v>47</v>
      </c>
      <c r="K1084" t="s">
        <v>48</v>
      </c>
      <c r="L1084" t="s">
        <v>2125</v>
      </c>
      <c r="M1084" s="5">
        <f t="shared" si="97"/>
        <v>10</v>
      </c>
      <c r="N1084" t="str">
        <f t="shared" si="98"/>
        <v>November</v>
      </c>
      <c r="O1084" t="str">
        <f t="shared" si="99"/>
        <v>Tuesday</v>
      </c>
      <c r="P1084">
        <f t="shared" si="96"/>
        <v>10</v>
      </c>
      <c r="Q1084" s="2">
        <f t="shared" si="100"/>
        <v>2</v>
      </c>
      <c r="R1084" s="2">
        <f t="shared" si="101"/>
        <v>11</v>
      </c>
      <c r="S1084">
        <f>SUMIF(Table1[product_category],"Bakery",Table1[Total_bill])</f>
        <v>2951.25</v>
      </c>
    </row>
    <row r="1085" spans="1:19" x14ac:dyDescent="0.3">
      <c r="A1085" s="2">
        <v>11084</v>
      </c>
      <c r="B1085" s="4">
        <v>46715</v>
      </c>
      <c r="C1085" t="s">
        <v>1232</v>
      </c>
      <c r="D1085" t="s">
        <v>25</v>
      </c>
      <c r="E1085" t="s">
        <v>26</v>
      </c>
      <c r="F1085" t="s">
        <v>152</v>
      </c>
      <c r="G1085">
        <v>1</v>
      </c>
      <c r="H1085" s="5">
        <v>3.5</v>
      </c>
      <c r="I1085" t="s">
        <v>89</v>
      </c>
      <c r="J1085" t="s">
        <v>261</v>
      </c>
      <c r="K1085" t="s">
        <v>261</v>
      </c>
      <c r="L1085" t="s">
        <v>2122</v>
      </c>
      <c r="M1085" s="5">
        <f t="shared" si="97"/>
        <v>3.5</v>
      </c>
      <c r="N1085" t="str">
        <f t="shared" si="98"/>
        <v>November</v>
      </c>
      <c r="O1085" t="str">
        <f t="shared" si="99"/>
        <v>Wednesday</v>
      </c>
      <c r="P1085">
        <f t="shared" si="96"/>
        <v>17</v>
      </c>
      <c r="Q1085" s="2">
        <f t="shared" si="100"/>
        <v>3</v>
      </c>
      <c r="R1085" s="2">
        <f t="shared" si="101"/>
        <v>11</v>
      </c>
      <c r="S1085">
        <f>SUMIF(Table1[product_category],"Bakery",Table1[Total_bill])</f>
        <v>2951.25</v>
      </c>
    </row>
    <row r="1086" spans="1:19" x14ac:dyDescent="0.3">
      <c r="A1086" s="2">
        <v>11085</v>
      </c>
      <c r="B1086" s="4">
        <v>46716</v>
      </c>
      <c r="C1086" t="s">
        <v>1233</v>
      </c>
      <c r="D1086" t="s">
        <v>40</v>
      </c>
      <c r="E1086" t="s">
        <v>41</v>
      </c>
      <c r="F1086" t="s">
        <v>154</v>
      </c>
      <c r="G1086">
        <v>4</v>
      </c>
      <c r="H1086" s="5">
        <v>3.25</v>
      </c>
      <c r="I1086" t="s">
        <v>32</v>
      </c>
      <c r="J1086" t="s">
        <v>226</v>
      </c>
      <c r="K1086" t="s">
        <v>273</v>
      </c>
      <c r="L1086" t="s">
        <v>2124</v>
      </c>
      <c r="M1086" s="5">
        <f t="shared" si="97"/>
        <v>13</v>
      </c>
      <c r="N1086" t="str">
        <f t="shared" si="98"/>
        <v>November</v>
      </c>
      <c r="O1086" t="str">
        <f t="shared" si="99"/>
        <v>Thursday</v>
      </c>
      <c r="P1086">
        <f t="shared" si="96"/>
        <v>19</v>
      </c>
      <c r="Q1086" s="2">
        <f t="shared" si="100"/>
        <v>4</v>
      </c>
      <c r="R1086" s="2">
        <f t="shared" si="101"/>
        <v>11</v>
      </c>
      <c r="S1086">
        <f>SUMIF(Table1[product_category],"Bakery",Table1[Total_bill])</f>
        <v>2951.25</v>
      </c>
    </row>
    <row r="1087" spans="1:19" x14ac:dyDescent="0.3">
      <c r="A1087" s="2">
        <v>11086</v>
      </c>
      <c r="B1087" s="4">
        <v>46717</v>
      </c>
      <c r="C1087" t="s">
        <v>1234</v>
      </c>
      <c r="D1087" t="s">
        <v>25</v>
      </c>
      <c r="E1087" t="s">
        <v>26</v>
      </c>
      <c r="F1087" t="s">
        <v>156</v>
      </c>
      <c r="G1087">
        <v>4</v>
      </c>
      <c r="H1087" s="5">
        <v>2.25</v>
      </c>
      <c r="I1087" t="s">
        <v>21</v>
      </c>
      <c r="J1087" t="s">
        <v>58</v>
      </c>
      <c r="K1087" t="s">
        <v>59</v>
      </c>
      <c r="L1087" t="s">
        <v>2125</v>
      </c>
      <c r="M1087" s="5">
        <f t="shared" si="97"/>
        <v>9</v>
      </c>
      <c r="N1087" t="str">
        <f t="shared" si="98"/>
        <v>November</v>
      </c>
      <c r="O1087" t="str">
        <f t="shared" si="99"/>
        <v>Friday</v>
      </c>
      <c r="P1087">
        <f t="shared" si="96"/>
        <v>11</v>
      </c>
      <c r="Q1087" s="2">
        <f t="shared" si="100"/>
        <v>5</v>
      </c>
      <c r="R1087" s="2">
        <f t="shared" si="101"/>
        <v>11</v>
      </c>
      <c r="S1087">
        <f>SUMIF(Table1[product_category],"Bakery",Table1[Total_bill])</f>
        <v>2951.25</v>
      </c>
    </row>
    <row r="1088" spans="1:19" x14ac:dyDescent="0.3">
      <c r="A1088" s="2">
        <v>11087</v>
      </c>
      <c r="B1088" s="4">
        <v>46718</v>
      </c>
      <c r="C1088" t="s">
        <v>1235</v>
      </c>
      <c r="D1088" t="s">
        <v>40</v>
      </c>
      <c r="E1088" t="s">
        <v>41</v>
      </c>
      <c r="F1088" t="s">
        <v>158</v>
      </c>
      <c r="G1088">
        <v>3</v>
      </c>
      <c r="H1088" s="5">
        <v>3.25</v>
      </c>
      <c r="I1088" t="s">
        <v>36</v>
      </c>
      <c r="J1088" t="s">
        <v>211</v>
      </c>
      <c r="K1088" t="s">
        <v>239</v>
      </c>
      <c r="L1088" t="s">
        <v>2122</v>
      </c>
      <c r="M1088" s="5">
        <f t="shared" si="97"/>
        <v>9.75</v>
      </c>
      <c r="N1088" t="str">
        <f t="shared" si="98"/>
        <v>November</v>
      </c>
      <c r="O1088" t="str">
        <f t="shared" si="99"/>
        <v>Saturday</v>
      </c>
      <c r="P1088">
        <f t="shared" si="96"/>
        <v>13</v>
      </c>
      <c r="Q1088" s="2">
        <f t="shared" si="100"/>
        <v>6</v>
      </c>
      <c r="R1088" s="2">
        <f t="shared" si="101"/>
        <v>11</v>
      </c>
      <c r="S1088">
        <f>SUMIF(Table1[product_category],"Bakery",Table1[Total_bill])</f>
        <v>2951.25</v>
      </c>
    </row>
    <row r="1089" spans="1:19" x14ac:dyDescent="0.3">
      <c r="A1089" s="2">
        <v>11088</v>
      </c>
      <c r="B1089" s="4">
        <v>46719</v>
      </c>
      <c r="C1089" t="s">
        <v>1236</v>
      </c>
      <c r="D1089" t="s">
        <v>25</v>
      </c>
      <c r="E1089" t="s">
        <v>26</v>
      </c>
      <c r="F1089" t="s">
        <v>160</v>
      </c>
      <c r="G1089">
        <v>1</v>
      </c>
      <c r="H1089" s="5">
        <v>14</v>
      </c>
      <c r="I1089" t="s">
        <v>98</v>
      </c>
      <c r="J1089" t="s">
        <v>98</v>
      </c>
      <c r="K1089" t="s">
        <v>129</v>
      </c>
      <c r="L1089" t="s">
        <v>2125</v>
      </c>
      <c r="M1089" s="5">
        <f t="shared" si="97"/>
        <v>14</v>
      </c>
      <c r="N1089" t="str">
        <f t="shared" si="98"/>
        <v>November</v>
      </c>
      <c r="O1089" t="str">
        <f t="shared" si="99"/>
        <v>Sunday</v>
      </c>
      <c r="P1089">
        <f t="shared" si="96"/>
        <v>8</v>
      </c>
      <c r="Q1089" s="2">
        <f t="shared" si="100"/>
        <v>7</v>
      </c>
      <c r="R1089" s="2">
        <f t="shared" si="101"/>
        <v>11</v>
      </c>
      <c r="S1089">
        <f>SUMIF(Table1[product_category],"Bakery",Table1[Total_bill])</f>
        <v>2951.25</v>
      </c>
    </row>
    <row r="1090" spans="1:19" x14ac:dyDescent="0.3">
      <c r="A1090" s="2">
        <v>11089</v>
      </c>
      <c r="B1090" s="4">
        <v>46720</v>
      </c>
      <c r="C1090" t="s">
        <v>1237</v>
      </c>
      <c r="D1090" t="s">
        <v>25</v>
      </c>
      <c r="E1090" t="s">
        <v>26</v>
      </c>
      <c r="F1090" t="s">
        <v>162</v>
      </c>
      <c r="G1090">
        <v>4</v>
      </c>
      <c r="H1090" s="5">
        <v>3</v>
      </c>
      <c r="I1090" t="s">
        <v>36</v>
      </c>
      <c r="J1090" t="s">
        <v>37</v>
      </c>
      <c r="K1090" t="s">
        <v>38</v>
      </c>
      <c r="L1090" t="s">
        <v>2124</v>
      </c>
      <c r="M1090" s="5">
        <f t="shared" si="97"/>
        <v>12</v>
      </c>
      <c r="N1090" t="str">
        <f t="shared" si="98"/>
        <v>November</v>
      </c>
      <c r="O1090" t="str">
        <f t="shared" si="99"/>
        <v>Monday</v>
      </c>
      <c r="P1090">
        <f t="shared" ref="P1090:P1153" si="102">HOUR(TIMEVALUE(C1090))</f>
        <v>20</v>
      </c>
      <c r="Q1090" s="2">
        <f t="shared" si="100"/>
        <v>1</v>
      </c>
      <c r="R1090" s="2">
        <f t="shared" si="101"/>
        <v>11</v>
      </c>
      <c r="S1090">
        <f>SUMIF(Table1[product_category],"Bakery",Table1[Total_bill])</f>
        <v>2951.25</v>
      </c>
    </row>
    <row r="1091" spans="1:19" x14ac:dyDescent="0.3">
      <c r="A1091" s="2">
        <v>11090</v>
      </c>
      <c r="B1091" s="4">
        <v>46721</v>
      </c>
      <c r="C1091" t="s">
        <v>1238</v>
      </c>
      <c r="D1091" t="s">
        <v>40</v>
      </c>
      <c r="E1091" t="s">
        <v>41</v>
      </c>
      <c r="F1091" t="s">
        <v>164</v>
      </c>
      <c r="G1091">
        <v>2</v>
      </c>
      <c r="H1091" s="5">
        <v>4.25</v>
      </c>
      <c r="I1091" t="s">
        <v>32</v>
      </c>
      <c r="J1091" t="s">
        <v>202</v>
      </c>
      <c r="K1091" t="s">
        <v>202</v>
      </c>
      <c r="L1091" t="s">
        <v>2124</v>
      </c>
      <c r="M1091" s="5">
        <f t="shared" ref="M1091:M1154" si="103">G1091*H1091</f>
        <v>8.5</v>
      </c>
      <c r="N1091" t="str">
        <f t="shared" ref="N1091:N1154" si="104">TEXT(B1091,"mmmm")</f>
        <v>November</v>
      </c>
      <c r="O1091" t="str">
        <f t="shared" ref="O1091:O1154" si="105">TEXT(B1091,"dddd")</f>
        <v>Tuesday</v>
      </c>
      <c r="P1091">
        <f t="shared" si="102"/>
        <v>8</v>
      </c>
      <c r="Q1091" s="2">
        <f t="shared" ref="Q1091:Q1154" si="106">WEEKDAY(B1091,2)</f>
        <v>2</v>
      </c>
      <c r="R1091" s="2">
        <f t="shared" ref="R1091:R1154" si="107">MONTH(B1091)</f>
        <v>11</v>
      </c>
      <c r="S1091">
        <f>SUMIF(Table1[product_category],"Bakery",Table1[Total_bill])</f>
        <v>2951.25</v>
      </c>
    </row>
    <row r="1092" spans="1:19" x14ac:dyDescent="0.3">
      <c r="A1092" s="2">
        <v>11091</v>
      </c>
      <c r="B1092" s="4">
        <v>46722</v>
      </c>
      <c r="C1092" t="s">
        <v>1239</v>
      </c>
      <c r="D1092" t="s">
        <v>40</v>
      </c>
      <c r="E1092" t="s">
        <v>41</v>
      </c>
      <c r="F1092" t="s">
        <v>166</v>
      </c>
      <c r="G1092">
        <v>1</v>
      </c>
      <c r="H1092" s="5">
        <v>4.5</v>
      </c>
      <c r="I1092" t="s">
        <v>89</v>
      </c>
      <c r="J1092" t="s">
        <v>261</v>
      </c>
      <c r="K1092" t="s">
        <v>261</v>
      </c>
      <c r="L1092" t="s">
        <v>2123</v>
      </c>
      <c r="M1092" s="5">
        <f t="shared" si="103"/>
        <v>4.5</v>
      </c>
      <c r="N1092" t="str">
        <f t="shared" si="104"/>
        <v>December</v>
      </c>
      <c r="O1092" t="str">
        <f t="shared" si="105"/>
        <v>Wednesday</v>
      </c>
      <c r="P1092">
        <f t="shared" si="102"/>
        <v>19</v>
      </c>
      <c r="Q1092" s="2">
        <f t="shared" si="106"/>
        <v>3</v>
      </c>
      <c r="R1092" s="2">
        <f t="shared" si="107"/>
        <v>12</v>
      </c>
      <c r="S1092">
        <f>SUMIF(Table1[product_category],"Bakery",Table1[Total_bill])</f>
        <v>2951.25</v>
      </c>
    </row>
    <row r="1093" spans="1:19" x14ac:dyDescent="0.3">
      <c r="A1093" s="2">
        <v>11092</v>
      </c>
      <c r="B1093" s="4">
        <v>46723</v>
      </c>
      <c r="C1093" t="s">
        <v>1240</v>
      </c>
      <c r="D1093" t="s">
        <v>25</v>
      </c>
      <c r="E1093" t="s">
        <v>26</v>
      </c>
      <c r="F1093" t="s">
        <v>168</v>
      </c>
      <c r="G1093">
        <v>4</v>
      </c>
      <c r="H1093" s="5">
        <v>4</v>
      </c>
      <c r="I1093" t="s">
        <v>32</v>
      </c>
      <c r="J1093" t="s">
        <v>33</v>
      </c>
      <c r="K1093" t="s">
        <v>33</v>
      </c>
      <c r="L1093" t="s">
        <v>2124</v>
      </c>
      <c r="M1093" s="5">
        <f t="shared" si="103"/>
        <v>16</v>
      </c>
      <c r="N1093" t="str">
        <f t="shared" si="104"/>
        <v>December</v>
      </c>
      <c r="O1093" t="str">
        <f t="shared" si="105"/>
        <v>Thursday</v>
      </c>
      <c r="P1093">
        <f t="shared" si="102"/>
        <v>14</v>
      </c>
      <c r="Q1093" s="2">
        <f t="shared" si="106"/>
        <v>4</v>
      </c>
      <c r="R1093" s="2">
        <f t="shared" si="107"/>
        <v>12</v>
      </c>
      <c r="S1093">
        <f>SUMIF(Table1[product_category],"Bakery",Table1[Total_bill])</f>
        <v>2951.25</v>
      </c>
    </row>
    <row r="1094" spans="1:19" x14ac:dyDescent="0.3">
      <c r="A1094" s="2">
        <v>11093</v>
      </c>
      <c r="B1094" s="4">
        <v>46724</v>
      </c>
      <c r="C1094" t="s">
        <v>1241</v>
      </c>
      <c r="D1094" t="s">
        <v>18</v>
      </c>
      <c r="E1094" t="s">
        <v>19</v>
      </c>
      <c r="F1094" t="s">
        <v>170</v>
      </c>
      <c r="G1094">
        <v>1</v>
      </c>
      <c r="H1094" s="5">
        <v>3.25</v>
      </c>
      <c r="I1094" t="s">
        <v>21</v>
      </c>
      <c r="J1094" t="s">
        <v>81</v>
      </c>
      <c r="K1094" t="s">
        <v>113</v>
      </c>
      <c r="L1094" t="s">
        <v>2125</v>
      </c>
      <c r="M1094" s="5">
        <f t="shared" si="103"/>
        <v>3.25</v>
      </c>
      <c r="N1094" t="str">
        <f t="shared" si="104"/>
        <v>December</v>
      </c>
      <c r="O1094" t="str">
        <f t="shared" si="105"/>
        <v>Friday</v>
      </c>
      <c r="P1094">
        <f t="shared" si="102"/>
        <v>13</v>
      </c>
      <c r="Q1094" s="2">
        <f t="shared" si="106"/>
        <v>5</v>
      </c>
      <c r="R1094" s="2">
        <f t="shared" si="107"/>
        <v>12</v>
      </c>
      <c r="S1094">
        <f>SUMIF(Table1[product_category],"Bakery",Table1[Total_bill])</f>
        <v>2951.25</v>
      </c>
    </row>
    <row r="1095" spans="1:19" x14ac:dyDescent="0.3">
      <c r="A1095" s="2">
        <v>11094</v>
      </c>
      <c r="B1095" s="4">
        <v>46725</v>
      </c>
      <c r="C1095" t="s">
        <v>1242</v>
      </c>
      <c r="D1095" t="s">
        <v>18</v>
      </c>
      <c r="E1095" t="s">
        <v>19</v>
      </c>
      <c r="F1095" t="s">
        <v>172</v>
      </c>
      <c r="G1095">
        <v>2</v>
      </c>
      <c r="H1095" s="5">
        <v>3</v>
      </c>
      <c r="I1095" t="s">
        <v>36</v>
      </c>
      <c r="J1095" t="s">
        <v>37</v>
      </c>
      <c r="K1095" t="s">
        <v>276</v>
      </c>
      <c r="L1095" t="s">
        <v>2124</v>
      </c>
      <c r="M1095" s="5">
        <f t="shared" si="103"/>
        <v>6</v>
      </c>
      <c r="N1095" t="str">
        <f t="shared" si="104"/>
        <v>December</v>
      </c>
      <c r="O1095" t="str">
        <f t="shared" si="105"/>
        <v>Saturday</v>
      </c>
      <c r="P1095">
        <f t="shared" si="102"/>
        <v>12</v>
      </c>
      <c r="Q1095" s="2">
        <f t="shared" si="106"/>
        <v>6</v>
      </c>
      <c r="R1095" s="2">
        <f t="shared" si="107"/>
        <v>12</v>
      </c>
      <c r="S1095">
        <f>SUMIF(Table1[product_category],"Bakery",Table1[Total_bill])</f>
        <v>2951.25</v>
      </c>
    </row>
    <row r="1096" spans="1:19" x14ac:dyDescent="0.3">
      <c r="A1096" s="2">
        <v>11095</v>
      </c>
      <c r="B1096" s="4">
        <v>46726</v>
      </c>
      <c r="C1096" t="s">
        <v>1243</v>
      </c>
      <c r="D1096" t="s">
        <v>18</v>
      </c>
      <c r="E1096" t="s">
        <v>19</v>
      </c>
      <c r="F1096" t="s">
        <v>174</v>
      </c>
      <c r="G1096">
        <v>4</v>
      </c>
      <c r="H1096" s="5">
        <v>3.25</v>
      </c>
      <c r="I1096" t="s">
        <v>21</v>
      </c>
      <c r="J1096" t="s">
        <v>81</v>
      </c>
      <c r="K1096" t="s">
        <v>82</v>
      </c>
      <c r="L1096" t="s">
        <v>2125</v>
      </c>
      <c r="M1096" s="5">
        <f t="shared" si="103"/>
        <v>13</v>
      </c>
      <c r="N1096" t="str">
        <f t="shared" si="104"/>
        <v>December</v>
      </c>
      <c r="O1096" t="str">
        <f t="shared" si="105"/>
        <v>Sunday</v>
      </c>
      <c r="P1096">
        <f t="shared" si="102"/>
        <v>8</v>
      </c>
      <c r="Q1096" s="2">
        <f t="shared" si="106"/>
        <v>7</v>
      </c>
      <c r="R1096" s="2">
        <f t="shared" si="107"/>
        <v>12</v>
      </c>
      <c r="S1096">
        <f>SUMIF(Table1[product_category],"Bakery",Table1[Total_bill])</f>
        <v>2951.25</v>
      </c>
    </row>
    <row r="1097" spans="1:19" x14ac:dyDescent="0.3">
      <c r="A1097" s="2">
        <v>11096</v>
      </c>
      <c r="B1097" s="4">
        <v>46727</v>
      </c>
      <c r="C1097" t="s">
        <v>1244</v>
      </c>
      <c r="D1097" t="s">
        <v>25</v>
      </c>
      <c r="E1097" t="s">
        <v>26</v>
      </c>
      <c r="F1097" t="s">
        <v>176</v>
      </c>
      <c r="G1097">
        <v>1</v>
      </c>
      <c r="H1097" s="5">
        <v>3.75</v>
      </c>
      <c r="I1097" t="s">
        <v>36</v>
      </c>
      <c r="J1097" t="s">
        <v>211</v>
      </c>
      <c r="K1097" t="s">
        <v>212</v>
      </c>
      <c r="L1097" t="s">
        <v>2124</v>
      </c>
      <c r="M1097" s="5">
        <f t="shared" si="103"/>
        <v>3.75</v>
      </c>
      <c r="N1097" t="str">
        <f t="shared" si="104"/>
        <v>December</v>
      </c>
      <c r="O1097" t="str">
        <f t="shared" si="105"/>
        <v>Monday</v>
      </c>
      <c r="P1097">
        <f t="shared" si="102"/>
        <v>8</v>
      </c>
      <c r="Q1097" s="2">
        <f t="shared" si="106"/>
        <v>1</v>
      </c>
      <c r="R1097" s="2">
        <f t="shared" si="107"/>
        <v>12</v>
      </c>
      <c r="S1097">
        <f>SUMIF(Table1[product_category],"Bakery",Table1[Total_bill])</f>
        <v>2951.25</v>
      </c>
    </row>
    <row r="1098" spans="1:19" x14ac:dyDescent="0.3">
      <c r="A1098" s="2">
        <v>11097</v>
      </c>
      <c r="B1098" s="4">
        <v>46728</v>
      </c>
      <c r="C1098" t="s">
        <v>1245</v>
      </c>
      <c r="D1098" t="s">
        <v>18</v>
      </c>
      <c r="E1098" t="s">
        <v>19</v>
      </c>
      <c r="F1098" t="s">
        <v>178</v>
      </c>
      <c r="G1098">
        <v>3</v>
      </c>
      <c r="H1098" s="5">
        <v>2.75</v>
      </c>
      <c r="I1098" t="s">
        <v>32</v>
      </c>
      <c r="J1098" t="s">
        <v>144</v>
      </c>
      <c r="K1098" t="s">
        <v>144</v>
      </c>
      <c r="L1098" t="s">
        <v>2122</v>
      </c>
      <c r="M1098" s="5">
        <f t="shared" si="103"/>
        <v>8.25</v>
      </c>
      <c r="N1098" t="str">
        <f t="shared" si="104"/>
        <v>December</v>
      </c>
      <c r="O1098" t="str">
        <f t="shared" si="105"/>
        <v>Tuesday</v>
      </c>
      <c r="P1098">
        <f t="shared" si="102"/>
        <v>8</v>
      </c>
      <c r="Q1098" s="2">
        <f t="shared" si="106"/>
        <v>2</v>
      </c>
      <c r="R1098" s="2">
        <f t="shared" si="107"/>
        <v>12</v>
      </c>
      <c r="S1098">
        <f>SUMIF(Table1[product_category],"Bakery",Table1[Total_bill])</f>
        <v>2951.25</v>
      </c>
    </row>
    <row r="1099" spans="1:19" x14ac:dyDescent="0.3">
      <c r="A1099" s="2">
        <v>11098</v>
      </c>
      <c r="B1099" s="4">
        <v>46729</v>
      </c>
      <c r="C1099" t="s">
        <v>1246</v>
      </c>
      <c r="D1099" t="s">
        <v>25</v>
      </c>
      <c r="E1099" t="s">
        <v>26</v>
      </c>
      <c r="F1099" t="s">
        <v>180</v>
      </c>
      <c r="G1099">
        <v>2</v>
      </c>
      <c r="H1099" s="5">
        <v>3</v>
      </c>
      <c r="I1099" t="s">
        <v>21</v>
      </c>
      <c r="J1099" t="s">
        <v>181</v>
      </c>
      <c r="K1099" t="s">
        <v>182</v>
      </c>
      <c r="L1099" t="s">
        <v>2125</v>
      </c>
      <c r="M1099" s="5">
        <f t="shared" si="103"/>
        <v>6</v>
      </c>
      <c r="N1099" t="str">
        <f t="shared" si="104"/>
        <v>December</v>
      </c>
      <c r="O1099" t="str">
        <f t="shared" si="105"/>
        <v>Wednesday</v>
      </c>
      <c r="P1099">
        <f t="shared" si="102"/>
        <v>8</v>
      </c>
      <c r="Q1099" s="2">
        <f t="shared" si="106"/>
        <v>3</v>
      </c>
      <c r="R1099" s="2">
        <f t="shared" si="107"/>
        <v>12</v>
      </c>
      <c r="S1099">
        <f>SUMIF(Table1[product_category],"Bakery",Table1[Total_bill])</f>
        <v>2951.25</v>
      </c>
    </row>
    <row r="1100" spans="1:19" x14ac:dyDescent="0.3">
      <c r="A1100" s="2">
        <v>11099</v>
      </c>
      <c r="B1100" s="4">
        <v>46730</v>
      </c>
      <c r="C1100" t="s">
        <v>1247</v>
      </c>
      <c r="D1100" t="s">
        <v>18</v>
      </c>
      <c r="E1100" t="s">
        <v>19</v>
      </c>
      <c r="F1100" t="s">
        <v>184</v>
      </c>
      <c r="G1100">
        <v>4</v>
      </c>
      <c r="H1100" s="5">
        <v>2.5</v>
      </c>
      <c r="I1100" t="s">
        <v>21</v>
      </c>
      <c r="J1100" t="s">
        <v>47</v>
      </c>
      <c r="K1100" t="s">
        <v>48</v>
      </c>
      <c r="L1100" t="s">
        <v>2125</v>
      </c>
      <c r="M1100" s="5">
        <f t="shared" si="103"/>
        <v>10</v>
      </c>
      <c r="N1100" t="str">
        <f t="shared" si="104"/>
        <v>December</v>
      </c>
      <c r="O1100" t="str">
        <f t="shared" si="105"/>
        <v>Thursday</v>
      </c>
      <c r="P1100">
        <f t="shared" si="102"/>
        <v>15</v>
      </c>
      <c r="Q1100" s="2">
        <f t="shared" si="106"/>
        <v>4</v>
      </c>
      <c r="R1100" s="2">
        <f t="shared" si="107"/>
        <v>12</v>
      </c>
      <c r="S1100">
        <f>SUMIF(Table1[product_category],"Bakery",Table1[Total_bill])</f>
        <v>2951.25</v>
      </c>
    </row>
    <row r="1101" spans="1:19" x14ac:dyDescent="0.3">
      <c r="A1101" s="2">
        <v>11100</v>
      </c>
      <c r="B1101" s="4">
        <v>46731</v>
      </c>
      <c r="C1101" t="s">
        <v>1248</v>
      </c>
      <c r="D1101" t="s">
        <v>40</v>
      </c>
      <c r="E1101" t="s">
        <v>41</v>
      </c>
      <c r="F1101" t="s">
        <v>186</v>
      </c>
      <c r="G1101">
        <v>4</v>
      </c>
      <c r="H1101" s="5">
        <v>3.5</v>
      </c>
      <c r="I1101" t="s">
        <v>32</v>
      </c>
      <c r="J1101" t="s">
        <v>94</v>
      </c>
      <c r="K1101" t="s">
        <v>95</v>
      </c>
      <c r="L1101" t="s">
        <v>2122</v>
      </c>
      <c r="M1101" s="5">
        <f t="shared" si="103"/>
        <v>14</v>
      </c>
      <c r="N1101" t="str">
        <f t="shared" si="104"/>
        <v>December</v>
      </c>
      <c r="O1101" t="str">
        <f t="shared" si="105"/>
        <v>Friday</v>
      </c>
      <c r="P1101">
        <f t="shared" si="102"/>
        <v>10</v>
      </c>
      <c r="Q1101" s="2">
        <f t="shared" si="106"/>
        <v>5</v>
      </c>
      <c r="R1101" s="2">
        <f t="shared" si="107"/>
        <v>12</v>
      </c>
      <c r="S1101">
        <f>SUMIF(Table1[product_category],"Bakery",Table1[Total_bill])</f>
        <v>2951.25</v>
      </c>
    </row>
    <row r="1102" spans="1:19" x14ac:dyDescent="0.3">
      <c r="A1102" s="2">
        <v>11101</v>
      </c>
      <c r="B1102" s="4">
        <v>46732</v>
      </c>
      <c r="C1102" t="s">
        <v>1249</v>
      </c>
      <c r="D1102" t="s">
        <v>40</v>
      </c>
      <c r="E1102" t="s">
        <v>41</v>
      </c>
      <c r="F1102" t="s">
        <v>188</v>
      </c>
      <c r="G1102">
        <v>4</v>
      </c>
      <c r="H1102" s="5">
        <v>4.25</v>
      </c>
      <c r="I1102" t="s">
        <v>36</v>
      </c>
      <c r="J1102" t="s">
        <v>211</v>
      </c>
      <c r="K1102" t="s">
        <v>239</v>
      </c>
      <c r="L1102" t="s">
        <v>2123</v>
      </c>
      <c r="M1102" s="5">
        <f t="shared" si="103"/>
        <v>17</v>
      </c>
      <c r="N1102" t="str">
        <f t="shared" si="104"/>
        <v>December</v>
      </c>
      <c r="O1102" t="str">
        <f t="shared" si="105"/>
        <v>Saturday</v>
      </c>
      <c r="P1102">
        <f t="shared" si="102"/>
        <v>6</v>
      </c>
      <c r="Q1102" s="2">
        <f t="shared" si="106"/>
        <v>6</v>
      </c>
      <c r="R1102" s="2">
        <f t="shared" si="107"/>
        <v>12</v>
      </c>
      <c r="S1102">
        <f>SUMIF(Table1[product_category],"Bakery",Table1[Total_bill])</f>
        <v>2951.25</v>
      </c>
    </row>
    <row r="1103" spans="1:19" x14ac:dyDescent="0.3">
      <c r="A1103" s="2">
        <v>11102</v>
      </c>
      <c r="B1103" s="4">
        <v>46733</v>
      </c>
      <c r="C1103" t="s">
        <v>1250</v>
      </c>
      <c r="D1103" t="s">
        <v>40</v>
      </c>
      <c r="E1103" t="s">
        <v>41</v>
      </c>
      <c r="F1103" t="s">
        <v>190</v>
      </c>
      <c r="G1103">
        <v>1</v>
      </c>
      <c r="H1103" s="5">
        <v>3.5</v>
      </c>
      <c r="I1103" t="s">
        <v>36</v>
      </c>
      <c r="J1103" t="s">
        <v>37</v>
      </c>
      <c r="K1103" t="s">
        <v>38</v>
      </c>
      <c r="L1103" t="s">
        <v>2123</v>
      </c>
      <c r="M1103" s="5">
        <f t="shared" si="103"/>
        <v>3.5</v>
      </c>
      <c r="N1103" t="str">
        <f t="shared" si="104"/>
        <v>December</v>
      </c>
      <c r="O1103" t="str">
        <f t="shared" si="105"/>
        <v>Sunday</v>
      </c>
      <c r="P1103">
        <f t="shared" si="102"/>
        <v>20</v>
      </c>
      <c r="Q1103" s="2">
        <f t="shared" si="106"/>
        <v>7</v>
      </c>
      <c r="R1103" s="2">
        <f t="shared" si="107"/>
        <v>12</v>
      </c>
      <c r="S1103">
        <f>SUMIF(Table1[product_category],"Bakery",Table1[Total_bill])</f>
        <v>2951.25</v>
      </c>
    </row>
    <row r="1104" spans="1:19" x14ac:dyDescent="0.3">
      <c r="A1104" s="2">
        <v>11103</v>
      </c>
      <c r="B1104" s="4">
        <v>46734</v>
      </c>
      <c r="C1104" t="s">
        <v>1251</v>
      </c>
      <c r="D1104" t="s">
        <v>25</v>
      </c>
      <c r="E1104" t="s">
        <v>26</v>
      </c>
      <c r="F1104" t="s">
        <v>192</v>
      </c>
      <c r="G1104">
        <v>1</v>
      </c>
      <c r="H1104" s="5">
        <v>5.5</v>
      </c>
      <c r="I1104" t="s">
        <v>72</v>
      </c>
      <c r="J1104" t="s">
        <v>72</v>
      </c>
      <c r="K1104" t="s">
        <v>73</v>
      </c>
      <c r="L1104" t="s">
        <v>2125</v>
      </c>
      <c r="M1104" s="5">
        <f t="shared" si="103"/>
        <v>5.5</v>
      </c>
      <c r="N1104" t="str">
        <f t="shared" si="104"/>
        <v>December</v>
      </c>
      <c r="O1104" t="str">
        <f t="shared" si="105"/>
        <v>Monday</v>
      </c>
      <c r="P1104">
        <f t="shared" si="102"/>
        <v>17</v>
      </c>
      <c r="Q1104" s="2">
        <f t="shared" si="106"/>
        <v>1</v>
      </c>
      <c r="R1104" s="2">
        <f t="shared" si="107"/>
        <v>12</v>
      </c>
      <c r="S1104">
        <f>SUMIF(Table1[product_category],"Bakery",Table1[Total_bill])</f>
        <v>2951.25</v>
      </c>
    </row>
    <row r="1105" spans="1:19" x14ac:dyDescent="0.3">
      <c r="A1105" s="2">
        <v>11104</v>
      </c>
      <c r="B1105" s="4">
        <v>46735</v>
      </c>
      <c r="C1105" t="s">
        <v>1252</v>
      </c>
      <c r="D1105" t="s">
        <v>18</v>
      </c>
      <c r="E1105" t="s">
        <v>19</v>
      </c>
      <c r="F1105" t="s">
        <v>195</v>
      </c>
      <c r="G1105">
        <v>4</v>
      </c>
      <c r="H1105" s="5">
        <v>5.5</v>
      </c>
      <c r="I1105" t="s">
        <v>72</v>
      </c>
      <c r="J1105" t="s">
        <v>72</v>
      </c>
      <c r="K1105" t="s">
        <v>73</v>
      </c>
      <c r="L1105" t="s">
        <v>2125</v>
      </c>
      <c r="M1105" s="5">
        <f t="shared" si="103"/>
        <v>22</v>
      </c>
      <c r="N1105" t="str">
        <f t="shared" si="104"/>
        <v>December</v>
      </c>
      <c r="O1105" t="str">
        <f t="shared" si="105"/>
        <v>Tuesday</v>
      </c>
      <c r="P1105">
        <f t="shared" si="102"/>
        <v>18</v>
      </c>
      <c r="Q1105" s="2">
        <f t="shared" si="106"/>
        <v>2</v>
      </c>
      <c r="R1105" s="2">
        <f t="shared" si="107"/>
        <v>12</v>
      </c>
      <c r="S1105">
        <f>SUMIF(Table1[product_category],"Bakery",Table1[Total_bill])</f>
        <v>2951.25</v>
      </c>
    </row>
    <row r="1106" spans="1:19" x14ac:dyDescent="0.3">
      <c r="A1106" s="2">
        <v>11105</v>
      </c>
      <c r="B1106" s="4">
        <v>46736</v>
      </c>
      <c r="C1106" t="s">
        <v>1253</v>
      </c>
      <c r="D1106" t="s">
        <v>18</v>
      </c>
      <c r="E1106" t="s">
        <v>19</v>
      </c>
      <c r="F1106" t="s">
        <v>197</v>
      </c>
      <c r="G1106">
        <v>4</v>
      </c>
      <c r="H1106" s="5">
        <v>4.5</v>
      </c>
      <c r="I1106" t="s">
        <v>36</v>
      </c>
      <c r="J1106" t="s">
        <v>110</v>
      </c>
      <c r="K1106" t="s">
        <v>110</v>
      </c>
      <c r="L1106" t="s">
        <v>2124</v>
      </c>
      <c r="M1106" s="5">
        <f t="shared" si="103"/>
        <v>18</v>
      </c>
      <c r="N1106" t="str">
        <f t="shared" si="104"/>
        <v>December</v>
      </c>
      <c r="O1106" t="str">
        <f t="shared" si="105"/>
        <v>Wednesday</v>
      </c>
      <c r="P1106">
        <f t="shared" si="102"/>
        <v>20</v>
      </c>
      <c r="Q1106" s="2">
        <f t="shared" si="106"/>
        <v>3</v>
      </c>
      <c r="R1106" s="2">
        <f t="shared" si="107"/>
        <v>12</v>
      </c>
      <c r="S1106">
        <f>SUMIF(Table1[product_category],"Bakery",Table1[Total_bill])</f>
        <v>2951.25</v>
      </c>
    </row>
    <row r="1107" spans="1:19" x14ac:dyDescent="0.3">
      <c r="A1107" s="2">
        <v>11106</v>
      </c>
      <c r="B1107" s="4">
        <v>46737</v>
      </c>
      <c r="C1107" t="s">
        <v>1254</v>
      </c>
      <c r="D1107" t="s">
        <v>18</v>
      </c>
      <c r="E1107" t="s">
        <v>19</v>
      </c>
      <c r="F1107" t="s">
        <v>199</v>
      </c>
      <c r="G1107">
        <v>3</v>
      </c>
      <c r="H1107" s="5">
        <v>2.5</v>
      </c>
      <c r="I1107" t="s">
        <v>21</v>
      </c>
      <c r="J1107" t="s">
        <v>47</v>
      </c>
      <c r="K1107" t="s">
        <v>48</v>
      </c>
      <c r="L1107" t="s">
        <v>2125</v>
      </c>
      <c r="M1107" s="5">
        <f t="shared" si="103"/>
        <v>7.5</v>
      </c>
      <c r="N1107" t="str">
        <f t="shared" si="104"/>
        <v>December</v>
      </c>
      <c r="O1107" t="str">
        <f t="shared" si="105"/>
        <v>Thursday</v>
      </c>
      <c r="P1107">
        <f t="shared" si="102"/>
        <v>8</v>
      </c>
      <c r="Q1107" s="2">
        <f t="shared" si="106"/>
        <v>4</v>
      </c>
      <c r="R1107" s="2">
        <f t="shared" si="107"/>
        <v>12</v>
      </c>
      <c r="S1107">
        <f>SUMIF(Table1[product_category],"Bakery",Table1[Total_bill])</f>
        <v>2951.25</v>
      </c>
    </row>
    <row r="1108" spans="1:19" x14ac:dyDescent="0.3">
      <c r="A1108" s="2">
        <v>11107</v>
      </c>
      <c r="B1108" s="4">
        <v>46738</v>
      </c>
      <c r="C1108" t="s">
        <v>1255</v>
      </c>
      <c r="D1108" t="s">
        <v>25</v>
      </c>
      <c r="E1108" t="s">
        <v>26</v>
      </c>
      <c r="F1108" t="s">
        <v>201</v>
      </c>
      <c r="G1108">
        <v>1</v>
      </c>
      <c r="H1108" s="5">
        <v>5.5</v>
      </c>
      <c r="I1108" t="s">
        <v>72</v>
      </c>
      <c r="J1108" t="s">
        <v>72</v>
      </c>
      <c r="K1108" t="s">
        <v>141</v>
      </c>
      <c r="L1108" t="s">
        <v>2125</v>
      </c>
      <c r="M1108" s="5">
        <f t="shared" si="103"/>
        <v>5.5</v>
      </c>
      <c r="N1108" t="str">
        <f t="shared" si="104"/>
        <v>December</v>
      </c>
      <c r="O1108" t="str">
        <f t="shared" si="105"/>
        <v>Friday</v>
      </c>
      <c r="P1108">
        <f t="shared" si="102"/>
        <v>10</v>
      </c>
      <c r="Q1108" s="2">
        <f t="shared" si="106"/>
        <v>5</v>
      </c>
      <c r="R1108" s="2">
        <f t="shared" si="107"/>
        <v>12</v>
      </c>
      <c r="S1108">
        <f>SUMIF(Table1[product_category],"Bakery",Table1[Total_bill])</f>
        <v>2951.25</v>
      </c>
    </row>
    <row r="1109" spans="1:19" x14ac:dyDescent="0.3">
      <c r="A1109" s="2">
        <v>11108</v>
      </c>
      <c r="B1109" s="4">
        <v>46739</v>
      </c>
      <c r="C1109" t="s">
        <v>1256</v>
      </c>
      <c r="D1109" t="s">
        <v>25</v>
      </c>
      <c r="E1109" t="s">
        <v>26</v>
      </c>
      <c r="F1109" t="s">
        <v>204</v>
      </c>
      <c r="G1109">
        <v>3</v>
      </c>
      <c r="H1109" s="5">
        <v>3</v>
      </c>
      <c r="I1109" t="s">
        <v>21</v>
      </c>
      <c r="J1109" t="s">
        <v>181</v>
      </c>
      <c r="K1109" t="s">
        <v>182</v>
      </c>
      <c r="L1109" t="s">
        <v>2125</v>
      </c>
      <c r="M1109" s="5">
        <f t="shared" si="103"/>
        <v>9</v>
      </c>
      <c r="N1109" t="str">
        <f t="shared" si="104"/>
        <v>December</v>
      </c>
      <c r="O1109" t="str">
        <f t="shared" si="105"/>
        <v>Saturday</v>
      </c>
      <c r="P1109">
        <f t="shared" si="102"/>
        <v>15</v>
      </c>
      <c r="Q1109" s="2">
        <f t="shared" si="106"/>
        <v>6</v>
      </c>
      <c r="R1109" s="2">
        <f t="shared" si="107"/>
        <v>12</v>
      </c>
      <c r="S1109">
        <f>SUMIF(Table1[product_category],"Bakery",Table1[Total_bill])</f>
        <v>2951.25</v>
      </c>
    </row>
    <row r="1110" spans="1:19" x14ac:dyDescent="0.3">
      <c r="A1110" s="2">
        <v>11109</v>
      </c>
      <c r="B1110" s="4">
        <v>46740</v>
      </c>
      <c r="C1110" t="s">
        <v>1257</v>
      </c>
      <c r="D1110" t="s">
        <v>18</v>
      </c>
      <c r="E1110" t="s">
        <v>19</v>
      </c>
      <c r="F1110" t="s">
        <v>206</v>
      </c>
      <c r="G1110">
        <v>1</v>
      </c>
      <c r="H1110" s="5">
        <v>3.25</v>
      </c>
      <c r="I1110" t="s">
        <v>32</v>
      </c>
      <c r="J1110" t="s">
        <v>144</v>
      </c>
      <c r="K1110" t="s">
        <v>144</v>
      </c>
      <c r="L1110" t="s">
        <v>2124</v>
      </c>
      <c r="M1110" s="5">
        <f t="shared" si="103"/>
        <v>3.25</v>
      </c>
      <c r="N1110" t="str">
        <f t="shared" si="104"/>
        <v>December</v>
      </c>
      <c r="O1110" t="str">
        <f t="shared" si="105"/>
        <v>Sunday</v>
      </c>
      <c r="P1110">
        <f t="shared" si="102"/>
        <v>14</v>
      </c>
      <c r="Q1110" s="2">
        <f t="shared" si="106"/>
        <v>7</v>
      </c>
      <c r="R1110" s="2">
        <f t="shared" si="107"/>
        <v>12</v>
      </c>
      <c r="S1110">
        <f>SUMIF(Table1[product_category],"Bakery",Table1[Total_bill])</f>
        <v>2951.25</v>
      </c>
    </row>
    <row r="1111" spans="1:19" x14ac:dyDescent="0.3">
      <c r="A1111" s="2">
        <v>11110</v>
      </c>
      <c r="B1111" s="4">
        <v>46741</v>
      </c>
      <c r="C1111" t="s">
        <v>1258</v>
      </c>
      <c r="D1111" t="s">
        <v>25</v>
      </c>
      <c r="E1111" t="s">
        <v>26</v>
      </c>
      <c r="F1111" t="s">
        <v>208</v>
      </c>
      <c r="G1111">
        <v>4</v>
      </c>
      <c r="H1111" s="5">
        <v>3.25</v>
      </c>
      <c r="I1111" t="s">
        <v>21</v>
      </c>
      <c r="J1111" t="s">
        <v>81</v>
      </c>
      <c r="K1111" t="s">
        <v>113</v>
      </c>
      <c r="L1111" t="s">
        <v>2125</v>
      </c>
      <c r="M1111" s="5">
        <f t="shared" si="103"/>
        <v>13</v>
      </c>
      <c r="N1111" t="str">
        <f t="shared" si="104"/>
        <v>December</v>
      </c>
      <c r="O1111" t="str">
        <f t="shared" si="105"/>
        <v>Monday</v>
      </c>
      <c r="P1111">
        <f t="shared" si="102"/>
        <v>7</v>
      </c>
      <c r="Q1111" s="2">
        <f t="shared" si="106"/>
        <v>1</v>
      </c>
      <c r="R1111" s="2">
        <f t="shared" si="107"/>
        <v>12</v>
      </c>
      <c r="S1111">
        <f>SUMIF(Table1[product_category],"Bakery",Table1[Total_bill])</f>
        <v>2951.25</v>
      </c>
    </row>
    <row r="1112" spans="1:19" x14ac:dyDescent="0.3">
      <c r="A1112" s="2">
        <v>11111</v>
      </c>
      <c r="B1112" s="4">
        <v>46742</v>
      </c>
      <c r="C1112" t="s">
        <v>1259</v>
      </c>
      <c r="D1112" t="s">
        <v>25</v>
      </c>
      <c r="E1112" t="s">
        <v>26</v>
      </c>
      <c r="F1112" t="s">
        <v>210</v>
      </c>
      <c r="G1112">
        <v>4</v>
      </c>
      <c r="H1112" s="5">
        <v>3</v>
      </c>
      <c r="I1112" t="s">
        <v>36</v>
      </c>
      <c r="J1112" t="s">
        <v>246</v>
      </c>
      <c r="K1112" t="s">
        <v>247</v>
      </c>
      <c r="L1112" t="s">
        <v>2124</v>
      </c>
      <c r="M1112" s="5">
        <f t="shared" si="103"/>
        <v>12</v>
      </c>
      <c r="N1112" t="str">
        <f t="shared" si="104"/>
        <v>December</v>
      </c>
      <c r="O1112" t="str">
        <f t="shared" si="105"/>
        <v>Tuesday</v>
      </c>
      <c r="P1112">
        <f t="shared" si="102"/>
        <v>16</v>
      </c>
      <c r="Q1112" s="2">
        <f t="shared" si="106"/>
        <v>2</v>
      </c>
      <c r="R1112" s="2">
        <f t="shared" si="107"/>
        <v>12</v>
      </c>
      <c r="S1112">
        <f>SUMIF(Table1[product_category],"Bakery",Table1[Total_bill])</f>
        <v>2951.25</v>
      </c>
    </row>
    <row r="1113" spans="1:19" x14ac:dyDescent="0.3">
      <c r="A1113" s="2">
        <v>11112</v>
      </c>
      <c r="B1113" s="4">
        <v>46743</v>
      </c>
      <c r="C1113" t="s">
        <v>1260</v>
      </c>
      <c r="D1113" t="s">
        <v>25</v>
      </c>
      <c r="E1113" t="s">
        <v>26</v>
      </c>
      <c r="F1113" t="s">
        <v>214</v>
      </c>
      <c r="G1113">
        <v>4</v>
      </c>
      <c r="H1113" s="5">
        <v>13</v>
      </c>
      <c r="I1113" t="s">
        <v>98</v>
      </c>
      <c r="J1113" t="s">
        <v>98</v>
      </c>
      <c r="K1113" t="s">
        <v>95</v>
      </c>
      <c r="L1113" t="s">
        <v>2125</v>
      </c>
      <c r="M1113" s="5">
        <f t="shared" si="103"/>
        <v>52</v>
      </c>
      <c r="N1113" t="str">
        <f t="shared" si="104"/>
        <v>December</v>
      </c>
      <c r="O1113" t="str">
        <f t="shared" si="105"/>
        <v>Wednesday</v>
      </c>
      <c r="P1113">
        <f t="shared" si="102"/>
        <v>8</v>
      </c>
      <c r="Q1113" s="2">
        <f t="shared" si="106"/>
        <v>3</v>
      </c>
      <c r="R1113" s="2">
        <f t="shared" si="107"/>
        <v>12</v>
      </c>
      <c r="S1113">
        <f>SUMIF(Table1[product_category],"Bakery",Table1[Total_bill])</f>
        <v>2951.25</v>
      </c>
    </row>
    <row r="1114" spans="1:19" x14ac:dyDescent="0.3">
      <c r="A1114" s="2">
        <v>11113</v>
      </c>
      <c r="B1114" s="4">
        <v>46744</v>
      </c>
      <c r="C1114" t="s">
        <v>1261</v>
      </c>
      <c r="D1114" t="s">
        <v>18</v>
      </c>
      <c r="E1114" t="s">
        <v>19</v>
      </c>
      <c r="F1114" t="s">
        <v>217</v>
      </c>
      <c r="G1114">
        <v>1</v>
      </c>
      <c r="H1114" s="5">
        <v>3</v>
      </c>
      <c r="I1114" t="s">
        <v>36</v>
      </c>
      <c r="J1114" t="s">
        <v>246</v>
      </c>
      <c r="K1114" t="s">
        <v>247</v>
      </c>
      <c r="L1114" t="s">
        <v>2124</v>
      </c>
      <c r="M1114" s="5">
        <f t="shared" si="103"/>
        <v>3</v>
      </c>
      <c r="N1114" t="str">
        <f t="shared" si="104"/>
        <v>December</v>
      </c>
      <c r="O1114" t="str">
        <f t="shared" si="105"/>
        <v>Thursday</v>
      </c>
      <c r="P1114">
        <f t="shared" si="102"/>
        <v>8</v>
      </c>
      <c r="Q1114" s="2">
        <f t="shared" si="106"/>
        <v>4</v>
      </c>
      <c r="R1114" s="2">
        <f t="shared" si="107"/>
        <v>12</v>
      </c>
      <c r="S1114">
        <f>SUMIF(Table1[product_category],"Bakery",Table1[Total_bill])</f>
        <v>2951.25</v>
      </c>
    </row>
    <row r="1115" spans="1:19" x14ac:dyDescent="0.3">
      <c r="A1115" s="2">
        <v>11114</v>
      </c>
      <c r="B1115" s="4">
        <v>46745</v>
      </c>
      <c r="C1115" t="s">
        <v>1262</v>
      </c>
      <c r="D1115" t="s">
        <v>25</v>
      </c>
      <c r="E1115" t="s">
        <v>26</v>
      </c>
      <c r="F1115" t="s">
        <v>219</v>
      </c>
      <c r="G1115">
        <v>3</v>
      </c>
      <c r="H1115" s="5">
        <v>5.5</v>
      </c>
      <c r="I1115" t="s">
        <v>72</v>
      </c>
      <c r="J1115" t="s">
        <v>72</v>
      </c>
      <c r="K1115" t="s">
        <v>73</v>
      </c>
      <c r="L1115" t="s">
        <v>2125</v>
      </c>
      <c r="M1115" s="5">
        <f t="shared" si="103"/>
        <v>16.5</v>
      </c>
      <c r="N1115" t="str">
        <f t="shared" si="104"/>
        <v>December</v>
      </c>
      <c r="O1115" t="str">
        <f t="shared" si="105"/>
        <v>Friday</v>
      </c>
      <c r="P1115">
        <f t="shared" si="102"/>
        <v>12</v>
      </c>
      <c r="Q1115" s="2">
        <f t="shared" si="106"/>
        <v>5</v>
      </c>
      <c r="R1115" s="2">
        <f t="shared" si="107"/>
        <v>12</v>
      </c>
      <c r="S1115">
        <f>SUMIF(Table1[product_category],"Bakery",Table1[Total_bill])</f>
        <v>2951.25</v>
      </c>
    </row>
    <row r="1116" spans="1:19" x14ac:dyDescent="0.3">
      <c r="A1116" s="2">
        <v>11115</v>
      </c>
      <c r="B1116" s="4">
        <v>46746</v>
      </c>
      <c r="C1116" t="s">
        <v>1263</v>
      </c>
      <c r="D1116" t="s">
        <v>40</v>
      </c>
      <c r="E1116" t="s">
        <v>41</v>
      </c>
      <c r="F1116" t="s">
        <v>221</v>
      </c>
      <c r="G1116">
        <v>4</v>
      </c>
      <c r="H1116" s="5">
        <v>3.75</v>
      </c>
      <c r="I1116" t="s">
        <v>36</v>
      </c>
      <c r="J1116" t="s">
        <v>211</v>
      </c>
      <c r="K1116" t="s">
        <v>239</v>
      </c>
      <c r="L1116" t="s">
        <v>2124</v>
      </c>
      <c r="M1116" s="5">
        <f t="shared" si="103"/>
        <v>15</v>
      </c>
      <c r="N1116" t="str">
        <f t="shared" si="104"/>
        <v>December</v>
      </c>
      <c r="O1116" t="str">
        <f t="shared" si="105"/>
        <v>Saturday</v>
      </c>
      <c r="P1116">
        <f t="shared" si="102"/>
        <v>13</v>
      </c>
      <c r="Q1116" s="2">
        <f t="shared" si="106"/>
        <v>6</v>
      </c>
      <c r="R1116" s="2">
        <f t="shared" si="107"/>
        <v>12</v>
      </c>
      <c r="S1116">
        <f>SUMIF(Table1[product_category],"Bakery",Table1[Total_bill])</f>
        <v>2951.25</v>
      </c>
    </row>
    <row r="1117" spans="1:19" x14ac:dyDescent="0.3">
      <c r="A1117" s="2">
        <v>11116</v>
      </c>
      <c r="B1117" s="4">
        <v>46747</v>
      </c>
      <c r="C1117" t="s">
        <v>1264</v>
      </c>
      <c r="D1117" t="s">
        <v>18</v>
      </c>
      <c r="E1117" t="s">
        <v>19</v>
      </c>
      <c r="F1117" t="s">
        <v>223</v>
      </c>
      <c r="G1117">
        <v>4</v>
      </c>
      <c r="H1117" s="5">
        <v>4</v>
      </c>
      <c r="I1117" t="s">
        <v>89</v>
      </c>
      <c r="J1117" t="s">
        <v>261</v>
      </c>
      <c r="K1117" t="s">
        <v>261</v>
      </c>
      <c r="L1117" t="s">
        <v>2124</v>
      </c>
      <c r="M1117" s="5">
        <f t="shared" si="103"/>
        <v>16</v>
      </c>
      <c r="N1117" t="str">
        <f t="shared" si="104"/>
        <v>December</v>
      </c>
      <c r="O1117" t="str">
        <f t="shared" si="105"/>
        <v>Sunday</v>
      </c>
      <c r="P1117">
        <f t="shared" si="102"/>
        <v>13</v>
      </c>
      <c r="Q1117" s="2">
        <f t="shared" si="106"/>
        <v>7</v>
      </c>
      <c r="R1117" s="2">
        <f t="shared" si="107"/>
        <v>12</v>
      </c>
      <c r="S1117">
        <f>SUMIF(Table1[product_category],"Bakery",Table1[Total_bill])</f>
        <v>2951.25</v>
      </c>
    </row>
    <row r="1118" spans="1:19" x14ac:dyDescent="0.3">
      <c r="A1118" s="2">
        <v>11117</v>
      </c>
      <c r="B1118" s="4">
        <v>46748</v>
      </c>
      <c r="C1118" t="s">
        <v>1265</v>
      </c>
      <c r="D1118" t="s">
        <v>25</v>
      </c>
      <c r="E1118" t="s">
        <v>26</v>
      </c>
      <c r="F1118" t="s">
        <v>225</v>
      </c>
      <c r="G1118">
        <v>1</v>
      </c>
      <c r="H1118" s="5">
        <v>2.5</v>
      </c>
      <c r="I1118" t="s">
        <v>36</v>
      </c>
      <c r="J1118" t="s">
        <v>37</v>
      </c>
      <c r="K1118" t="s">
        <v>276</v>
      </c>
      <c r="L1118" t="s">
        <v>2122</v>
      </c>
      <c r="M1118" s="5">
        <f t="shared" si="103"/>
        <v>2.5</v>
      </c>
      <c r="N1118" t="str">
        <f t="shared" si="104"/>
        <v>December</v>
      </c>
      <c r="O1118" t="str">
        <f t="shared" si="105"/>
        <v>Monday</v>
      </c>
      <c r="P1118">
        <f t="shared" si="102"/>
        <v>7</v>
      </c>
      <c r="Q1118" s="2">
        <f t="shared" si="106"/>
        <v>1</v>
      </c>
      <c r="R1118" s="2">
        <f t="shared" si="107"/>
        <v>12</v>
      </c>
      <c r="S1118">
        <f>SUMIF(Table1[product_category],"Bakery",Table1[Total_bill])</f>
        <v>2951.25</v>
      </c>
    </row>
    <row r="1119" spans="1:19" x14ac:dyDescent="0.3">
      <c r="A1119" s="2">
        <v>11118</v>
      </c>
      <c r="B1119" s="4">
        <v>46749</v>
      </c>
      <c r="C1119" t="s">
        <v>1266</v>
      </c>
      <c r="D1119" t="s">
        <v>40</v>
      </c>
      <c r="E1119" t="s">
        <v>41</v>
      </c>
      <c r="F1119" t="s">
        <v>229</v>
      </c>
      <c r="G1119">
        <v>3</v>
      </c>
      <c r="H1119" s="5">
        <v>9.5</v>
      </c>
      <c r="I1119" t="s">
        <v>28</v>
      </c>
      <c r="J1119" t="s">
        <v>28</v>
      </c>
      <c r="K1119" t="s">
        <v>29</v>
      </c>
      <c r="L1119" t="s">
        <v>2125</v>
      </c>
      <c r="M1119" s="5">
        <f t="shared" si="103"/>
        <v>28.5</v>
      </c>
      <c r="N1119" t="str">
        <f t="shared" si="104"/>
        <v>December</v>
      </c>
      <c r="O1119" t="str">
        <f t="shared" si="105"/>
        <v>Tuesday</v>
      </c>
      <c r="P1119">
        <f t="shared" si="102"/>
        <v>17</v>
      </c>
      <c r="Q1119" s="2">
        <f t="shared" si="106"/>
        <v>2</v>
      </c>
      <c r="R1119" s="2">
        <f t="shared" si="107"/>
        <v>12</v>
      </c>
      <c r="S1119">
        <f>SUMIF(Table1[product_category],"Bakery",Table1[Total_bill])</f>
        <v>2951.25</v>
      </c>
    </row>
    <row r="1120" spans="1:19" x14ac:dyDescent="0.3">
      <c r="A1120" s="2">
        <v>11119</v>
      </c>
      <c r="B1120" s="4">
        <v>46750</v>
      </c>
      <c r="C1120" t="s">
        <v>1219</v>
      </c>
      <c r="D1120" t="s">
        <v>40</v>
      </c>
      <c r="E1120" t="s">
        <v>41</v>
      </c>
      <c r="F1120" t="s">
        <v>231</v>
      </c>
      <c r="G1120">
        <v>3</v>
      </c>
      <c r="H1120" s="5">
        <v>2.5</v>
      </c>
      <c r="I1120" t="s">
        <v>36</v>
      </c>
      <c r="J1120" t="s">
        <v>37</v>
      </c>
      <c r="K1120" t="s">
        <v>38</v>
      </c>
      <c r="L1120" t="s">
        <v>2122</v>
      </c>
      <c r="M1120" s="5">
        <f t="shared" si="103"/>
        <v>7.5</v>
      </c>
      <c r="N1120" t="str">
        <f t="shared" si="104"/>
        <v>December</v>
      </c>
      <c r="O1120" t="str">
        <f t="shared" si="105"/>
        <v>Wednesday</v>
      </c>
      <c r="P1120">
        <f t="shared" si="102"/>
        <v>9</v>
      </c>
      <c r="Q1120" s="2">
        <f t="shared" si="106"/>
        <v>3</v>
      </c>
      <c r="R1120" s="2">
        <f t="shared" si="107"/>
        <v>12</v>
      </c>
      <c r="S1120">
        <f>SUMIF(Table1[product_category],"Bakery",Table1[Total_bill])</f>
        <v>2951.25</v>
      </c>
    </row>
    <row r="1121" spans="1:19" x14ac:dyDescent="0.3">
      <c r="A1121" s="2">
        <v>11120</v>
      </c>
      <c r="B1121" s="4">
        <v>46751</v>
      </c>
      <c r="C1121" t="s">
        <v>1267</v>
      </c>
      <c r="D1121" t="s">
        <v>18</v>
      </c>
      <c r="E1121" t="s">
        <v>19</v>
      </c>
      <c r="F1121" t="s">
        <v>233</v>
      </c>
      <c r="G1121">
        <v>4</v>
      </c>
      <c r="H1121" s="5">
        <v>3.25</v>
      </c>
      <c r="I1121" t="s">
        <v>21</v>
      </c>
      <c r="J1121" t="s">
        <v>81</v>
      </c>
      <c r="K1121" t="s">
        <v>113</v>
      </c>
      <c r="L1121" t="s">
        <v>2125</v>
      </c>
      <c r="M1121" s="5">
        <f t="shared" si="103"/>
        <v>13</v>
      </c>
      <c r="N1121" t="str">
        <f t="shared" si="104"/>
        <v>December</v>
      </c>
      <c r="O1121" t="str">
        <f t="shared" si="105"/>
        <v>Thursday</v>
      </c>
      <c r="P1121">
        <f t="shared" si="102"/>
        <v>7</v>
      </c>
      <c r="Q1121" s="2">
        <f t="shared" si="106"/>
        <v>4</v>
      </c>
      <c r="R1121" s="2">
        <f t="shared" si="107"/>
        <v>12</v>
      </c>
      <c r="S1121">
        <f>SUMIF(Table1[product_category],"Bakery",Table1[Total_bill])</f>
        <v>2951.25</v>
      </c>
    </row>
    <row r="1122" spans="1:19" x14ac:dyDescent="0.3">
      <c r="A1122" s="2">
        <v>11121</v>
      </c>
      <c r="B1122" s="4">
        <v>46752</v>
      </c>
      <c r="C1122" t="s">
        <v>1268</v>
      </c>
      <c r="D1122" t="s">
        <v>25</v>
      </c>
      <c r="E1122" t="s">
        <v>26</v>
      </c>
      <c r="F1122" t="s">
        <v>20</v>
      </c>
      <c r="G1122">
        <v>4</v>
      </c>
      <c r="H1122" s="5">
        <v>14</v>
      </c>
      <c r="I1122" t="s">
        <v>101</v>
      </c>
      <c r="J1122" t="s">
        <v>102</v>
      </c>
      <c r="K1122" t="s">
        <v>193</v>
      </c>
      <c r="L1122" t="s">
        <v>2125</v>
      </c>
      <c r="M1122" s="5">
        <f t="shared" si="103"/>
        <v>56</v>
      </c>
      <c r="N1122" t="str">
        <f t="shared" si="104"/>
        <v>December</v>
      </c>
      <c r="O1122" t="str">
        <f t="shared" si="105"/>
        <v>Friday</v>
      </c>
      <c r="P1122">
        <f t="shared" si="102"/>
        <v>17</v>
      </c>
      <c r="Q1122" s="2">
        <f t="shared" si="106"/>
        <v>5</v>
      </c>
      <c r="R1122" s="2">
        <f t="shared" si="107"/>
        <v>12</v>
      </c>
      <c r="S1122">
        <f>SUMIF(Table1[product_category],"Bakery",Table1[Total_bill])</f>
        <v>2951.25</v>
      </c>
    </row>
    <row r="1123" spans="1:19" x14ac:dyDescent="0.3">
      <c r="A1123" s="2">
        <v>11122</v>
      </c>
      <c r="B1123" s="4">
        <v>46753</v>
      </c>
      <c r="C1123" t="s">
        <v>1269</v>
      </c>
      <c r="D1123" t="s">
        <v>25</v>
      </c>
      <c r="E1123" t="s">
        <v>26</v>
      </c>
      <c r="F1123" t="s">
        <v>27</v>
      </c>
      <c r="G1123">
        <v>1</v>
      </c>
      <c r="H1123" s="5">
        <v>2.25</v>
      </c>
      <c r="I1123" t="s">
        <v>21</v>
      </c>
      <c r="J1123" t="s">
        <v>58</v>
      </c>
      <c r="K1123" t="s">
        <v>59</v>
      </c>
      <c r="L1123" t="s">
        <v>2125</v>
      </c>
      <c r="M1123" s="5">
        <f t="shared" si="103"/>
        <v>2.25</v>
      </c>
      <c r="N1123" t="str">
        <f t="shared" si="104"/>
        <v>January</v>
      </c>
      <c r="O1123" t="str">
        <f t="shared" si="105"/>
        <v>Saturday</v>
      </c>
      <c r="P1123">
        <f t="shared" si="102"/>
        <v>20</v>
      </c>
      <c r="Q1123" s="2">
        <f t="shared" si="106"/>
        <v>6</v>
      </c>
      <c r="R1123" s="2">
        <f t="shared" si="107"/>
        <v>1</v>
      </c>
      <c r="S1123">
        <f>SUMIF(Table1[product_category],"Bakery",Table1[Total_bill])</f>
        <v>2951.25</v>
      </c>
    </row>
    <row r="1124" spans="1:19" x14ac:dyDescent="0.3">
      <c r="A1124" s="2">
        <v>11123</v>
      </c>
      <c r="B1124" s="4">
        <v>46754</v>
      </c>
      <c r="C1124" t="s">
        <v>1270</v>
      </c>
      <c r="D1124" t="s">
        <v>40</v>
      </c>
      <c r="E1124" t="s">
        <v>41</v>
      </c>
      <c r="F1124" t="s">
        <v>31</v>
      </c>
      <c r="G1124">
        <v>1</v>
      </c>
      <c r="H1124" s="5">
        <v>3.5</v>
      </c>
      <c r="I1124" t="s">
        <v>32</v>
      </c>
      <c r="J1124" t="s">
        <v>55</v>
      </c>
      <c r="K1124" t="s">
        <v>55</v>
      </c>
      <c r="L1124" t="s">
        <v>2124</v>
      </c>
      <c r="M1124" s="5">
        <f t="shared" si="103"/>
        <v>3.5</v>
      </c>
      <c r="N1124" t="str">
        <f t="shared" si="104"/>
        <v>January</v>
      </c>
      <c r="O1124" t="str">
        <f t="shared" si="105"/>
        <v>Sunday</v>
      </c>
      <c r="P1124">
        <f t="shared" si="102"/>
        <v>17</v>
      </c>
      <c r="Q1124" s="2">
        <f t="shared" si="106"/>
        <v>7</v>
      </c>
      <c r="R1124" s="2">
        <f t="shared" si="107"/>
        <v>1</v>
      </c>
      <c r="S1124">
        <f>SUMIF(Table1[product_category],"Bakery",Table1[Total_bill])</f>
        <v>2951.25</v>
      </c>
    </row>
    <row r="1125" spans="1:19" x14ac:dyDescent="0.3">
      <c r="A1125" s="2">
        <v>11124</v>
      </c>
      <c r="B1125" s="4">
        <v>46755</v>
      </c>
      <c r="C1125" t="s">
        <v>1271</v>
      </c>
      <c r="D1125" t="s">
        <v>18</v>
      </c>
      <c r="E1125" t="s">
        <v>19</v>
      </c>
      <c r="F1125" t="s">
        <v>35</v>
      </c>
      <c r="G1125">
        <v>3</v>
      </c>
      <c r="H1125" s="5">
        <v>5</v>
      </c>
      <c r="I1125" t="s">
        <v>89</v>
      </c>
      <c r="J1125" t="s">
        <v>90</v>
      </c>
      <c r="K1125" t="s">
        <v>91</v>
      </c>
      <c r="L1125" t="s">
        <v>2123</v>
      </c>
      <c r="M1125" s="5">
        <f t="shared" si="103"/>
        <v>15</v>
      </c>
      <c r="N1125" t="str">
        <f t="shared" si="104"/>
        <v>January</v>
      </c>
      <c r="O1125" t="str">
        <f t="shared" si="105"/>
        <v>Monday</v>
      </c>
      <c r="P1125">
        <f t="shared" si="102"/>
        <v>16</v>
      </c>
      <c r="Q1125" s="2">
        <f t="shared" si="106"/>
        <v>1</v>
      </c>
      <c r="R1125" s="2">
        <f t="shared" si="107"/>
        <v>1</v>
      </c>
      <c r="S1125">
        <f>SUMIF(Table1[product_category],"Bakery",Table1[Total_bill])</f>
        <v>2951.25</v>
      </c>
    </row>
    <row r="1126" spans="1:19" x14ac:dyDescent="0.3">
      <c r="A1126" s="2">
        <v>11125</v>
      </c>
      <c r="B1126" s="4">
        <v>46756</v>
      </c>
      <c r="C1126" t="s">
        <v>1272</v>
      </c>
      <c r="D1126" t="s">
        <v>40</v>
      </c>
      <c r="E1126" t="s">
        <v>41</v>
      </c>
      <c r="F1126" t="s">
        <v>42</v>
      </c>
      <c r="G1126">
        <v>2</v>
      </c>
      <c r="H1126" s="5">
        <v>9.5</v>
      </c>
      <c r="I1126" t="s">
        <v>28</v>
      </c>
      <c r="J1126" t="s">
        <v>28</v>
      </c>
      <c r="K1126" t="s">
        <v>29</v>
      </c>
      <c r="L1126" t="s">
        <v>2125</v>
      </c>
      <c r="M1126" s="5">
        <f t="shared" si="103"/>
        <v>19</v>
      </c>
      <c r="N1126" t="str">
        <f t="shared" si="104"/>
        <v>January</v>
      </c>
      <c r="O1126" t="str">
        <f t="shared" si="105"/>
        <v>Tuesday</v>
      </c>
      <c r="P1126">
        <f t="shared" si="102"/>
        <v>14</v>
      </c>
      <c r="Q1126" s="2">
        <f t="shared" si="106"/>
        <v>2</v>
      </c>
      <c r="R1126" s="2">
        <f t="shared" si="107"/>
        <v>1</v>
      </c>
      <c r="S1126">
        <f>SUMIF(Table1[product_category],"Bakery",Table1[Total_bill])</f>
        <v>2951.25</v>
      </c>
    </row>
    <row r="1127" spans="1:19" x14ac:dyDescent="0.3">
      <c r="A1127" s="2">
        <v>11126</v>
      </c>
      <c r="B1127" s="4">
        <v>46757</v>
      </c>
      <c r="C1127" t="s">
        <v>1273</v>
      </c>
      <c r="D1127" t="s">
        <v>25</v>
      </c>
      <c r="E1127" t="s">
        <v>26</v>
      </c>
      <c r="F1127" t="s">
        <v>46</v>
      </c>
      <c r="G1127">
        <v>4</v>
      </c>
      <c r="H1127" s="5">
        <v>3.5</v>
      </c>
      <c r="I1127" t="s">
        <v>36</v>
      </c>
      <c r="J1127" t="s">
        <v>37</v>
      </c>
      <c r="K1127" t="s">
        <v>38</v>
      </c>
      <c r="L1127" t="s">
        <v>2123</v>
      </c>
      <c r="M1127" s="5">
        <f t="shared" si="103"/>
        <v>14</v>
      </c>
      <c r="N1127" t="str">
        <f t="shared" si="104"/>
        <v>January</v>
      </c>
      <c r="O1127" t="str">
        <f t="shared" si="105"/>
        <v>Wednesday</v>
      </c>
      <c r="P1127">
        <f t="shared" si="102"/>
        <v>12</v>
      </c>
      <c r="Q1127" s="2">
        <f t="shared" si="106"/>
        <v>3</v>
      </c>
      <c r="R1127" s="2">
        <f t="shared" si="107"/>
        <v>1</v>
      </c>
      <c r="S1127">
        <f>SUMIF(Table1[product_category],"Bakery",Table1[Total_bill])</f>
        <v>2951.25</v>
      </c>
    </row>
    <row r="1128" spans="1:19" x14ac:dyDescent="0.3">
      <c r="A1128" s="2">
        <v>11127</v>
      </c>
      <c r="B1128" s="4">
        <v>46758</v>
      </c>
      <c r="C1128" t="s">
        <v>1274</v>
      </c>
      <c r="D1128" t="s">
        <v>25</v>
      </c>
      <c r="E1128" t="s">
        <v>26</v>
      </c>
      <c r="F1128" t="s">
        <v>50</v>
      </c>
      <c r="G1128">
        <v>2</v>
      </c>
      <c r="H1128" s="5">
        <v>3</v>
      </c>
      <c r="I1128" t="s">
        <v>21</v>
      </c>
      <c r="J1128" t="s">
        <v>181</v>
      </c>
      <c r="K1128" t="s">
        <v>182</v>
      </c>
      <c r="L1128" t="s">
        <v>2125</v>
      </c>
      <c r="M1128" s="5">
        <f t="shared" si="103"/>
        <v>6</v>
      </c>
      <c r="N1128" t="str">
        <f t="shared" si="104"/>
        <v>January</v>
      </c>
      <c r="O1128" t="str">
        <f t="shared" si="105"/>
        <v>Thursday</v>
      </c>
      <c r="P1128">
        <f t="shared" si="102"/>
        <v>7</v>
      </c>
      <c r="Q1128" s="2">
        <f t="shared" si="106"/>
        <v>4</v>
      </c>
      <c r="R1128" s="2">
        <f t="shared" si="107"/>
        <v>1</v>
      </c>
      <c r="S1128">
        <f>SUMIF(Table1[product_category],"Bakery",Table1[Total_bill])</f>
        <v>2951.25</v>
      </c>
    </row>
    <row r="1129" spans="1:19" x14ac:dyDescent="0.3">
      <c r="A1129" s="2">
        <v>11128</v>
      </c>
      <c r="B1129" s="4">
        <v>46759</v>
      </c>
      <c r="C1129" t="s">
        <v>1275</v>
      </c>
      <c r="D1129" t="s">
        <v>18</v>
      </c>
      <c r="E1129" t="s">
        <v>19</v>
      </c>
      <c r="F1129" t="s">
        <v>54</v>
      </c>
      <c r="G1129">
        <v>4</v>
      </c>
      <c r="H1129" s="5">
        <v>2.5</v>
      </c>
      <c r="I1129" t="s">
        <v>32</v>
      </c>
      <c r="J1129" t="s">
        <v>226</v>
      </c>
      <c r="K1129" t="s">
        <v>227</v>
      </c>
      <c r="L1129" t="s">
        <v>2122</v>
      </c>
      <c r="M1129" s="5">
        <f t="shared" si="103"/>
        <v>10</v>
      </c>
      <c r="N1129" t="str">
        <f t="shared" si="104"/>
        <v>January</v>
      </c>
      <c r="O1129" t="str">
        <f t="shared" si="105"/>
        <v>Friday</v>
      </c>
      <c r="P1129">
        <f t="shared" si="102"/>
        <v>10</v>
      </c>
      <c r="Q1129" s="2">
        <f t="shared" si="106"/>
        <v>5</v>
      </c>
      <c r="R1129" s="2">
        <f t="shared" si="107"/>
        <v>1</v>
      </c>
      <c r="S1129">
        <f>SUMIF(Table1[product_category],"Bakery",Table1[Total_bill])</f>
        <v>2951.25</v>
      </c>
    </row>
    <row r="1130" spans="1:19" x14ac:dyDescent="0.3">
      <c r="A1130" s="2">
        <v>11129</v>
      </c>
      <c r="B1130" s="4">
        <v>46760</v>
      </c>
      <c r="C1130" t="s">
        <v>1276</v>
      </c>
      <c r="D1130" t="s">
        <v>25</v>
      </c>
      <c r="E1130" t="s">
        <v>26</v>
      </c>
      <c r="F1130" t="s">
        <v>57</v>
      </c>
      <c r="G1130">
        <v>4</v>
      </c>
      <c r="H1130" s="5">
        <v>4.75</v>
      </c>
      <c r="I1130" t="s">
        <v>32</v>
      </c>
      <c r="J1130" t="s">
        <v>122</v>
      </c>
      <c r="K1130" t="s">
        <v>122</v>
      </c>
      <c r="L1130" t="s">
        <v>2123</v>
      </c>
      <c r="M1130" s="5">
        <f t="shared" si="103"/>
        <v>19</v>
      </c>
      <c r="N1130" t="str">
        <f t="shared" si="104"/>
        <v>January</v>
      </c>
      <c r="O1130" t="str">
        <f t="shared" si="105"/>
        <v>Saturday</v>
      </c>
      <c r="P1130">
        <f t="shared" si="102"/>
        <v>10</v>
      </c>
      <c r="Q1130" s="2">
        <f t="shared" si="106"/>
        <v>6</v>
      </c>
      <c r="R1130" s="2">
        <f t="shared" si="107"/>
        <v>1</v>
      </c>
      <c r="S1130">
        <f>SUMIF(Table1[product_category],"Bakery",Table1[Total_bill])</f>
        <v>2951.25</v>
      </c>
    </row>
    <row r="1131" spans="1:19" x14ac:dyDescent="0.3">
      <c r="A1131" s="2">
        <v>11130</v>
      </c>
      <c r="B1131" s="4">
        <v>46761</v>
      </c>
      <c r="C1131" t="s">
        <v>1277</v>
      </c>
      <c r="D1131" t="s">
        <v>40</v>
      </c>
      <c r="E1131" t="s">
        <v>41</v>
      </c>
      <c r="F1131" t="s">
        <v>61</v>
      </c>
      <c r="G1131">
        <v>4</v>
      </c>
      <c r="H1131" s="5">
        <v>3.75</v>
      </c>
      <c r="I1131" t="s">
        <v>36</v>
      </c>
      <c r="J1131" t="s">
        <v>211</v>
      </c>
      <c r="K1131" t="s">
        <v>239</v>
      </c>
      <c r="L1131" t="s">
        <v>2124</v>
      </c>
      <c r="M1131" s="5">
        <f t="shared" si="103"/>
        <v>15</v>
      </c>
      <c r="N1131" t="str">
        <f t="shared" si="104"/>
        <v>January</v>
      </c>
      <c r="O1131" t="str">
        <f t="shared" si="105"/>
        <v>Sunday</v>
      </c>
      <c r="P1131">
        <f t="shared" si="102"/>
        <v>8</v>
      </c>
      <c r="Q1131" s="2">
        <f t="shared" si="106"/>
        <v>7</v>
      </c>
      <c r="R1131" s="2">
        <f t="shared" si="107"/>
        <v>1</v>
      </c>
      <c r="S1131">
        <f>SUMIF(Table1[product_category],"Bakery",Table1[Total_bill])</f>
        <v>2951.25</v>
      </c>
    </row>
    <row r="1132" spans="1:19" x14ac:dyDescent="0.3">
      <c r="A1132" s="2">
        <v>11131</v>
      </c>
      <c r="B1132" s="4">
        <v>46762</v>
      </c>
      <c r="C1132" t="s">
        <v>1278</v>
      </c>
      <c r="D1132" t="s">
        <v>40</v>
      </c>
      <c r="E1132" t="s">
        <v>41</v>
      </c>
      <c r="F1132" t="s">
        <v>64</v>
      </c>
      <c r="G1132">
        <v>2</v>
      </c>
      <c r="H1132" s="5">
        <v>3.5</v>
      </c>
      <c r="I1132" t="s">
        <v>21</v>
      </c>
      <c r="J1132" t="s">
        <v>51</v>
      </c>
      <c r="K1132" t="s">
        <v>52</v>
      </c>
      <c r="L1132" t="s">
        <v>2125</v>
      </c>
      <c r="M1132" s="5">
        <f t="shared" si="103"/>
        <v>7</v>
      </c>
      <c r="N1132" t="str">
        <f t="shared" si="104"/>
        <v>January</v>
      </c>
      <c r="O1132" t="str">
        <f t="shared" si="105"/>
        <v>Monday</v>
      </c>
      <c r="P1132">
        <f t="shared" si="102"/>
        <v>15</v>
      </c>
      <c r="Q1132" s="2">
        <f t="shared" si="106"/>
        <v>1</v>
      </c>
      <c r="R1132" s="2">
        <f t="shared" si="107"/>
        <v>1</v>
      </c>
      <c r="S1132">
        <f>SUMIF(Table1[product_category],"Bakery",Table1[Total_bill])</f>
        <v>2951.25</v>
      </c>
    </row>
    <row r="1133" spans="1:19" x14ac:dyDescent="0.3">
      <c r="A1133" s="2">
        <v>11132</v>
      </c>
      <c r="B1133" s="4">
        <v>46763</v>
      </c>
      <c r="C1133" t="s">
        <v>1279</v>
      </c>
      <c r="D1133" t="s">
        <v>25</v>
      </c>
      <c r="E1133" t="s">
        <v>26</v>
      </c>
      <c r="F1133" t="s">
        <v>66</v>
      </c>
      <c r="G1133">
        <v>2</v>
      </c>
      <c r="H1133" s="5">
        <v>6</v>
      </c>
      <c r="I1133" t="s">
        <v>72</v>
      </c>
      <c r="J1133" t="s">
        <v>72</v>
      </c>
      <c r="K1133" t="s">
        <v>138</v>
      </c>
      <c r="L1133" t="s">
        <v>2125</v>
      </c>
      <c r="M1133" s="5">
        <f t="shared" si="103"/>
        <v>12</v>
      </c>
      <c r="N1133" t="str">
        <f t="shared" si="104"/>
        <v>January</v>
      </c>
      <c r="O1133" t="str">
        <f t="shared" si="105"/>
        <v>Tuesday</v>
      </c>
      <c r="P1133">
        <f t="shared" si="102"/>
        <v>11</v>
      </c>
      <c r="Q1133" s="2">
        <f t="shared" si="106"/>
        <v>2</v>
      </c>
      <c r="R1133" s="2">
        <f t="shared" si="107"/>
        <v>1</v>
      </c>
      <c r="S1133">
        <f>SUMIF(Table1[product_category],"Bakery",Table1[Total_bill])</f>
        <v>2951.25</v>
      </c>
    </row>
    <row r="1134" spans="1:19" x14ac:dyDescent="0.3">
      <c r="A1134" s="2">
        <v>11133</v>
      </c>
      <c r="B1134" s="4">
        <v>46764</v>
      </c>
      <c r="C1134" t="s">
        <v>1280</v>
      </c>
      <c r="D1134" t="s">
        <v>18</v>
      </c>
      <c r="E1134" t="s">
        <v>19</v>
      </c>
      <c r="F1134" t="s">
        <v>68</v>
      </c>
      <c r="G1134">
        <v>1</v>
      </c>
      <c r="H1134" s="5">
        <v>2.25</v>
      </c>
      <c r="I1134" t="s">
        <v>21</v>
      </c>
      <c r="J1134" t="s">
        <v>58</v>
      </c>
      <c r="K1134" t="s">
        <v>59</v>
      </c>
      <c r="L1134" t="s">
        <v>2125</v>
      </c>
      <c r="M1134" s="5">
        <f t="shared" si="103"/>
        <v>2.25</v>
      </c>
      <c r="N1134" t="str">
        <f t="shared" si="104"/>
        <v>January</v>
      </c>
      <c r="O1134" t="str">
        <f t="shared" si="105"/>
        <v>Wednesday</v>
      </c>
      <c r="P1134">
        <f t="shared" si="102"/>
        <v>7</v>
      </c>
      <c r="Q1134" s="2">
        <f t="shared" si="106"/>
        <v>3</v>
      </c>
      <c r="R1134" s="2">
        <f t="shared" si="107"/>
        <v>1</v>
      </c>
      <c r="S1134">
        <f>SUMIF(Table1[product_category],"Bakery",Table1[Total_bill])</f>
        <v>2951.25</v>
      </c>
    </row>
    <row r="1135" spans="1:19" x14ac:dyDescent="0.3">
      <c r="A1135" s="2">
        <v>11134</v>
      </c>
      <c r="B1135" s="4">
        <v>46765</v>
      </c>
      <c r="C1135" t="s">
        <v>1281</v>
      </c>
      <c r="D1135" t="s">
        <v>18</v>
      </c>
      <c r="E1135" t="s">
        <v>19</v>
      </c>
      <c r="F1135" t="s">
        <v>71</v>
      </c>
      <c r="G1135">
        <v>1</v>
      </c>
      <c r="H1135" s="5">
        <v>2.25</v>
      </c>
      <c r="I1135" t="s">
        <v>21</v>
      </c>
      <c r="J1135" t="s">
        <v>58</v>
      </c>
      <c r="K1135" t="s">
        <v>59</v>
      </c>
      <c r="L1135" t="s">
        <v>2125</v>
      </c>
      <c r="M1135" s="5">
        <f t="shared" si="103"/>
        <v>2.25</v>
      </c>
      <c r="N1135" t="str">
        <f t="shared" si="104"/>
        <v>January</v>
      </c>
      <c r="O1135" t="str">
        <f t="shared" si="105"/>
        <v>Thursday</v>
      </c>
      <c r="P1135">
        <f t="shared" si="102"/>
        <v>8</v>
      </c>
      <c r="Q1135" s="2">
        <f t="shared" si="106"/>
        <v>4</v>
      </c>
      <c r="R1135" s="2">
        <f t="shared" si="107"/>
        <v>1</v>
      </c>
      <c r="S1135">
        <f>SUMIF(Table1[product_category],"Bakery",Table1[Total_bill])</f>
        <v>2951.25</v>
      </c>
    </row>
    <row r="1136" spans="1:19" x14ac:dyDescent="0.3">
      <c r="A1136" s="2">
        <v>11135</v>
      </c>
      <c r="B1136" s="4">
        <v>46766</v>
      </c>
      <c r="C1136" t="s">
        <v>1282</v>
      </c>
      <c r="D1136" t="s">
        <v>25</v>
      </c>
      <c r="E1136" t="s">
        <v>26</v>
      </c>
      <c r="F1136" t="s">
        <v>75</v>
      </c>
      <c r="G1136">
        <v>4</v>
      </c>
      <c r="H1136" s="5">
        <v>4.75</v>
      </c>
      <c r="I1136" t="s">
        <v>32</v>
      </c>
      <c r="J1136" t="s">
        <v>202</v>
      </c>
      <c r="K1136" t="s">
        <v>202</v>
      </c>
      <c r="L1136" t="s">
        <v>2123</v>
      </c>
      <c r="M1136" s="5">
        <f t="shared" si="103"/>
        <v>19</v>
      </c>
      <c r="N1136" t="str">
        <f t="shared" si="104"/>
        <v>January</v>
      </c>
      <c r="O1136" t="str">
        <f t="shared" si="105"/>
        <v>Friday</v>
      </c>
      <c r="P1136">
        <f t="shared" si="102"/>
        <v>14</v>
      </c>
      <c r="Q1136" s="2">
        <f t="shared" si="106"/>
        <v>5</v>
      </c>
      <c r="R1136" s="2">
        <f t="shared" si="107"/>
        <v>1</v>
      </c>
      <c r="S1136">
        <f>SUMIF(Table1[product_category],"Bakery",Table1[Total_bill])</f>
        <v>2951.25</v>
      </c>
    </row>
    <row r="1137" spans="1:19" x14ac:dyDescent="0.3">
      <c r="A1137" s="2">
        <v>11136</v>
      </c>
      <c r="B1137" s="4">
        <v>46767</v>
      </c>
      <c r="C1137" t="s">
        <v>1283</v>
      </c>
      <c r="D1137" t="s">
        <v>18</v>
      </c>
      <c r="E1137" t="s">
        <v>19</v>
      </c>
      <c r="F1137" t="s">
        <v>78</v>
      </c>
      <c r="G1137">
        <v>4</v>
      </c>
      <c r="H1137" s="5">
        <v>3.5</v>
      </c>
      <c r="I1137" t="s">
        <v>32</v>
      </c>
      <c r="J1137" t="s">
        <v>33</v>
      </c>
      <c r="K1137" t="s">
        <v>33</v>
      </c>
      <c r="L1137" t="s">
        <v>2122</v>
      </c>
      <c r="M1137" s="5">
        <f t="shared" si="103"/>
        <v>14</v>
      </c>
      <c r="N1137" t="str">
        <f t="shared" si="104"/>
        <v>January</v>
      </c>
      <c r="O1137" t="str">
        <f t="shared" si="105"/>
        <v>Saturday</v>
      </c>
      <c r="P1137">
        <f t="shared" si="102"/>
        <v>7</v>
      </c>
      <c r="Q1137" s="2">
        <f t="shared" si="106"/>
        <v>6</v>
      </c>
      <c r="R1137" s="2">
        <f t="shared" si="107"/>
        <v>1</v>
      </c>
      <c r="S1137">
        <f>SUMIF(Table1[product_category],"Bakery",Table1[Total_bill])</f>
        <v>2951.25</v>
      </c>
    </row>
    <row r="1138" spans="1:19" x14ac:dyDescent="0.3">
      <c r="A1138" s="2">
        <v>11137</v>
      </c>
      <c r="B1138" s="4">
        <v>46768</v>
      </c>
      <c r="C1138" t="s">
        <v>1284</v>
      </c>
      <c r="D1138" t="s">
        <v>18</v>
      </c>
      <c r="E1138" t="s">
        <v>19</v>
      </c>
      <c r="F1138" t="s">
        <v>80</v>
      </c>
      <c r="G1138">
        <v>3</v>
      </c>
      <c r="H1138" s="5">
        <v>4.75</v>
      </c>
      <c r="I1138" t="s">
        <v>32</v>
      </c>
      <c r="J1138" t="s">
        <v>69</v>
      </c>
      <c r="K1138" t="s">
        <v>69</v>
      </c>
      <c r="L1138" t="s">
        <v>2123</v>
      </c>
      <c r="M1138" s="5">
        <f t="shared" si="103"/>
        <v>14.25</v>
      </c>
      <c r="N1138" t="str">
        <f t="shared" si="104"/>
        <v>January</v>
      </c>
      <c r="O1138" t="str">
        <f t="shared" si="105"/>
        <v>Sunday</v>
      </c>
      <c r="P1138">
        <f t="shared" si="102"/>
        <v>17</v>
      </c>
      <c r="Q1138" s="2">
        <f t="shared" si="106"/>
        <v>7</v>
      </c>
      <c r="R1138" s="2">
        <f t="shared" si="107"/>
        <v>1</v>
      </c>
      <c r="S1138">
        <f>SUMIF(Table1[product_category],"Bakery",Table1[Total_bill])</f>
        <v>2951.25</v>
      </c>
    </row>
    <row r="1139" spans="1:19" x14ac:dyDescent="0.3">
      <c r="A1139" s="2">
        <v>11138</v>
      </c>
      <c r="B1139" s="4">
        <v>46769</v>
      </c>
      <c r="C1139" t="s">
        <v>1285</v>
      </c>
      <c r="D1139" t="s">
        <v>40</v>
      </c>
      <c r="E1139" t="s">
        <v>41</v>
      </c>
      <c r="F1139" t="s">
        <v>84</v>
      </c>
      <c r="G1139">
        <v>1</v>
      </c>
      <c r="H1139" s="5">
        <v>9.5</v>
      </c>
      <c r="I1139" t="s">
        <v>28</v>
      </c>
      <c r="J1139" t="s">
        <v>28</v>
      </c>
      <c r="K1139" t="s">
        <v>29</v>
      </c>
      <c r="L1139" t="s">
        <v>2125</v>
      </c>
      <c r="M1139" s="5">
        <f t="shared" si="103"/>
        <v>9.5</v>
      </c>
      <c r="N1139" t="str">
        <f t="shared" si="104"/>
        <v>January</v>
      </c>
      <c r="O1139" t="str">
        <f t="shared" si="105"/>
        <v>Monday</v>
      </c>
      <c r="P1139">
        <f t="shared" si="102"/>
        <v>11</v>
      </c>
      <c r="Q1139" s="2">
        <f t="shared" si="106"/>
        <v>1</v>
      </c>
      <c r="R1139" s="2">
        <f t="shared" si="107"/>
        <v>1</v>
      </c>
      <c r="S1139">
        <f>SUMIF(Table1[product_category],"Bakery",Table1[Total_bill])</f>
        <v>2951.25</v>
      </c>
    </row>
    <row r="1140" spans="1:19" x14ac:dyDescent="0.3">
      <c r="A1140" s="2">
        <v>11139</v>
      </c>
      <c r="B1140" s="4">
        <v>46770</v>
      </c>
      <c r="C1140" t="s">
        <v>1286</v>
      </c>
      <c r="D1140" t="s">
        <v>40</v>
      </c>
      <c r="E1140" t="s">
        <v>41</v>
      </c>
      <c r="F1140" t="s">
        <v>86</v>
      </c>
      <c r="G1140">
        <v>4</v>
      </c>
      <c r="H1140" s="5">
        <v>2.5</v>
      </c>
      <c r="I1140" t="s">
        <v>21</v>
      </c>
      <c r="J1140" t="s">
        <v>47</v>
      </c>
      <c r="K1140" t="s">
        <v>48</v>
      </c>
      <c r="L1140" t="s">
        <v>2125</v>
      </c>
      <c r="M1140" s="5">
        <f t="shared" si="103"/>
        <v>10</v>
      </c>
      <c r="N1140" t="str">
        <f t="shared" si="104"/>
        <v>January</v>
      </c>
      <c r="O1140" t="str">
        <f t="shared" si="105"/>
        <v>Tuesday</v>
      </c>
      <c r="P1140">
        <f t="shared" si="102"/>
        <v>11</v>
      </c>
      <c r="Q1140" s="2">
        <f t="shared" si="106"/>
        <v>2</v>
      </c>
      <c r="R1140" s="2">
        <f t="shared" si="107"/>
        <v>1</v>
      </c>
      <c r="S1140">
        <f>SUMIF(Table1[product_category],"Bakery",Table1[Total_bill])</f>
        <v>2951.25</v>
      </c>
    </row>
    <row r="1141" spans="1:19" x14ac:dyDescent="0.3">
      <c r="A1141" s="2">
        <v>11140</v>
      </c>
      <c r="B1141" s="4">
        <v>46771</v>
      </c>
      <c r="C1141" t="s">
        <v>1287</v>
      </c>
      <c r="D1141" t="s">
        <v>40</v>
      </c>
      <c r="E1141" t="s">
        <v>41</v>
      </c>
      <c r="F1141" t="s">
        <v>88</v>
      </c>
      <c r="G1141">
        <v>3</v>
      </c>
      <c r="H1141" s="5">
        <v>3.25</v>
      </c>
      <c r="I1141" t="s">
        <v>36</v>
      </c>
      <c r="J1141" t="s">
        <v>211</v>
      </c>
      <c r="K1141" t="s">
        <v>212</v>
      </c>
      <c r="L1141" t="s">
        <v>2122</v>
      </c>
      <c r="M1141" s="5">
        <f t="shared" si="103"/>
        <v>9.75</v>
      </c>
      <c r="N1141" t="str">
        <f t="shared" si="104"/>
        <v>January</v>
      </c>
      <c r="O1141" t="str">
        <f t="shared" si="105"/>
        <v>Wednesday</v>
      </c>
      <c r="P1141">
        <f t="shared" si="102"/>
        <v>13</v>
      </c>
      <c r="Q1141" s="2">
        <f t="shared" si="106"/>
        <v>3</v>
      </c>
      <c r="R1141" s="2">
        <f t="shared" si="107"/>
        <v>1</v>
      </c>
      <c r="S1141">
        <f>SUMIF(Table1[product_category],"Bakery",Table1[Total_bill])</f>
        <v>2951.25</v>
      </c>
    </row>
    <row r="1142" spans="1:19" x14ac:dyDescent="0.3">
      <c r="A1142" s="2">
        <v>11141</v>
      </c>
      <c r="B1142" s="4">
        <v>46772</v>
      </c>
      <c r="C1142" t="s">
        <v>1288</v>
      </c>
      <c r="D1142" t="s">
        <v>18</v>
      </c>
      <c r="E1142" t="s">
        <v>19</v>
      </c>
      <c r="F1142" t="s">
        <v>93</v>
      </c>
      <c r="G1142">
        <v>2</v>
      </c>
      <c r="H1142" s="5">
        <v>5.5</v>
      </c>
      <c r="I1142" t="s">
        <v>72</v>
      </c>
      <c r="J1142" t="s">
        <v>72</v>
      </c>
      <c r="K1142" t="s">
        <v>141</v>
      </c>
      <c r="L1142" t="s">
        <v>2125</v>
      </c>
      <c r="M1142" s="5">
        <f t="shared" si="103"/>
        <v>11</v>
      </c>
      <c r="N1142" t="str">
        <f t="shared" si="104"/>
        <v>January</v>
      </c>
      <c r="O1142" t="str">
        <f t="shared" si="105"/>
        <v>Thursday</v>
      </c>
      <c r="P1142">
        <f t="shared" si="102"/>
        <v>16</v>
      </c>
      <c r="Q1142" s="2">
        <f t="shared" si="106"/>
        <v>4</v>
      </c>
      <c r="R1142" s="2">
        <f t="shared" si="107"/>
        <v>1</v>
      </c>
      <c r="S1142">
        <f>SUMIF(Table1[product_category],"Bakery",Table1[Total_bill])</f>
        <v>2951.25</v>
      </c>
    </row>
    <row r="1143" spans="1:19" x14ac:dyDescent="0.3">
      <c r="A1143" s="2">
        <v>11142</v>
      </c>
      <c r="B1143" s="4">
        <v>46773</v>
      </c>
      <c r="C1143" t="s">
        <v>1289</v>
      </c>
      <c r="D1143" t="s">
        <v>40</v>
      </c>
      <c r="E1143" t="s">
        <v>41</v>
      </c>
      <c r="F1143" t="s">
        <v>97</v>
      </c>
      <c r="G1143">
        <v>4</v>
      </c>
      <c r="H1143" s="5">
        <v>3</v>
      </c>
      <c r="I1143" t="s">
        <v>32</v>
      </c>
      <c r="J1143" t="s">
        <v>226</v>
      </c>
      <c r="K1143" t="s">
        <v>227</v>
      </c>
      <c r="L1143" t="s">
        <v>2124</v>
      </c>
      <c r="M1143" s="5">
        <f t="shared" si="103"/>
        <v>12</v>
      </c>
      <c r="N1143" t="str">
        <f t="shared" si="104"/>
        <v>January</v>
      </c>
      <c r="O1143" t="str">
        <f t="shared" si="105"/>
        <v>Friday</v>
      </c>
      <c r="P1143">
        <f t="shared" si="102"/>
        <v>9</v>
      </c>
      <c r="Q1143" s="2">
        <f t="shared" si="106"/>
        <v>5</v>
      </c>
      <c r="R1143" s="2">
        <f t="shared" si="107"/>
        <v>1</v>
      </c>
      <c r="S1143">
        <f>SUMIF(Table1[product_category],"Bakery",Table1[Total_bill])</f>
        <v>2951.25</v>
      </c>
    </row>
    <row r="1144" spans="1:19" x14ac:dyDescent="0.3">
      <c r="A1144" s="2">
        <v>11143</v>
      </c>
      <c r="B1144" s="4">
        <v>46774</v>
      </c>
      <c r="C1144" t="s">
        <v>1290</v>
      </c>
      <c r="D1144" t="s">
        <v>25</v>
      </c>
      <c r="E1144" t="s">
        <v>26</v>
      </c>
      <c r="F1144" t="s">
        <v>100</v>
      </c>
      <c r="G1144">
        <v>3</v>
      </c>
      <c r="H1144" s="5">
        <v>2.75</v>
      </c>
      <c r="I1144" t="s">
        <v>21</v>
      </c>
      <c r="J1144" t="s">
        <v>22</v>
      </c>
      <c r="K1144" t="s">
        <v>23</v>
      </c>
      <c r="L1144" t="s">
        <v>2125</v>
      </c>
      <c r="M1144" s="5">
        <f t="shared" si="103"/>
        <v>8.25</v>
      </c>
      <c r="N1144" t="str">
        <f t="shared" si="104"/>
        <v>January</v>
      </c>
      <c r="O1144" t="str">
        <f t="shared" si="105"/>
        <v>Saturday</v>
      </c>
      <c r="P1144">
        <f t="shared" si="102"/>
        <v>14</v>
      </c>
      <c r="Q1144" s="2">
        <f t="shared" si="106"/>
        <v>6</v>
      </c>
      <c r="R1144" s="2">
        <f t="shared" si="107"/>
        <v>1</v>
      </c>
      <c r="S1144">
        <f>SUMIF(Table1[product_category],"Bakery",Table1[Total_bill])</f>
        <v>2951.25</v>
      </c>
    </row>
    <row r="1145" spans="1:19" x14ac:dyDescent="0.3">
      <c r="A1145" s="2">
        <v>11144</v>
      </c>
      <c r="B1145" s="4">
        <v>46775</v>
      </c>
      <c r="C1145" t="s">
        <v>1291</v>
      </c>
      <c r="D1145" t="s">
        <v>40</v>
      </c>
      <c r="E1145" t="s">
        <v>41</v>
      </c>
      <c r="F1145" t="s">
        <v>105</v>
      </c>
      <c r="G1145">
        <v>1</v>
      </c>
      <c r="H1145" s="5">
        <v>4</v>
      </c>
      <c r="I1145" t="s">
        <v>36</v>
      </c>
      <c r="J1145" t="s">
        <v>110</v>
      </c>
      <c r="K1145" t="s">
        <v>110</v>
      </c>
      <c r="L1145" t="s">
        <v>2122</v>
      </c>
      <c r="M1145" s="5">
        <f t="shared" si="103"/>
        <v>4</v>
      </c>
      <c r="N1145" t="str">
        <f t="shared" si="104"/>
        <v>January</v>
      </c>
      <c r="O1145" t="str">
        <f t="shared" si="105"/>
        <v>Sunday</v>
      </c>
      <c r="P1145">
        <f t="shared" si="102"/>
        <v>12</v>
      </c>
      <c r="Q1145" s="2">
        <f t="shared" si="106"/>
        <v>7</v>
      </c>
      <c r="R1145" s="2">
        <f t="shared" si="107"/>
        <v>1</v>
      </c>
      <c r="S1145">
        <f>SUMIF(Table1[product_category],"Bakery",Table1[Total_bill])</f>
        <v>2951.25</v>
      </c>
    </row>
    <row r="1146" spans="1:19" x14ac:dyDescent="0.3">
      <c r="A1146" s="2">
        <v>11145</v>
      </c>
      <c r="B1146" s="4">
        <v>46776</v>
      </c>
      <c r="C1146" t="s">
        <v>1292</v>
      </c>
      <c r="D1146" t="s">
        <v>18</v>
      </c>
      <c r="E1146" t="s">
        <v>19</v>
      </c>
      <c r="F1146" t="s">
        <v>107</v>
      </c>
      <c r="G1146">
        <v>3</v>
      </c>
      <c r="H1146" s="5">
        <v>4.75</v>
      </c>
      <c r="I1146" t="s">
        <v>32</v>
      </c>
      <c r="J1146" t="s">
        <v>202</v>
      </c>
      <c r="K1146" t="s">
        <v>202</v>
      </c>
      <c r="L1146" t="s">
        <v>2123</v>
      </c>
      <c r="M1146" s="5">
        <f t="shared" si="103"/>
        <v>14.25</v>
      </c>
      <c r="N1146" t="str">
        <f t="shared" si="104"/>
        <v>January</v>
      </c>
      <c r="O1146" t="str">
        <f t="shared" si="105"/>
        <v>Monday</v>
      </c>
      <c r="P1146">
        <f t="shared" si="102"/>
        <v>9</v>
      </c>
      <c r="Q1146" s="2">
        <f t="shared" si="106"/>
        <v>1</v>
      </c>
      <c r="R1146" s="2">
        <f t="shared" si="107"/>
        <v>1</v>
      </c>
      <c r="S1146">
        <f>SUMIF(Table1[product_category],"Bakery",Table1[Total_bill])</f>
        <v>2951.25</v>
      </c>
    </row>
    <row r="1147" spans="1:19" x14ac:dyDescent="0.3">
      <c r="A1147" s="2">
        <v>11146</v>
      </c>
      <c r="B1147" s="4">
        <v>46777</v>
      </c>
      <c r="C1147" t="s">
        <v>1293</v>
      </c>
      <c r="D1147" t="s">
        <v>18</v>
      </c>
      <c r="E1147" t="s">
        <v>19</v>
      </c>
      <c r="F1147" t="s">
        <v>109</v>
      </c>
      <c r="G1147">
        <v>2</v>
      </c>
      <c r="H1147" s="5">
        <v>3.5</v>
      </c>
      <c r="I1147" t="s">
        <v>36</v>
      </c>
      <c r="J1147" t="s">
        <v>246</v>
      </c>
      <c r="K1147" t="s">
        <v>247</v>
      </c>
      <c r="L1147" t="s">
        <v>2123</v>
      </c>
      <c r="M1147" s="5">
        <f t="shared" si="103"/>
        <v>7</v>
      </c>
      <c r="N1147" t="str">
        <f t="shared" si="104"/>
        <v>January</v>
      </c>
      <c r="O1147" t="str">
        <f t="shared" si="105"/>
        <v>Tuesday</v>
      </c>
      <c r="P1147">
        <f t="shared" si="102"/>
        <v>17</v>
      </c>
      <c r="Q1147" s="2">
        <f t="shared" si="106"/>
        <v>2</v>
      </c>
      <c r="R1147" s="2">
        <f t="shared" si="107"/>
        <v>1</v>
      </c>
      <c r="S1147">
        <f>SUMIF(Table1[product_category],"Bakery",Table1[Total_bill])</f>
        <v>2951.25</v>
      </c>
    </row>
    <row r="1148" spans="1:19" x14ac:dyDescent="0.3">
      <c r="A1148" s="2">
        <v>11147</v>
      </c>
      <c r="B1148" s="4">
        <v>46778</v>
      </c>
      <c r="C1148" t="s">
        <v>1294</v>
      </c>
      <c r="D1148" t="s">
        <v>40</v>
      </c>
      <c r="E1148" t="s">
        <v>41</v>
      </c>
      <c r="F1148" t="s">
        <v>112</v>
      </c>
      <c r="G1148">
        <v>2</v>
      </c>
      <c r="H1148" s="5">
        <v>3.5</v>
      </c>
      <c r="I1148" t="s">
        <v>32</v>
      </c>
      <c r="J1148" t="s">
        <v>33</v>
      </c>
      <c r="K1148" t="s">
        <v>33</v>
      </c>
      <c r="L1148" t="s">
        <v>2122</v>
      </c>
      <c r="M1148" s="5">
        <f t="shared" si="103"/>
        <v>7</v>
      </c>
      <c r="N1148" t="str">
        <f t="shared" si="104"/>
        <v>January</v>
      </c>
      <c r="O1148" t="str">
        <f t="shared" si="105"/>
        <v>Wednesday</v>
      </c>
      <c r="P1148">
        <f t="shared" si="102"/>
        <v>16</v>
      </c>
      <c r="Q1148" s="2">
        <f t="shared" si="106"/>
        <v>3</v>
      </c>
      <c r="R1148" s="2">
        <f t="shared" si="107"/>
        <v>1</v>
      </c>
      <c r="S1148">
        <f>SUMIF(Table1[product_category],"Bakery",Table1[Total_bill])</f>
        <v>2951.25</v>
      </c>
    </row>
    <row r="1149" spans="1:19" x14ac:dyDescent="0.3">
      <c r="A1149" s="2">
        <v>11148</v>
      </c>
      <c r="B1149" s="4">
        <v>46779</v>
      </c>
      <c r="C1149" t="s">
        <v>1295</v>
      </c>
      <c r="D1149" t="s">
        <v>40</v>
      </c>
      <c r="E1149" t="s">
        <v>41</v>
      </c>
      <c r="F1149" t="s">
        <v>115</v>
      </c>
      <c r="G1149">
        <v>2</v>
      </c>
      <c r="H1149" s="5">
        <v>3.5</v>
      </c>
      <c r="I1149" t="s">
        <v>36</v>
      </c>
      <c r="J1149" t="s">
        <v>246</v>
      </c>
      <c r="K1149" t="s">
        <v>247</v>
      </c>
      <c r="L1149" t="s">
        <v>2123</v>
      </c>
      <c r="M1149" s="5">
        <f t="shared" si="103"/>
        <v>7</v>
      </c>
      <c r="N1149" t="str">
        <f t="shared" si="104"/>
        <v>January</v>
      </c>
      <c r="O1149" t="str">
        <f t="shared" si="105"/>
        <v>Thursday</v>
      </c>
      <c r="P1149">
        <f t="shared" si="102"/>
        <v>14</v>
      </c>
      <c r="Q1149" s="2">
        <f t="shared" si="106"/>
        <v>4</v>
      </c>
      <c r="R1149" s="2">
        <f t="shared" si="107"/>
        <v>1</v>
      </c>
      <c r="S1149">
        <f>SUMIF(Table1[product_category],"Bakery",Table1[Total_bill])</f>
        <v>2951.25</v>
      </c>
    </row>
    <row r="1150" spans="1:19" x14ac:dyDescent="0.3">
      <c r="A1150" s="2">
        <v>11149</v>
      </c>
      <c r="B1150" s="4">
        <v>46780</v>
      </c>
      <c r="C1150" t="s">
        <v>1296</v>
      </c>
      <c r="D1150" t="s">
        <v>40</v>
      </c>
      <c r="E1150" t="s">
        <v>41</v>
      </c>
      <c r="F1150" t="s">
        <v>117</v>
      </c>
      <c r="G1150">
        <v>3</v>
      </c>
      <c r="H1150" s="5">
        <v>4.5</v>
      </c>
      <c r="I1150" t="s">
        <v>32</v>
      </c>
      <c r="J1150" t="s">
        <v>94</v>
      </c>
      <c r="K1150" t="s">
        <v>95</v>
      </c>
      <c r="L1150" t="s">
        <v>2123</v>
      </c>
      <c r="M1150" s="5">
        <f t="shared" si="103"/>
        <v>13.5</v>
      </c>
      <c r="N1150" t="str">
        <f t="shared" si="104"/>
        <v>January</v>
      </c>
      <c r="O1150" t="str">
        <f t="shared" si="105"/>
        <v>Friday</v>
      </c>
      <c r="P1150">
        <f t="shared" si="102"/>
        <v>17</v>
      </c>
      <c r="Q1150" s="2">
        <f t="shared" si="106"/>
        <v>5</v>
      </c>
      <c r="R1150" s="2">
        <f t="shared" si="107"/>
        <v>1</v>
      </c>
      <c r="S1150">
        <f>SUMIF(Table1[product_category],"Bakery",Table1[Total_bill])</f>
        <v>2951.25</v>
      </c>
    </row>
    <row r="1151" spans="1:19" x14ac:dyDescent="0.3">
      <c r="A1151" s="2">
        <v>11150</v>
      </c>
      <c r="B1151" s="4">
        <v>46781</v>
      </c>
      <c r="C1151" t="s">
        <v>1297</v>
      </c>
      <c r="D1151" t="s">
        <v>40</v>
      </c>
      <c r="E1151" t="s">
        <v>41</v>
      </c>
      <c r="F1151" t="s">
        <v>119</v>
      </c>
      <c r="G1151">
        <v>3</v>
      </c>
      <c r="H1151" s="5">
        <v>4.5</v>
      </c>
      <c r="I1151" t="s">
        <v>89</v>
      </c>
      <c r="J1151" t="s">
        <v>90</v>
      </c>
      <c r="K1151" t="s">
        <v>91</v>
      </c>
      <c r="L1151" t="s">
        <v>2124</v>
      </c>
      <c r="M1151" s="5">
        <f t="shared" si="103"/>
        <v>13.5</v>
      </c>
      <c r="N1151" t="str">
        <f t="shared" si="104"/>
        <v>January</v>
      </c>
      <c r="O1151" t="str">
        <f t="shared" si="105"/>
        <v>Saturday</v>
      </c>
      <c r="P1151">
        <f t="shared" si="102"/>
        <v>17</v>
      </c>
      <c r="Q1151" s="2">
        <f t="shared" si="106"/>
        <v>6</v>
      </c>
      <c r="R1151" s="2">
        <f t="shared" si="107"/>
        <v>1</v>
      </c>
      <c r="S1151">
        <f>SUMIF(Table1[product_category],"Bakery",Table1[Total_bill])</f>
        <v>2951.25</v>
      </c>
    </row>
    <row r="1152" spans="1:19" x14ac:dyDescent="0.3">
      <c r="A1152" s="2">
        <v>11151</v>
      </c>
      <c r="B1152" s="4">
        <v>46782</v>
      </c>
      <c r="C1152" t="s">
        <v>1298</v>
      </c>
      <c r="D1152" t="s">
        <v>18</v>
      </c>
      <c r="E1152" t="s">
        <v>19</v>
      </c>
      <c r="F1152" t="s">
        <v>121</v>
      </c>
      <c r="G1152">
        <v>4</v>
      </c>
      <c r="H1152" s="5">
        <v>3</v>
      </c>
      <c r="I1152" t="s">
        <v>36</v>
      </c>
      <c r="J1152" t="s">
        <v>37</v>
      </c>
      <c r="K1152" t="s">
        <v>62</v>
      </c>
      <c r="L1152" t="s">
        <v>2124</v>
      </c>
      <c r="M1152" s="5">
        <f t="shared" si="103"/>
        <v>12</v>
      </c>
      <c r="N1152" t="str">
        <f t="shared" si="104"/>
        <v>January</v>
      </c>
      <c r="O1152" t="str">
        <f t="shared" si="105"/>
        <v>Sunday</v>
      </c>
      <c r="P1152">
        <f t="shared" si="102"/>
        <v>14</v>
      </c>
      <c r="Q1152" s="2">
        <f t="shared" si="106"/>
        <v>7</v>
      </c>
      <c r="R1152" s="2">
        <f t="shared" si="107"/>
        <v>1</v>
      </c>
      <c r="S1152">
        <f>SUMIF(Table1[product_category],"Bakery",Table1[Total_bill])</f>
        <v>2951.25</v>
      </c>
    </row>
    <row r="1153" spans="1:19" x14ac:dyDescent="0.3">
      <c r="A1153" s="2">
        <v>11152</v>
      </c>
      <c r="B1153" s="4">
        <v>46783</v>
      </c>
      <c r="C1153" t="s">
        <v>1299</v>
      </c>
      <c r="D1153" t="s">
        <v>18</v>
      </c>
      <c r="E1153" t="s">
        <v>19</v>
      </c>
      <c r="F1153" t="s">
        <v>124</v>
      </c>
      <c r="G1153">
        <v>1</v>
      </c>
      <c r="H1153" s="5">
        <v>13</v>
      </c>
      <c r="I1153" t="s">
        <v>98</v>
      </c>
      <c r="J1153" t="s">
        <v>98</v>
      </c>
      <c r="K1153" t="s">
        <v>95</v>
      </c>
      <c r="L1153" t="s">
        <v>2125</v>
      </c>
      <c r="M1153" s="5">
        <f t="shared" si="103"/>
        <v>13</v>
      </c>
      <c r="N1153" t="str">
        <f t="shared" si="104"/>
        <v>January</v>
      </c>
      <c r="O1153" t="str">
        <f t="shared" si="105"/>
        <v>Monday</v>
      </c>
      <c r="P1153">
        <f t="shared" si="102"/>
        <v>16</v>
      </c>
      <c r="Q1153" s="2">
        <f t="shared" si="106"/>
        <v>1</v>
      </c>
      <c r="R1153" s="2">
        <f t="shared" si="107"/>
        <v>1</v>
      </c>
      <c r="S1153">
        <f>SUMIF(Table1[product_category],"Bakery",Table1[Total_bill])</f>
        <v>2951.25</v>
      </c>
    </row>
    <row r="1154" spans="1:19" x14ac:dyDescent="0.3">
      <c r="A1154" s="2">
        <v>11153</v>
      </c>
      <c r="B1154" s="4">
        <v>46784</v>
      </c>
      <c r="C1154" t="s">
        <v>1300</v>
      </c>
      <c r="D1154" t="s">
        <v>40</v>
      </c>
      <c r="E1154" t="s">
        <v>41</v>
      </c>
      <c r="F1154" t="s">
        <v>126</v>
      </c>
      <c r="G1154">
        <v>3</v>
      </c>
      <c r="H1154" s="5">
        <v>4.5</v>
      </c>
      <c r="I1154" t="s">
        <v>89</v>
      </c>
      <c r="J1154" t="s">
        <v>261</v>
      </c>
      <c r="K1154" t="s">
        <v>261</v>
      </c>
      <c r="L1154" t="s">
        <v>2123</v>
      </c>
      <c r="M1154" s="5">
        <f t="shared" si="103"/>
        <v>13.5</v>
      </c>
      <c r="N1154" t="str">
        <f t="shared" si="104"/>
        <v>February</v>
      </c>
      <c r="O1154" t="str">
        <f t="shared" si="105"/>
        <v>Tuesday</v>
      </c>
      <c r="P1154">
        <f t="shared" ref="P1154:P1217" si="108">HOUR(TIMEVALUE(C1154))</f>
        <v>14</v>
      </c>
      <c r="Q1154" s="2">
        <f t="shared" si="106"/>
        <v>2</v>
      </c>
      <c r="R1154" s="2">
        <f t="shared" si="107"/>
        <v>2</v>
      </c>
      <c r="S1154">
        <f>SUMIF(Table1[product_category],"Bakery",Table1[Total_bill])</f>
        <v>2951.25</v>
      </c>
    </row>
    <row r="1155" spans="1:19" x14ac:dyDescent="0.3">
      <c r="A1155" s="2">
        <v>11154</v>
      </c>
      <c r="B1155" s="4">
        <v>46785</v>
      </c>
      <c r="C1155" t="s">
        <v>1301</v>
      </c>
      <c r="D1155" t="s">
        <v>25</v>
      </c>
      <c r="E1155" t="s">
        <v>26</v>
      </c>
      <c r="F1155" t="s">
        <v>128</v>
      </c>
      <c r="G1155">
        <v>3</v>
      </c>
      <c r="H1155" s="5">
        <v>9.5</v>
      </c>
      <c r="I1155" t="s">
        <v>28</v>
      </c>
      <c r="J1155" t="s">
        <v>28</v>
      </c>
      <c r="K1155" t="s">
        <v>29</v>
      </c>
      <c r="L1155" t="s">
        <v>2125</v>
      </c>
      <c r="M1155" s="5">
        <f t="shared" ref="M1155:M1218" si="109">G1155*H1155</f>
        <v>28.5</v>
      </c>
      <c r="N1155" t="str">
        <f t="shared" ref="N1155:N1218" si="110">TEXT(B1155,"mmmm")</f>
        <v>February</v>
      </c>
      <c r="O1155" t="str">
        <f t="shared" ref="O1155:O1218" si="111">TEXT(B1155,"dddd")</f>
        <v>Wednesday</v>
      </c>
      <c r="P1155">
        <f t="shared" si="108"/>
        <v>14</v>
      </c>
      <c r="Q1155" s="2">
        <f t="shared" ref="Q1155:Q1218" si="112">WEEKDAY(B1155,2)</f>
        <v>3</v>
      </c>
      <c r="R1155" s="2">
        <f t="shared" ref="R1155:R1218" si="113">MONTH(B1155)</f>
        <v>2</v>
      </c>
      <c r="S1155">
        <f>SUMIF(Table1[product_category],"Bakery",Table1[Total_bill])</f>
        <v>2951.25</v>
      </c>
    </row>
    <row r="1156" spans="1:19" x14ac:dyDescent="0.3">
      <c r="A1156" s="2">
        <v>11155</v>
      </c>
      <c r="B1156" s="4">
        <v>46786</v>
      </c>
      <c r="C1156" t="s">
        <v>1302</v>
      </c>
      <c r="D1156" t="s">
        <v>18</v>
      </c>
      <c r="E1156" t="s">
        <v>19</v>
      </c>
      <c r="F1156" t="s">
        <v>131</v>
      </c>
      <c r="G1156">
        <v>3</v>
      </c>
      <c r="H1156" s="5">
        <v>2.75</v>
      </c>
      <c r="I1156" t="s">
        <v>21</v>
      </c>
      <c r="J1156" t="s">
        <v>22</v>
      </c>
      <c r="K1156" t="s">
        <v>23</v>
      </c>
      <c r="L1156" t="s">
        <v>2125</v>
      </c>
      <c r="M1156" s="5">
        <f t="shared" si="109"/>
        <v>8.25</v>
      </c>
      <c r="N1156" t="str">
        <f t="shared" si="110"/>
        <v>February</v>
      </c>
      <c r="O1156" t="str">
        <f t="shared" si="111"/>
        <v>Thursday</v>
      </c>
      <c r="P1156">
        <f t="shared" si="108"/>
        <v>13</v>
      </c>
      <c r="Q1156" s="2">
        <f t="shared" si="112"/>
        <v>4</v>
      </c>
      <c r="R1156" s="2">
        <f t="shared" si="113"/>
        <v>2</v>
      </c>
      <c r="S1156">
        <f>SUMIF(Table1[product_category],"Bakery",Table1[Total_bill])</f>
        <v>2951.25</v>
      </c>
    </row>
    <row r="1157" spans="1:19" x14ac:dyDescent="0.3">
      <c r="A1157" s="2">
        <v>11156</v>
      </c>
      <c r="B1157" s="4">
        <v>46787</v>
      </c>
      <c r="C1157" t="s">
        <v>1303</v>
      </c>
      <c r="D1157" t="s">
        <v>25</v>
      </c>
      <c r="E1157" t="s">
        <v>26</v>
      </c>
      <c r="F1157" t="s">
        <v>133</v>
      </c>
      <c r="G1157">
        <v>4</v>
      </c>
      <c r="H1157" s="5">
        <v>5</v>
      </c>
      <c r="I1157" t="s">
        <v>36</v>
      </c>
      <c r="J1157" t="s">
        <v>110</v>
      </c>
      <c r="K1157" t="s">
        <v>110</v>
      </c>
      <c r="L1157" t="s">
        <v>2123</v>
      </c>
      <c r="M1157" s="5">
        <f t="shared" si="109"/>
        <v>20</v>
      </c>
      <c r="N1157" t="str">
        <f t="shared" si="110"/>
        <v>February</v>
      </c>
      <c r="O1157" t="str">
        <f t="shared" si="111"/>
        <v>Friday</v>
      </c>
      <c r="P1157">
        <f t="shared" si="108"/>
        <v>15</v>
      </c>
      <c r="Q1157" s="2">
        <f t="shared" si="112"/>
        <v>5</v>
      </c>
      <c r="R1157" s="2">
        <f t="shared" si="113"/>
        <v>2</v>
      </c>
      <c r="S1157">
        <f>SUMIF(Table1[product_category],"Bakery",Table1[Total_bill])</f>
        <v>2951.25</v>
      </c>
    </row>
    <row r="1158" spans="1:19" x14ac:dyDescent="0.3">
      <c r="A1158" s="2">
        <v>11157</v>
      </c>
      <c r="B1158" s="4">
        <v>46788</v>
      </c>
      <c r="C1158" t="s">
        <v>1304</v>
      </c>
      <c r="D1158" t="s">
        <v>18</v>
      </c>
      <c r="E1158" t="s">
        <v>19</v>
      </c>
      <c r="F1158" t="s">
        <v>135</v>
      </c>
      <c r="G1158">
        <v>3</v>
      </c>
      <c r="H1158" s="5">
        <v>3</v>
      </c>
      <c r="I1158" t="s">
        <v>36</v>
      </c>
      <c r="J1158" t="s">
        <v>246</v>
      </c>
      <c r="K1158" t="s">
        <v>247</v>
      </c>
      <c r="L1158" t="s">
        <v>2124</v>
      </c>
      <c r="M1158" s="5">
        <f t="shared" si="109"/>
        <v>9</v>
      </c>
      <c r="N1158" t="str">
        <f t="shared" si="110"/>
        <v>February</v>
      </c>
      <c r="O1158" t="str">
        <f t="shared" si="111"/>
        <v>Saturday</v>
      </c>
      <c r="P1158">
        <f t="shared" si="108"/>
        <v>7</v>
      </c>
      <c r="Q1158" s="2">
        <f t="shared" si="112"/>
        <v>6</v>
      </c>
      <c r="R1158" s="2">
        <f t="shared" si="113"/>
        <v>2</v>
      </c>
      <c r="S1158">
        <f>SUMIF(Table1[product_category],"Bakery",Table1[Total_bill])</f>
        <v>2951.25</v>
      </c>
    </row>
    <row r="1159" spans="1:19" x14ac:dyDescent="0.3">
      <c r="A1159" s="2">
        <v>11158</v>
      </c>
      <c r="B1159" s="4">
        <v>46789</v>
      </c>
      <c r="C1159" t="s">
        <v>1305</v>
      </c>
      <c r="D1159" t="s">
        <v>40</v>
      </c>
      <c r="E1159" t="s">
        <v>41</v>
      </c>
      <c r="F1159" t="s">
        <v>137</v>
      </c>
      <c r="G1159">
        <v>1</v>
      </c>
      <c r="H1159" s="5">
        <v>8</v>
      </c>
      <c r="I1159" t="s">
        <v>28</v>
      </c>
      <c r="J1159" t="s">
        <v>28</v>
      </c>
      <c r="K1159" t="s">
        <v>76</v>
      </c>
      <c r="L1159" t="s">
        <v>2125</v>
      </c>
      <c r="M1159" s="5">
        <f t="shared" si="109"/>
        <v>8</v>
      </c>
      <c r="N1159" t="str">
        <f t="shared" si="110"/>
        <v>February</v>
      </c>
      <c r="O1159" t="str">
        <f t="shared" si="111"/>
        <v>Sunday</v>
      </c>
      <c r="P1159">
        <f t="shared" si="108"/>
        <v>17</v>
      </c>
      <c r="Q1159" s="2">
        <f t="shared" si="112"/>
        <v>7</v>
      </c>
      <c r="R1159" s="2">
        <f t="shared" si="113"/>
        <v>2</v>
      </c>
      <c r="S1159">
        <f>SUMIF(Table1[product_category],"Bakery",Table1[Total_bill])</f>
        <v>2951.25</v>
      </c>
    </row>
    <row r="1160" spans="1:19" x14ac:dyDescent="0.3">
      <c r="A1160" s="2">
        <v>11159</v>
      </c>
      <c r="B1160" s="4">
        <v>46790</v>
      </c>
      <c r="C1160" t="s">
        <v>1306</v>
      </c>
      <c r="D1160" t="s">
        <v>25</v>
      </c>
      <c r="E1160" t="s">
        <v>26</v>
      </c>
      <c r="F1160" t="s">
        <v>140</v>
      </c>
      <c r="G1160">
        <v>1</v>
      </c>
      <c r="H1160" s="5">
        <v>2.25</v>
      </c>
      <c r="I1160" t="s">
        <v>32</v>
      </c>
      <c r="J1160" t="s">
        <v>43</v>
      </c>
      <c r="K1160" t="s">
        <v>44</v>
      </c>
      <c r="L1160" t="s">
        <v>2124</v>
      </c>
      <c r="M1160" s="5">
        <f t="shared" si="109"/>
        <v>2.25</v>
      </c>
      <c r="N1160" t="str">
        <f t="shared" si="110"/>
        <v>February</v>
      </c>
      <c r="O1160" t="str">
        <f t="shared" si="111"/>
        <v>Monday</v>
      </c>
      <c r="P1160">
        <f t="shared" si="108"/>
        <v>17</v>
      </c>
      <c r="Q1160" s="2">
        <f t="shared" si="112"/>
        <v>1</v>
      </c>
      <c r="R1160" s="2">
        <f t="shared" si="113"/>
        <v>2</v>
      </c>
      <c r="S1160">
        <f>SUMIF(Table1[product_category],"Bakery",Table1[Total_bill])</f>
        <v>2951.25</v>
      </c>
    </row>
    <row r="1161" spans="1:19" x14ac:dyDescent="0.3">
      <c r="A1161" s="2">
        <v>11160</v>
      </c>
      <c r="B1161" s="4">
        <v>46791</v>
      </c>
      <c r="C1161" t="s">
        <v>1307</v>
      </c>
      <c r="D1161" t="s">
        <v>40</v>
      </c>
      <c r="E1161" t="s">
        <v>41</v>
      </c>
      <c r="F1161" t="s">
        <v>143</v>
      </c>
      <c r="G1161">
        <v>2</v>
      </c>
      <c r="H1161" s="5">
        <v>3.5</v>
      </c>
      <c r="I1161" t="s">
        <v>21</v>
      </c>
      <c r="J1161" t="s">
        <v>51</v>
      </c>
      <c r="K1161" t="s">
        <v>52</v>
      </c>
      <c r="L1161" t="s">
        <v>2125</v>
      </c>
      <c r="M1161" s="5">
        <f t="shared" si="109"/>
        <v>7</v>
      </c>
      <c r="N1161" t="str">
        <f t="shared" si="110"/>
        <v>February</v>
      </c>
      <c r="O1161" t="str">
        <f t="shared" si="111"/>
        <v>Tuesday</v>
      </c>
      <c r="P1161">
        <f t="shared" si="108"/>
        <v>6</v>
      </c>
      <c r="Q1161" s="2">
        <f t="shared" si="112"/>
        <v>2</v>
      </c>
      <c r="R1161" s="2">
        <f t="shared" si="113"/>
        <v>2</v>
      </c>
      <c r="S1161">
        <f>SUMIF(Table1[product_category],"Bakery",Table1[Total_bill])</f>
        <v>2951.25</v>
      </c>
    </row>
    <row r="1162" spans="1:19" x14ac:dyDescent="0.3">
      <c r="A1162" s="2">
        <v>11161</v>
      </c>
      <c r="B1162" s="4">
        <v>46792</v>
      </c>
      <c r="C1162" t="s">
        <v>1308</v>
      </c>
      <c r="D1162" t="s">
        <v>25</v>
      </c>
      <c r="E1162" t="s">
        <v>26</v>
      </c>
      <c r="F1162" t="s">
        <v>146</v>
      </c>
      <c r="G1162">
        <v>1</v>
      </c>
      <c r="H1162" s="5">
        <v>3.5</v>
      </c>
      <c r="I1162" t="s">
        <v>32</v>
      </c>
      <c r="J1162" t="s">
        <v>226</v>
      </c>
      <c r="K1162" t="s">
        <v>227</v>
      </c>
      <c r="L1162" t="s">
        <v>2123</v>
      </c>
      <c r="M1162" s="5">
        <f t="shared" si="109"/>
        <v>3.5</v>
      </c>
      <c r="N1162" t="str">
        <f t="shared" si="110"/>
        <v>February</v>
      </c>
      <c r="O1162" t="str">
        <f t="shared" si="111"/>
        <v>Wednesday</v>
      </c>
      <c r="P1162">
        <f t="shared" si="108"/>
        <v>16</v>
      </c>
      <c r="Q1162" s="2">
        <f t="shared" si="112"/>
        <v>3</v>
      </c>
      <c r="R1162" s="2">
        <f t="shared" si="113"/>
        <v>2</v>
      </c>
      <c r="S1162">
        <f>SUMIF(Table1[product_category],"Bakery",Table1[Total_bill])</f>
        <v>2951.25</v>
      </c>
    </row>
    <row r="1163" spans="1:19" x14ac:dyDescent="0.3">
      <c r="A1163" s="2">
        <v>11162</v>
      </c>
      <c r="B1163" s="4">
        <v>46793</v>
      </c>
      <c r="C1163" t="s">
        <v>1309</v>
      </c>
      <c r="D1163" t="s">
        <v>25</v>
      </c>
      <c r="E1163" t="s">
        <v>26</v>
      </c>
      <c r="F1163" t="s">
        <v>148</v>
      </c>
      <c r="G1163">
        <v>1</v>
      </c>
      <c r="H1163" s="5">
        <v>4</v>
      </c>
      <c r="I1163" t="s">
        <v>32</v>
      </c>
      <c r="J1163" t="s">
        <v>55</v>
      </c>
      <c r="K1163" t="s">
        <v>55</v>
      </c>
      <c r="L1163" t="s">
        <v>2123</v>
      </c>
      <c r="M1163" s="5">
        <f t="shared" si="109"/>
        <v>4</v>
      </c>
      <c r="N1163" t="str">
        <f t="shared" si="110"/>
        <v>February</v>
      </c>
      <c r="O1163" t="str">
        <f t="shared" si="111"/>
        <v>Thursday</v>
      </c>
      <c r="P1163">
        <f t="shared" si="108"/>
        <v>7</v>
      </c>
      <c r="Q1163" s="2">
        <f t="shared" si="112"/>
        <v>4</v>
      </c>
      <c r="R1163" s="2">
        <f t="shared" si="113"/>
        <v>2</v>
      </c>
      <c r="S1163">
        <f>SUMIF(Table1[product_category],"Bakery",Table1[Total_bill])</f>
        <v>2951.25</v>
      </c>
    </row>
    <row r="1164" spans="1:19" x14ac:dyDescent="0.3">
      <c r="A1164" s="2">
        <v>11163</v>
      </c>
      <c r="B1164" s="4">
        <v>46794</v>
      </c>
      <c r="C1164" t="s">
        <v>1310</v>
      </c>
      <c r="D1164" t="s">
        <v>25</v>
      </c>
      <c r="E1164" t="s">
        <v>26</v>
      </c>
      <c r="F1164" t="s">
        <v>150</v>
      </c>
      <c r="G1164">
        <v>2</v>
      </c>
      <c r="H1164" s="5">
        <v>4.5</v>
      </c>
      <c r="I1164" t="s">
        <v>89</v>
      </c>
      <c r="J1164" t="s">
        <v>261</v>
      </c>
      <c r="K1164" t="s">
        <v>261</v>
      </c>
      <c r="L1164" t="s">
        <v>2123</v>
      </c>
      <c r="M1164" s="5">
        <f t="shared" si="109"/>
        <v>9</v>
      </c>
      <c r="N1164" t="str">
        <f t="shared" si="110"/>
        <v>February</v>
      </c>
      <c r="O1164" t="str">
        <f t="shared" si="111"/>
        <v>Friday</v>
      </c>
      <c r="P1164">
        <f t="shared" si="108"/>
        <v>9</v>
      </c>
      <c r="Q1164" s="2">
        <f t="shared" si="112"/>
        <v>5</v>
      </c>
      <c r="R1164" s="2">
        <f t="shared" si="113"/>
        <v>2</v>
      </c>
      <c r="S1164">
        <f>SUMIF(Table1[product_category],"Bakery",Table1[Total_bill])</f>
        <v>2951.25</v>
      </c>
    </row>
    <row r="1165" spans="1:19" x14ac:dyDescent="0.3">
      <c r="A1165" s="2">
        <v>11164</v>
      </c>
      <c r="B1165" s="4">
        <v>46795</v>
      </c>
      <c r="C1165" t="s">
        <v>1311</v>
      </c>
      <c r="D1165" t="s">
        <v>40</v>
      </c>
      <c r="E1165" t="s">
        <v>41</v>
      </c>
      <c r="F1165" t="s">
        <v>152</v>
      </c>
      <c r="G1165">
        <v>4</v>
      </c>
      <c r="H1165" s="5">
        <v>3</v>
      </c>
      <c r="I1165" t="s">
        <v>21</v>
      </c>
      <c r="J1165" t="s">
        <v>181</v>
      </c>
      <c r="K1165" t="s">
        <v>182</v>
      </c>
      <c r="L1165" t="s">
        <v>2125</v>
      </c>
      <c r="M1165" s="5">
        <f t="shared" si="109"/>
        <v>12</v>
      </c>
      <c r="N1165" t="str">
        <f t="shared" si="110"/>
        <v>February</v>
      </c>
      <c r="O1165" t="str">
        <f t="shared" si="111"/>
        <v>Saturday</v>
      </c>
      <c r="P1165">
        <f t="shared" si="108"/>
        <v>15</v>
      </c>
      <c r="Q1165" s="2">
        <f t="shared" si="112"/>
        <v>6</v>
      </c>
      <c r="R1165" s="2">
        <f t="shared" si="113"/>
        <v>2</v>
      </c>
      <c r="S1165">
        <f>SUMIF(Table1[product_category],"Bakery",Table1[Total_bill])</f>
        <v>2951.25</v>
      </c>
    </row>
    <row r="1166" spans="1:19" x14ac:dyDescent="0.3">
      <c r="A1166" s="2">
        <v>11165</v>
      </c>
      <c r="B1166" s="4">
        <v>46796</v>
      </c>
      <c r="C1166" t="s">
        <v>1312</v>
      </c>
      <c r="D1166" t="s">
        <v>18</v>
      </c>
      <c r="E1166" t="s">
        <v>19</v>
      </c>
      <c r="F1166" t="s">
        <v>154</v>
      </c>
      <c r="G1166">
        <v>3</v>
      </c>
      <c r="H1166" s="5">
        <v>5.5</v>
      </c>
      <c r="I1166" t="s">
        <v>72</v>
      </c>
      <c r="J1166" t="s">
        <v>72</v>
      </c>
      <c r="K1166" t="s">
        <v>73</v>
      </c>
      <c r="L1166" t="s">
        <v>2125</v>
      </c>
      <c r="M1166" s="5">
        <f t="shared" si="109"/>
        <v>16.5</v>
      </c>
      <c r="N1166" t="str">
        <f t="shared" si="110"/>
        <v>February</v>
      </c>
      <c r="O1166" t="str">
        <f t="shared" si="111"/>
        <v>Sunday</v>
      </c>
      <c r="P1166">
        <f t="shared" si="108"/>
        <v>8</v>
      </c>
      <c r="Q1166" s="2">
        <f t="shared" si="112"/>
        <v>7</v>
      </c>
      <c r="R1166" s="2">
        <f t="shared" si="113"/>
        <v>2</v>
      </c>
      <c r="S1166">
        <f>SUMIF(Table1[product_category],"Bakery",Table1[Total_bill])</f>
        <v>2951.25</v>
      </c>
    </row>
    <row r="1167" spans="1:19" x14ac:dyDescent="0.3">
      <c r="A1167" s="2">
        <v>11166</v>
      </c>
      <c r="B1167" s="4">
        <v>46797</v>
      </c>
      <c r="C1167" t="s">
        <v>1313</v>
      </c>
      <c r="D1167" t="s">
        <v>18</v>
      </c>
      <c r="E1167" t="s">
        <v>19</v>
      </c>
      <c r="F1167" t="s">
        <v>156</v>
      </c>
      <c r="G1167">
        <v>3</v>
      </c>
      <c r="H1167" s="5">
        <v>3.25</v>
      </c>
      <c r="I1167" t="s">
        <v>21</v>
      </c>
      <c r="J1167" t="s">
        <v>81</v>
      </c>
      <c r="K1167" t="s">
        <v>82</v>
      </c>
      <c r="L1167" t="s">
        <v>2125</v>
      </c>
      <c r="M1167" s="5">
        <f t="shared" si="109"/>
        <v>9.75</v>
      </c>
      <c r="N1167" t="str">
        <f t="shared" si="110"/>
        <v>February</v>
      </c>
      <c r="O1167" t="str">
        <f t="shared" si="111"/>
        <v>Monday</v>
      </c>
      <c r="P1167">
        <f t="shared" si="108"/>
        <v>16</v>
      </c>
      <c r="Q1167" s="2">
        <f t="shared" si="112"/>
        <v>1</v>
      </c>
      <c r="R1167" s="2">
        <f t="shared" si="113"/>
        <v>2</v>
      </c>
      <c r="S1167">
        <f>SUMIF(Table1[product_category],"Bakery",Table1[Total_bill])</f>
        <v>2951.25</v>
      </c>
    </row>
    <row r="1168" spans="1:19" x14ac:dyDescent="0.3">
      <c r="A1168" s="2">
        <v>11167</v>
      </c>
      <c r="B1168" s="4">
        <v>46798</v>
      </c>
      <c r="C1168" t="s">
        <v>1314</v>
      </c>
      <c r="D1168" t="s">
        <v>40</v>
      </c>
      <c r="E1168" t="s">
        <v>41</v>
      </c>
      <c r="F1168" t="s">
        <v>158</v>
      </c>
      <c r="G1168">
        <v>4</v>
      </c>
      <c r="H1168" s="5">
        <v>4</v>
      </c>
      <c r="I1168" t="s">
        <v>32</v>
      </c>
      <c r="J1168" t="s">
        <v>94</v>
      </c>
      <c r="K1168" t="s">
        <v>95</v>
      </c>
      <c r="L1168" t="s">
        <v>2124</v>
      </c>
      <c r="M1168" s="5">
        <f t="shared" si="109"/>
        <v>16</v>
      </c>
      <c r="N1168" t="str">
        <f t="shared" si="110"/>
        <v>February</v>
      </c>
      <c r="O1168" t="str">
        <f t="shared" si="111"/>
        <v>Tuesday</v>
      </c>
      <c r="P1168">
        <f t="shared" si="108"/>
        <v>16</v>
      </c>
      <c r="Q1168" s="2">
        <f t="shared" si="112"/>
        <v>2</v>
      </c>
      <c r="R1168" s="2">
        <f t="shared" si="113"/>
        <v>2</v>
      </c>
      <c r="S1168">
        <f>SUMIF(Table1[product_category],"Bakery",Table1[Total_bill])</f>
        <v>2951.25</v>
      </c>
    </row>
    <row r="1169" spans="1:19" x14ac:dyDescent="0.3">
      <c r="A1169" s="2">
        <v>11168</v>
      </c>
      <c r="B1169" s="4">
        <v>46799</v>
      </c>
      <c r="C1169" t="s">
        <v>1315</v>
      </c>
      <c r="D1169" t="s">
        <v>40</v>
      </c>
      <c r="E1169" t="s">
        <v>41</v>
      </c>
      <c r="F1169" t="s">
        <v>160</v>
      </c>
      <c r="G1169">
        <v>1</v>
      </c>
      <c r="H1169" s="5">
        <v>3.75</v>
      </c>
      <c r="I1169" t="s">
        <v>36</v>
      </c>
      <c r="J1169" t="s">
        <v>211</v>
      </c>
      <c r="K1169" t="s">
        <v>239</v>
      </c>
      <c r="L1169" t="s">
        <v>2124</v>
      </c>
      <c r="M1169" s="5">
        <f t="shared" si="109"/>
        <v>3.75</v>
      </c>
      <c r="N1169" t="str">
        <f t="shared" si="110"/>
        <v>February</v>
      </c>
      <c r="O1169" t="str">
        <f t="shared" si="111"/>
        <v>Wednesday</v>
      </c>
      <c r="P1169">
        <f t="shared" si="108"/>
        <v>12</v>
      </c>
      <c r="Q1169" s="2">
        <f t="shared" si="112"/>
        <v>3</v>
      </c>
      <c r="R1169" s="2">
        <f t="shared" si="113"/>
        <v>2</v>
      </c>
      <c r="S1169">
        <f>SUMIF(Table1[product_category],"Bakery",Table1[Total_bill])</f>
        <v>2951.25</v>
      </c>
    </row>
    <row r="1170" spans="1:19" x14ac:dyDescent="0.3">
      <c r="A1170" s="2">
        <v>11169</v>
      </c>
      <c r="B1170" s="4">
        <v>46800</v>
      </c>
      <c r="C1170" t="s">
        <v>1316</v>
      </c>
      <c r="D1170" t="s">
        <v>18</v>
      </c>
      <c r="E1170" t="s">
        <v>19</v>
      </c>
      <c r="F1170" t="s">
        <v>162</v>
      </c>
      <c r="G1170">
        <v>4</v>
      </c>
      <c r="H1170" s="5">
        <v>4</v>
      </c>
      <c r="I1170" t="s">
        <v>89</v>
      </c>
      <c r="J1170" t="s">
        <v>90</v>
      </c>
      <c r="K1170" t="s">
        <v>91</v>
      </c>
      <c r="L1170" t="s">
        <v>2122</v>
      </c>
      <c r="M1170" s="5">
        <f t="shared" si="109"/>
        <v>16</v>
      </c>
      <c r="N1170" t="str">
        <f t="shared" si="110"/>
        <v>February</v>
      </c>
      <c r="O1170" t="str">
        <f t="shared" si="111"/>
        <v>Thursday</v>
      </c>
      <c r="P1170">
        <f t="shared" si="108"/>
        <v>6</v>
      </c>
      <c r="Q1170" s="2">
        <f t="shared" si="112"/>
        <v>4</v>
      </c>
      <c r="R1170" s="2">
        <f t="shared" si="113"/>
        <v>2</v>
      </c>
      <c r="S1170">
        <f>SUMIF(Table1[product_category],"Bakery",Table1[Total_bill])</f>
        <v>2951.25</v>
      </c>
    </row>
    <row r="1171" spans="1:19" x14ac:dyDescent="0.3">
      <c r="A1171" s="2">
        <v>11170</v>
      </c>
      <c r="B1171" s="4">
        <v>46801</v>
      </c>
      <c r="C1171" t="s">
        <v>1317</v>
      </c>
      <c r="D1171" t="s">
        <v>40</v>
      </c>
      <c r="E1171" t="s">
        <v>41</v>
      </c>
      <c r="F1171" t="s">
        <v>164</v>
      </c>
      <c r="G1171">
        <v>1</v>
      </c>
      <c r="H1171" s="5">
        <v>3.5</v>
      </c>
      <c r="I1171" t="s">
        <v>36</v>
      </c>
      <c r="J1171" t="s">
        <v>37</v>
      </c>
      <c r="K1171" t="s">
        <v>276</v>
      </c>
      <c r="L1171" t="s">
        <v>2123</v>
      </c>
      <c r="M1171" s="5">
        <f t="shared" si="109"/>
        <v>3.5</v>
      </c>
      <c r="N1171" t="str">
        <f t="shared" si="110"/>
        <v>February</v>
      </c>
      <c r="O1171" t="str">
        <f t="shared" si="111"/>
        <v>Friday</v>
      </c>
      <c r="P1171">
        <f t="shared" si="108"/>
        <v>9</v>
      </c>
      <c r="Q1171" s="2">
        <f t="shared" si="112"/>
        <v>5</v>
      </c>
      <c r="R1171" s="2">
        <f t="shared" si="113"/>
        <v>2</v>
      </c>
      <c r="S1171">
        <f>SUMIF(Table1[product_category],"Bakery",Table1[Total_bill])</f>
        <v>2951.25</v>
      </c>
    </row>
    <row r="1172" spans="1:19" x14ac:dyDescent="0.3">
      <c r="A1172" s="2">
        <v>11171</v>
      </c>
      <c r="B1172" s="4">
        <v>46802</v>
      </c>
      <c r="C1172" t="s">
        <v>1318</v>
      </c>
      <c r="D1172" t="s">
        <v>25</v>
      </c>
      <c r="E1172" t="s">
        <v>26</v>
      </c>
      <c r="F1172" t="s">
        <v>166</v>
      </c>
      <c r="G1172">
        <v>1</v>
      </c>
      <c r="H1172" s="5">
        <v>2.75</v>
      </c>
      <c r="I1172" t="s">
        <v>32</v>
      </c>
      <c r="J1172" t="s">
        <v>226</v>
      </c>
      <c r="K1172" t="s">
        <v>273</v>
      </c>
      <c r="L1172" t="s">
        <v>2122</v>
      </c>
      <c r="M1172" s="5">
        <f t="shared" si="109"/>
        <v>2.75</v>
      </c>
      <c r="N1172" t="str">
        <f t="shared" si="110"/>
        <v>February</v>
      </c>
      <c r="O1172" t="str">
        <f t="shared" si="111"/>
        <v>Saturday</v>
      </c>
      <c r="P1172">
        <f t="shared" si="108"/>
        <v>13</v>
      </c>
      <c r="Q1172" s="2">
        <f t="shared" si="112"/>
        <v>6</v>
      </c>
      <c r="R1172" s="2">
        <f t="shared" si="113"/>
        <v>2</v>
      </c>
      <c r="S1172">
        <f>SUMIF(Table1[product_category],"Bakery",Table1[Total_bill])</f>
        <v>2951.25</v>
      </c>
    </row>
    <row r="1173" spans="1:19" x14ac:dyDescent="0.3">
      <c r="A1173" s="2">
        <v>11172</v>
      </c>
      <c r="B1173" s="4">
        <v>46803</v>
      </c>
      <c r="C1173" t="s">
        <v>1319</v>
      </c>
      <c r="D1173" t="s">
        <v>40</v>
      </c>
      <c r="E1173" t="s">
        <v>41</v>
      </c>
      <c r="F1173" t="s">
        <v>168</v>
      </c>
      <c r="G1173">
        <v>2</v>
      </c>
      <c r="H1173" s="5">
        <v>3</v>
      </c>
      <c r="I1173" t="s">
        <v>32</v>
      </c>
      <c r="J1173" t="s">
        <v>226</v>
      </c>
      <c r="K1173" t="s">
        <v>227</v>
      </c>
      <c r="L1173" t="s">
        <v>2124</v>
      </c>
      <c r="M1173" s="5">
        <f t="shared" si="109"/>
        <v>6</v>
      </c>
      <c r="N1173" t="str">
        <f t="shared" si="110"/>
        <v>February</v>
      </c>
      <c r="O1173" t="str">
        <f t="shared" si="111"/>
        <v>Sunday</v>
      </c>
      <c r="P1173">
        <f t="shared" si="108"/>
        <v>20</v>
      </c>
      <c r="Q1173" s="2">
        <f t="shared" si="112"/>
        <v>7</v>
      </c>
      <c r="R1173" s="2">
        <f t="shared" si="113"/>
        <v>2</v>
      </c>
      <c r="S1173">
        <f>SUMIF(Table1[product_category],"Bakery",Table1[Total_bill])</f>
        <v>2951.25</v>
      </c>
    </row>
    <row r="1174" spans="1:19" x14ac:dyDescent="0.3">
      <c r="A1174" s="2">
        <v>11173</v>
      </c>
      <c r="B1174" s="4">
        <v>46804</v>
      </c>
      <c r="C1174" t="s">
        <v>1320</v>
      </c>
      <c r="D1174" t="s">
        <v>25</v>
      </c>
      <c r="E1174" t="s">
        <v>26</v>
      </c>
      <c r="F1174" t="s">
        <v>170</v>
      </c>
      <c r="G1174">
        <v>2</v>
      </c>
      <c r="H1174" s="5">
        <v>4</v>
      </c>
      <c r="I1174" t="s">
        <v>89</v>
      </c>
      <c r="J1174" t="s">
        <v>261</v>
      </c>
      <c r="K1174" t="s">
        <v>261</v>
      </c>
      <c r="L1174" t="s">
        <v>2124</v>
      </c>
      <c r="M1174" s="5">
        <f t="shared" si="109"/>
        <v>8</v>
      </c>
      <c r="N1174" t="str">
        <f t="shared" si="110"/>
        <v>February</v>
      </c>
      <c r="O1174" t="str">
        <f t="shared" si="111"/>
        <v>Monday</v>
      </c>
      <c r="P1174">
        <f t="shared" si="108"/>
        <v>13</v>
      </c>
      <c r="Q1174" s="2">
        <f t="shared" si="112"/>
        <v>1</v>
      </c>
      <c r="R1174" s="2">
        <f t="shared" si="113"/>
        <v>2</v>
      </c>
      <c r="S1174">
        <f>SUMIF(Table1[product_category],"Bakery",Table1[Total_bill])</f>
        <v>2951.25</v>
      </c>
    </row>
    <row r="1175" spans="1:19" x14ac:dyDescent="0.3">
      <c r="A1175" s="2">
        <v>11174</v>
      </c>
      <c r="B1175" s="4">
        <v>46805</v>
      </c>
      <c r="C1175" t="s">
        <v>1321</v>
      </c>
      <c r="D1175" t="s">
        <v>40</v>
      </c>
      <c r="E1175" t="s">
        <v>41</v>
      </c>
      <c r="F1175" t="s">
        <v>172</v>
      </c>
      <c r="G1175">
        <v>4</v>
      </c>
      <c r="H1175" s="5">
        <v>2.75</v>
      </c>
      <c r="I1175" t="s">
        <v>32</v>
      </c>
      <c r="J1175" t="s">
        <v>43</v>
      </c>
      <c r="K1175" t="s">
        <v>44</v>
      </c>
      <c r="L1175" t="s">
        <v>2123</v>
      </c>
      <c r="M1175" s="5">
        <f t="shared" si="109"/>
        <v>11</v>
      </c>
      <c r="N1175" t="str">
        <f t="shared" si="110"/>
        <v>February</v>
      </c>
      <c r="O1175" t="str">
        <f t="shared" si="111"/>
        <v>Tuesday</v>
      </c>
      <c r="P1175">
        <f t="shared" si="108"/>
        <v>8</v>
      </c>
      <c r="Q1175" s="2">
        <f t="shared" si="112"/>
        <v>2</v>
      </c>
      <c r="R1175" s="2">
        <f t="shared" si="113"/>
        <v>2</v>
      </c>
      <c r="S1175">
        <f>SUMIF(Table1[product_category],"Bakery",Table1[Total_bill])</f>
        <v>2951.25</v>
      </c>
    </row>
    <row r="1176" spans="1:19" x14ac:dyDescent="0.3">
      <c r="A1176" s="2">
        <v>11175</v>
      </c>
      <c r="B1176" s="4">
        <v>46806</v>
      </c>
      <c r="C1176" t="s">
        <v>1322</v>
      </c>
      <c r="D1176" t="s">
        <v>18</v>
      </c>
      <c r="E1176" t="s">
        <v>19</v>
      </c>
      <c r="F1176" t="s">
        <v>174</v>
      </c>
      <c r="G1176">
        <v>2</v>
      </c>
      <c r="H1176" s="5">
        <v>4.75</v>
      </c>
      <c r="I1176" t="s">
        <v>32</v>
      </c>
      <c r="J1176" t="s">
        <v>69</v>
      </c>
      <c r="K1176" t="s">
        <v>69</v>
      </c>
      <c r="L1176" t="s">
        <v>2123</v>
      </c>
      <c r="M1176" s="5">
        <f t="shared" si="109"/>
        <v>9.5</v>
      </c>
      <c r="N1176" t="str">
        <f t="shared" si="110"/>
        <v>February</v>
      </c>
      <c r="O1176" t="str">
        <f t="shared" si="111"/>
        <v>Wednesday</v>
      </c>
      <c r="P1176">
        <f t="shared" si="108"/>
        <v>13</v>
      </c>
      <c r="Q1176" s="2">
        <f t="shared" si="112"/>
        <v>3</v>
      </c>
      <c r="R1176" s="2">
        <f t="shared" si="113"/>
        <v>2</v>
      </c>
      <c r="S1176">
        <f>SUMIF(Table1[product_category],"Bakery",Table1[Total_bill])</f>
        <v>2951.25</v>
      </c>
    </row>
    <row r="1177" spans="1:19" x14ac:dyDescent="0.3">
      <c r="A1177" s="2">
        <v>11176</v>
      </c>
      <c r="B1177" s="4">
        <v>46807</v>
      </c>
      <c r="C1177" t="s">
        <v>1323</v>
      </c>
      <c r="D1177" t="s">
        <v>40</v>
      </c>
      <c r="E1177" t="s">
        <v>41</v>
      </c>
      <c r="F1177" t="s">
        <v>176</v>
      </c>
      <c r="G1177">
        <v>3</v>
      </c>
      <c r="H1177" s="5">
        <v>4</v>
      </c>
      <c r="I1177" t="s">
        <v>32</v>
      </c>
      <c r="J1177" t="s">
        <v>55</v>
      </c>
      <c r="K1177" t="s">
        <v>55</v>
      </c>
      <c r="L1177" t="s">
        <v>2123</v>
      </c>
      <c r="M1177" s="5">
        <f t="shared" si="109"/>
        <v>12</v>
      </c>
      <c r="N1177" t="str">
        <f t="shared" si="110"/>
        <v>February</v>
      </c>
      <c r="O1177" t="str">
        <f t="shared" si="111"/>
        <v>Thursday</v>
      </c>
      <c r="P1177">
        <f t="shared" si="108"/>
        <v>12</v>
      </c>
      <c r="Q1177" s="2">
        <f t="shared" si="112"/>
        <v>4</v>
      </c>
      <c r="R1177" s="2">
        <f t="shared" si="113"/>
        <v>2</v>
      </c>
      <c r="S1177">
        <f>SUMIF(Table1[product_category],"Bakery",Table1[Total_bill])</f>
        <v>2951.25</v>
      </c>
    </row>
    <row r="1178" spans="1:19" x14ac:dyDescent="0.3">
      <c r="A1178" s="2">
        <v>11177</v>
      </c>
      <c r="B1178" s="4">
        <v>46808</v>
      </c>
      <c r="C1178" t="s">
        <v>1324</v>
      </c>
      <c r="D1178" t="s">
        <v>40</v>
      </c>
      <c r="E1178" t="s">
        <v>41</v>
      </c>
      <c r="F1178" t="s">
        <v>178</v>
      </c>
      <c r="G1178">
        <v>1</v>
      </c>
      <c r="H1178" s="5">
        <v>4.5</v>
      </c>
      <c r="I1178" t="s">
        <v>32</v>
      </c>
      <c r="J1178" t="s">
        <v>94</v>
      </c>
      <c r="K1178" t="s">
        <v>95</v>
      </c>
      <c r="L1178" t="s">
        <v>2123</v>
      </c>
      <c r="M1178" s="5">
        <f t="shared" si="109"/>
        <v>4.5</v>
      </c>
      <c r="N1178" t="str">
        <f t="shared" si="110"/>
        <v>February</v>
      </c>
      <c r="O1178" t="str">
        <f t="shared" si="111"/>
        <v>Friday</v>
      </c>
      <c r="P1178">
        <f t="shared" si="108"/>
        <v>15</v>
      </c>
      <c r="Q1178" s="2">
        <f t="shared" si="112"/>
        <v>5</v>
      </c>
      <c r="R1178" s="2">
        <f t="shared" si="113"/>
        <v>2</v>
      </c>
      <c r="S1178">
        <f>SUMIF(Table1[product_category],"Bakery",Table1[Total_bill])</f>
        <v>2951.25</v>
      </c>
    </row>
    <row r="1179" spans="1:19" x14ac:dyDescent="0.3">
      <c r="A1179" s="2">
        <v>11178</v>
      </c>
      <c r="B1179" s="4">
        <v>46809</v>
      </c>
      <c r="C1179" t="s">
        <v>1325</v>
      </c>
      <c r="D1179" t="s">
        <v>40</v>
      </c>
      <c r="E1179" t="s">
        <v>41</v>
      </c>
      <c r="F1179" t="s">
        <v>180</v>
      </c>
      <c r="G1179">
        <v>3</v>
      </c>
      <c r="H1179" s="5">
        <v>4</v>
      </c>
      <c r="I1179" t="s">
        <v>32</v>
      </c>
      <c r="J1179" t="s">
        <v>33</v>
      </c>
      <c r="K1179" t="s">
        <v>33</v>
      </c>
      <c r="L1179" t="s">
        <v>2124</v>
      </c>
      <c r="M1179" s="5">
        <f t="shared" si="109"/>
        <v>12</v>
      </c>
      <c r="N1179" t="str">
        <f t="shared" si="110"/>
        <v>February</v>
      </c>
      <c r="O1179" t="str">
        <f t="shared" si="111"/>
        <v>Saturday</v>
      </c>
      <c r="P1179">
        <f t="shared" si="108"/>
        <v>7</v>
      </c>
      <c r="Q1179" s="2">
        <f t="shared" si="112"/>
        <v>6</v>
      </c>
      <c r="R1179" s="2">
        <f t="shared" si="113"/>
        <v>2</v>
      </c>
      <c r="S1179">
        <f>SUMIF(Table1[product_category],"Bakery",Table1[Total_bill])</f>
        <v>2951.25</v>
      </c>
    </row>
    <row r="1180" spans="1:19" x14ac:dyDescent="0.3">
      <c r="A1180" s="2">
        <v>11179</v>
      </c>
      <c r="B1180" s="4">
        <v>46810</v>
      </c>
      <c r="C1180" t="s">
        <v>1326</v>
      </c>
      <c r="D1180" t="s">
        <v>18</v>
      </c>
      <c r="E1180" t="s">
        <v>19</v>
      </c>
      <c r="F1180" t="s">
        <v>184</v>
      </c>
      <c r="G1180">
        <v>2</v>
      </c>
      <c r="H1180" s="5">
        <v>3.25</v>
      </c>
      <c r="I1180" t="s">
        <v>32</v>
      </c>
      <c r="J1180" t="s">
        <v>226</v>
      </c>
      <c r="K1180" t="s">
        <v>273</v>
      </c>
      <c r="L1180" t="s">
        <v>2124</v>
      </c>
      <c r="M1180" s="5">
        <f t="shared" si="109"/>
        <v>6.5</v>
      </c>
      <c r="N1180" t="str">
        <f t="shared" si="110"/>
        <v>February</v>
      </c>
      <c r="O1180" t="str">
        <f t="shared" si="111"/>
        <v>Sunday</v>
      </c>
      <c r="P1180">
        <f t="shared" si="108"/>
        <v>15</v>
      </c>
      <c r="Q1180" s="2">
        <f t="shared" si="112"/>
        <v>7</v>
      </c>
      <c r="R1180" s="2">
        <f t="shared" si="113"/>
        <v>2</v>
      </c>
      <c r="S1180">
        <f>SUMIF(Table1[product_category],"Bakery",Table1[Total_bill])</f>
        <v>2951.25</v>
      </c>
    </row>
    <row r="1181" spans="1:19" x14ac:dyDescent="0.3">
      <c r="A1181" s="2">
        <v>11180</v>
      </c>
      <c r="B1181" s="4">
        <v>46811</v>
      </c>
      <c r="C1181" t="s">
        <v>1327</v>
      </c>
      <c r="D1181" t="s">
        <v>25</v>
      </c>
      <c r="E1181" t="s">
        <v>26</v>
      </c>
      <c r="F1181" t="s">
        <v>186</v>
      </c>
      <c r="G1181">
        <v>4</v>
      </c>
      <c r="H1181" s="5">
        <v>3.5</v>
      </c>
      <c r="I1181" t="s">
        <v>21</v>
      </c>
      <c r="J1181" t="s">
        <v>51</v>
      </c>
      <c r="K1181" t="s">
        <v>52</v>
      </c>
      <c r="L1181" t="s">
        <v>2125</v>
      </c>
      <c r="M1181" s="5">
        <f t="shared" si="109"/>
        <v>14</v>
      </c>
      <c r="N1181" t="str">
        <f t="shared" si="110"/>
        <v>February</v>
      </c>
      <c r="O1181" t="str">
        <f t="shared" si="111"/>
        <v>Monday</v>
      </c>
      <c r="P1181">
        <f t="shared" si="108"/>
        <v>12</v>
      </c>
      <c r="Q1181" s="2">
        <f t="shared" si="112"/>
        <v>1</v>
      </c>
      <c r="R1181" s="2">
        <f t="shared" si="113"/>
        <v>2</v>
      </c>
      <c r="S1181">
        <f>SUMIF(Table1[product_category],"Bakery",Table1[Total_bill])</f>
        <v>2951.25</v>
      </c>
    </row>
    <row r="1182" spans="1:19" x14ac:dyDescent="0.3">
      <c r="A1182" s="2">
        <v>11181</v>
      </c>
      <c r="B1182" s="4">
        <v>46812</v>
      </c>
      <c r="C1182" t="s">
        <v>1328</v>
      </c>
      <c r="D1182" t="s">
        <v>40</v>
      </c>
      <c r="E1182" t="s">
        <v>41</v>
      </c>
      <c r="F1182" t="s">
        <v>188</v>
      </c>
      <c r="G1182">
        <v>1</v>
      </c>
      <c r="H1182" s="5">
        <v>2.5</v>
      </c>
      <c r="I1182" t="s">
        <v>36</v>
      </c>
      <c r="J1182" t="s">
        <v>37</v>
      </c>
      <c r="K1182" t="s">
        <v>38</v>
      </c>
      <c r="L1182" t="s">
        <v>2122</v>
      </c>
      <c r="M1182" s="5">
        <f t="shared" si="109"/>
        <v>2.5</v>
      </c>
      <c r="N1182" t="str">
        <f t="shared" si="110"/>
        <v>February</v>
      </c>
      <c r="O1182" t="str">
        <f t="shared" si="111"/>
        <v>Tuesday</v>
      </c>
      <c r="P1182">
        <f t="shared" si="108"/>
        <v>20</v>
      </c>
      <c r="Q1182" s="2">
        <f t="shared" si="112"/>
        <v>2</v>
      </c>
      <c r="R1182" s="2">
        <f t="shared" si="113"/>
        <v>2</v>
      </c>
      <c r="S1182">
        <f>SUMIF(Table1[product_category],"Bakery",Table1[Total_bill])</f>
        <v>2951.25</v>
      </c>
    </row>
    <row r="1183" spans="1:19" x14ac:dyDescent="0.3">
      <c r="A1183" s="2">
        <v>11182</v>
      </c>
      <c r="B1183" s="4">
        <v>46813</v>
      </c>
      <c r="C1183" t="s">
        <v>1329</v>
      </c>
      <c r="D1183" t="s">
        <v>18</v>
      </c>
      <c r="E1183" t="s">
        <v>19</v>
      </c>
      <c r="F1183" t="s">
        <v>190</v>
      </c>
      <c r="G1183">
        <v>4</v>
      </c>
      <c r="H1183" s="5">
        <v>3.5</v>
      </c>
      <c r="I1183" t="s">
        <v>36</v>
      </c>
      <c r="J1183" t="s">
        <v>246</v>
      </c>
      <c r="K1183" t="s">
        <v>247</v>
      </c>
      <c r="L1183" t="s">
        <v>2123</v>
      </c>
      <c r="M1183" s="5">
        <f t="shared" si="109"/>
        <v>14</v>
      </c>
      <c r="N1183" t="str">
        <f t="shared" si="110"/>
        <v>March</v>
      </c>
      <c r="O1183" t="str">
        <f t="shared" si="111"/>
        <v>Wednesday</v>
      </c>
      <c r="P1183">
        <f t="shared" si="108"/>
        <v>9</v>
      </c>
      <c r="Q1183" s="2">
        <f t="shared" si="112"/>
        <v>3</v>
      </c>
      <c r="R1183" s="2">
        <f t="shared" si="113"/>
        <v>3</v>
      </c>
      <c r="S1183">
        <f>SUMIF(Table1[product_category],"Bakery",Table1[Total_bill])</f>
        <v>2951.25</v>
      </c>
    </row>
    <row r="1184" spans="1:19" x14ac:dyDescent="0.3">
      <c r="A1184" s="2">
        <v>11183</v>
      </c>
      <c r="B1184" s="4">
        <v>46814</v>
      </c>
      <c r="C1184" t="s">
        <v>1330</v>
      </c>
      <c r="D1184" t="s">
        <v>18</v>
      </c>
      <c r="E1184" t="s">
        <v>19</v>
      </c>
      <c r="F1184" t="s">
        <v>192</v>
      </c>
      <c r="G1184">
        <v>4</v>
      </c>
      <c r="H1184" s="5">
        <v>3.25</v>
      </c>
      <c r="I1184" t="s">
        <v>21</v>
      </c>
      <c r="J1184" t="s">
        <v>81</v>
      </c>
      <c r="K1184" t="s">
        <v>113</v>
      </c>
      <c r="L1184" t="s">
        <v>2125</v>
      </c>
      <c r="M1184" s="5">
        <f t="shared" si="109"/>
        <v>13</v>
      </c>
      <c r="N1184" t="str">
        <f t="shared" si="110"/>
        <v>March</v>
      </c>
      <c r="O1184" t="str">
        <f t="shared" si="111"/>
        <v>Thursday</v>
      </c>
      <c r="P1184">
        <f t="shared" si="108"/>
        <v>13</v>
      </c>
      <c r="Q1184" s="2">
        <f t="shared" si="112"/>
        <v>4</v>
      </c>
      <c r="R1184" s="2">
        <f t="shared" si="113"/>
        <v>3</v>
      </c>
      <c r="S1184">
        <f>SUMIF(Table1[product_category],"Bakery",Table1[Total_bill])</f>
        <v>2951.25</v>
      </c>
    </row>
    <row r="1185" spans="1:19" x14ac:dyDescent="0.3">
      <c r="A1185" s="2">
        <v>11184</v>
      </c>
      <c r="B1185" s="4">
        <v>46815</v>
      </c>
      <c r="C1185" t="s">
        <v>1331</v>
      </c>
      <c r="D1185" t="s">
        <v>40</v>
      </c>
      <c r="E1185" t="s">
        <v>41</v>
      </c>
      <c r="F1185" t="s">
        <v>195</v>
      </c>
      <c r="G1185">
        <v>3</v>
      </c>
      <c r="H1185" s="5">
        <v>2.5</v>
      </c>
      <c r="I1185" t="s">
        <v>32</v>
      </c>
      <c r="J1185" t="s">
        <v>226</v>
      </c>
      <c r="K1185" t="s">
        <v>227</v>
      </c>
      <c r="L1185" t="s">
        <v>2122</v>
      </c>
      <c r="M1185" s="5">
        <f t="shared" si="109"/>
        <v>7.5</v>
      </c>
      <c r="N1185" t="str">
        <f t="shared" si="110"/>
        <v>March</v>
      </c>
      <c r="O1185" t="str">
        <f t="shared" si="111"/>
        <v>Friday</v>
      </c>
      <c r="P1185">
        <f t="shared" si="108"/>
        <v>19</v>
      </c>
      <c r="Q1185" s="2">
        <f t="shared" si="112"/>
        <v>5</v>
      </c>
      <c r="R1185" s="2">
        <f t="shared" si="113"/>
        <v>3</v>
      </c>
      <c r="S1185">
        <f>SUMIF(Table1[product_category],"Bakery",Table1[Total_bill])</f>
        <v>2951.25</v>
      </c>
    </row>
    <row r="1186" spans="1:19" x14ac:dyDescent="0.3">
      <c r="A1186" s="2">
        <v>11185</v>
      </c>
      <c r="B1186" s="4">
        <v>46816</v>
      </c>
      <c r="C1186" t="s">
        <v>1332</v>
      </c>
      <c r="D1186" t="s">
        <v>18</v>
      </c>
      <c r="E1186" t="s">
        <v>19</v>
      </c>
      <c r="F1186" t="s">
        <v>197</v>
      </c>
      <c r="G1186">
        <v>1</v>
      </c>
      <c r="H1186" s="5">
        <v>3.25</v>
      </c>
      <c r="I1186" t="s">
        <v>32</v>
      </c>
      <c r="J1186" t="s">
        <v>226</v>
      </c>
      <c r="K1186" t="s">
        <v>273</v>
      </c>
      <c r="L1186" t="s">
        <v>2124</v>
      </c>
      <c r="M1186" s="5">
        <f t="shared" si="109"/>
        <v>3.25</v>
      </c>
      <c r="N1186" t="str">
        <f t="shared" si="110"/>
        <v>March</v>
      </c>
      <c r="O1186" t="str">
        <f t="shared" si="111"/>
        <v>Saturday</v>
      </c>
      <c r="P1186">
        <f t="shared" si="108"/>
        <v>7</v>
      </c>
      <c r="Q1186" s="2">
        <f t="shared" si="112"/>
        <v>6</v>
      </c>
      <c r="R1186" s="2">
        <f t="shared" si="113"/>
        <v>3</v>
      </c>
      <c r="S1186">
        <f>SUMIF(Table1[product_category],"Bakery",Table1[Total_bill])</f>
        <v>2951.25</v>
      </c>
    </row>
    <row r="1187" spans="1:19" x14ac:dyDescent="0.3">
      <c r="A1187" s="2">
        <v>11186</v>
      </c>
      <c r="B1187" s="4">
        <v>46817</v>
      </c>
      <c r="C1187" t="s">
        <v>1333</v>
      </c>
      <c r="D1187" t="s">
        <v>18</v>
      </c>
      <c r="E1187" t="s">
        <v>19</v>
      </c>
      <c r="F1187" t="s">
        <v>199</v>
      </c>
      <c r="G1187">
        <v>4</v>
      </c>
      <c r="H1187" s="5">
        <v>24</v>
      </c>
      <c r="I1187" t="s">
        <v>101</v>
      </c>
      <c r="J1187" t="s">
        <v>102</v>
      </c>
      <c r="K1187" t="s">
        <v>103</v>
      </c>
      <c r="L1187" t="s">
        <v>2125</v>
      </c>
      <c r="M1187" s="5">
        <f t="shared" si="109"/>
        <v>96</v>
      </c>
      <c r="N1187" t="str">
        <f t="shared" si="110"/>
        <v>March</v>
      </c>
      <c r="O1187" t="str">
        <f t="shared" si="111"/>
        <v>Sunday</v>
      </c>
      <c r="P1187">
        <f t="shared" si="108"/>
        <v>19</v>
      </c>
      <c r="Q1187" s="2">
        <f t="shared" si="112"/>
        <v>7</v>
      </c>
      <c r="R1187" s="2">
        <f t="shared" si="113"/>
        <v>3</v>
      </c>
      <c r="S1187">
        <f>SUMIF(Table1[product_category],"Bakery",Table1[Total_bill])</f>
        <v>2951.25</v>
      </c>
    </row>
    <row r="1188" spans="1:19" x14ac:dyDescent="0.3">
      <c r="A1188" s="2">
        <v>11187</v>
      </c>
      <c r="B1188" s="4">
        <v>46818</v>
      </c>
      <c r="C1188" t="s">
        <v>1334</v>
      </c>
      <c r="D1188" t="s">
        <v>18</v>
      </c>
      <c r="E1188" t="s">
        <v>19</v>
      </c>
      <c r="F1188" t="s">
        <v>201</v>
      </c>
      <c r="G1188">
        <v>1</v>
      </c>
      <c r="H1188" s="5">
        <v>4.25</v>
      </c>
      <c r="I1188" t="s">
        <v>32</v>
      </c>
      <c r="J1188" t="s">
        <v>202</v>
      </c>
      <c r="K1188" t="s">
        <v>202</v>
      </c>
      <c r="L1188" t="s">
        <v>2124</v>
      </c>
      <c r="M1188" s="5">
        <f t="shared" si="109"/>
        <v>4.25</v>
      </c>
      <c r="N1188" t="str">
        <f t="shared" si="110"/>
        <v>March</v>
      </c>
      <c r="O1188" t="str">
        <f t="shared" si="111"/>
        <v>Monday</v>
      </c>
      <c r="P1188">
        <f t="shared" si="108"/>
        <v>14</v>
      </c>
      <c r="Q1188" s="2">
        <f t="shared" si="112"/>
        <v>1</v>
      </c>
      <c r="R1188" s="2">
        <f t="shared" si="113"/>
        <v>3</v>
      </c>
      <c r="S1188">
        <f>SUMIF(Table1[product_category],"Bakery",Table1[Total_bill])</f>
        <v>2951.25</v>
      </c>
    </row>
    <row r="1189" spans="1:19" x14ac:dyDescent="0.3">
      <c r="A1189" s="2">
        <v>11188</v>
      </c>
      <c r="B1189" s="4">
        <v>46819</v>
      </c>
      <c r="C1189" t="s">
        <v>1335</v>
      </c>
      <c r="D1189" t="s">
        <v>40</v>
      </c>
      <c r="E1189" t="s">
        <v>41</v>
      </c>
      <c r="F1189" t="s">
        <v>204</v>
      </c>
      <c r="G1189">
        <v>1</v>
      </c>
      <c r="H1189" s="5">
        <v>3</v>
      </c>
      <c r="I1189" t="s">
        <v>32</v>
      </c>
      <c r="J1189" t="s">
        <v>226</v>
      </c>
      <c r="K1189" t="s">
        <v>227</v>
      </c>
      <c r="L1189" t="s">
        <v>2124</v>
      </c>
      <c r="M1189" s="5">
        <f t="shared" si="109"/>
        <v>3</v>
      </c>
      <c r="N1189" t="str">
        <f t="shared" si="110"/>
        <v>March</v>
      </c>
      <c r="O1189" t="str">
        <f t="shared" si="111"/>
        <v>Tuesday</v>
      </c>
      <c r="P1189">
        <f t="shared" si="108"/>
        <v>7</v>
      </c>
      <c r="Q1189" s="2">
        <f t="shared" si="112"/>
        <v>2</v>
      </c>
      <c r="R1189" s="2">
        <f t="shared" si="113"/>
        <v>3</v>
      </c>
      <c r="S1189">
        <f>SUMIF(Table1[product_category],"Bakery",Table1[Total_bill])</f>
        <v>2951.25</v>
      </c>
    </row>
    <row r="1190" spans="1:19" x14ac:dyDescent="0.3">
      <c r="A1190" s="2">
        <v>11189</v>
      </c>
      <c r="B1190" s="4">
        <v>46820</v>
      </c>
      <c r="C1190" t="s">
        <v>1336</v>
      </c>
      <c r="D1190" t="s">
        <v>25</v>
      </c>
      <c r="E1190" t="s">
        <v>26</v>
      </c>
      <c r="F1190" t="s">
        <v>206</v>
      </c>
      <c r="G1190">
        <v>1</v>
      </c>
      <c r="H1190" s="5">
        <v>1.75</v>
      </c>
      <c r="I1190" t="s">
        <v>32</v>
      </c>
      <c r="J1190" t="s">
        <v>43</v>
      </c>
      <c r="K1190" t="s">
        <v>44</v>
      </c>
      <c r="L1190" t="s">
        <v>2122</v>
      </c>
      <c r="M1190" s="5">
        <f t="shared" si="109"/>
        <v>1.75</v>
      </c>
      <c r="N1190" t="str">
        <f t="shared" si="110"/>
        <v>March</v>
      </c>
      <c r="O1190" t="str">
        <f t="shared" si="111"/>
        <v>Wednesday</v>
      </c>
      <c r="P1190">
        <f t="shared" si="108"/>
        <v>9</v>
      </c>
      <c r="Q1190" s="2">
        <f t="shared" si="112"/>
        <v>3</v>
      </c>
      <c r="R1190" s="2">
        <f t="shared" si="113"/>
        <v>3</v>
      </c>
      <c r="S1190">
        <f>SUMIF(Table1[product_category],"Bakery",Table1[Total_bill])</f>
        <v>2951.25</v>
      </c>
    </row>
    <row r="1191" spans="1:19" x14ac:dyDescent="0.3">
      <c r="A1191" s="2">
        <v>11190</v>
      </c>
      <c r="B1191" s="4">
        <v>46821</v>
      </c>
      <c r="C1191" t="s">
        <v>1337</v>
      </c>
      <c r="D1191" t="s">
        <v>25</v>
      </c>
      <c r="E1191" t="s">
        <v>26</v>
      </c>
      <c r="F1191" t="s">
        <v>208</v>
      </c>
      <c r="G1191">
        <v>2</v>
      </c>
      <c r="H1191" s="5">
        <v>5.5</v>
      </c>
      <c r="I1191" t="s">
        <v>72</v>
      </c>
      <c r="J1191" t="s">
        <v>72</v>
      </c>
      <c r="K1191" t="s">
        <v>73</v>
      </c>
      <c r="L1191" t="s">
        <v>2125</v>
      </c>
      <c r="M1191" s="5">
        <f t="shared" si="109"/>
        <v>11</v>
      </c>
      <c r="N1191" t="str">
        <f t="shared" si="110"/>
        <v>March</v>
      </c>
      <c r="O1191" t="str">
        <f t="shared" si="111"/>
        <v>Thursday</v>
      </c>
      <c r="P1191">
        <f t="shared" si="108"/>
        <v>14</v>
      </c>
      <c r="Q1191" s="2">
        <f t="shared" si="112"/>
        <v>4</v>
      </c>
      <c r="R1191" s="2">
        <f t="shared" si="113"/>
        <v>3</v>
      </c>
      <c r="S1191">
        <f>SUMIF(Table1[product_category],"Bakery",Table1[Total_bill])</f>
        <v>2951.25</v>
      </c>
    </row>
    <row r="1192" spans="1:19" x14ac:dyDescent="0.3">
      <c r="A1192" s="2">
        <v>11191</v>
      </c>
      <c r="B1192" s="4">
        <v>46822</v>
      </c>
      <c r="C1192" t="s">
        <v>1338</v>
      </c>
      <c r="D1192" t="s">
        <v>25</v>
      </c>
      <c r="E1192" t="s">
        <v>26</v>
      </c>
      <c r="F1192" t="s">
        <v>210</v>
      </c>
      <c r="G1192">
        <v>2</v>
      </c>
      <c r="H1192" s="5">
        <v>3.5</v>
      </c>
      <c r="I1192" t="s">
        <v>32</v>
      </c>
      <c r="J1192" t="s">
        <v>55</v>
      </c>
      <c r="K1192" t="s">
        <v>55</v>
      </c>
      <c r="L1192" t="s">
        <v>2124</v>
      </c>
      <c r="M1192" s="5">
        <f t="shared" si="109"/>
        <v>7</v>
      </c>
      <c r="N1192" t="str">
        <f t="shared" si="110"/>
        <v>March</v>
      </c>
      <c r="O1192" t="str">
        <f t="shared" si="111"/>
        <v>Friday</v>
      </c>
      <c r="P1192">
        <f t="shared" si="108"/>
        <v>7</v>
      </c>
      <c r="Q1192" s="2">
        <f t="shared" si="112"/>
        <v>5</v>
      </c>
      <c r="R1192" s="2">
        <f t="shared" si="113"/>
        <v>3</v>
      </c>
      <c r="S1192">
        <f>SUMIF(Table1[product_category],"Bakery",Table1[Total_bill])</f>
        <v>2951.25</v>
      </c>
    </row>
    <row r="1193" spans="1:19" x14ac:dyDescent="0.3">
      <c r="A1193" s="2">
        <v>11192</v>
      </c>
      <c r="B1193" s="4">
        <v>46823</v>
      </c>
      <c r="C1193" t="s">
        <v>1339</v>
      </c>
      <c r="D1193" t="s">
        <v>40</v>
      </c>
      <c r="E1193" t="s">
        <v>41</v>
      </c>
      <c r="F1193" t="s">
        <v>214</v>
      </c>
      <c r="G1193">
        <v>4</v>
      </c>
      <c r="H1193" s="5">
        <v>2.5</v>
      </c>
      <c r="I1193" t="s">
        <v>21</v>
      </c>
      <c r="J1193" t="s">
        <v>47</v>
      </c>
      <c r="K1193" t="s">
        <v>48</v>
      </c>
      <c r="L1193" t="s">
        <v>2125</v>
      </c>
      <c r="M1193" s="5">
        <f t="shared" si="109"/>
        <v>10</v>
      </c>
      <c r="N1193" t="str">
        <f t="shared" si="110"/>
        <v>March</v>
      </c>
      <c r="O1193" t="str">
        <f t="shared" si="111"/>
        <v>Saturday</v>
      </c>
      <c r="P1193">
        <f t="shared" si="108"/>
        <v>13</v>
      </c>
      <c r="Q1193" s="2">
        <f t="shared" si="112"/>
        <v>6</v>
      </c>
      <c r="R1193" s="2">
        <f t="shared" si="113"/>
        <v>3</v>
      </c>
      <c r="S1193">
        <f>SUMIF(Table1[product_category],"Bakery",Table1[Total_bill])</f>
        <v>2951.25</v>
      </c>
    </row>
    <row r="1194" spans="1:19" x14ac:dyDescent="0.3">
      <c r="A1194" s="2">
        <v>11193</v>
      </c>
      <c r="B1194" s="4">
        <v>46824</v>
      </c>
      <c r="C1194" t="s">
        <v>1340</v>
      </c>
      <c r="D1194" t="s">
        <v>18</v>
      </c>
      <c r="E1194" t="s">
        <v>19</v>
      </c>
      <c r="F1194" t="s">
        <v>217</v>
      </c>
      <c r="G1194">
        <v>2</v>
      </c>
      <c r="H1194" s="5">
        <v>9.5</v>
      </c>
      <c r="I1194" t="s">
        <v>28</v>
      </c>
      <c r="J1194" t="s">
        <v>28</v>
      </c>
      <c r="K1194" t="s">
        <v>29</v>
      </c>
      <c r="L1194" t="s">
        <v>2125</v>
      </c>
      <c r="M1194" s="5">
        <f t="shared" si="109"/>
        <v>19</v>
      </c>
      <c r="N1194" t="str">
        <f t="shared" si="110"/>
        <v>March</v>
      </c>
      <c r="O1194" t="str">
        <f t="shared" si="111"/>
        <v>Sunday</v>
      </c>
      <c r="P1194">
        <f t="shared" si="108"/>
        <v>9</v>
      </c>
      <c r="Q1194" s="2">
        <f t="shared" si="112"/>
        <v>7</v>
      </c>
      <c r="R1194" s="2">
        <f t="shared" si="113"/>
        <v>3</v>
      </c>
      <c r="S1194">
        <f>SUMIF(Table1[product_category],"Bakery",Table1[Total_bill])</f>
        <v>2951.25</v>
      </c>
    </row>
    <row r="1195" spans="1:19" x14ac:dyDescent="0.3">
      <c r="A1195" s="2">
        <v>11194</v>
      </c>
      <c r="B1195" s="4">
        <v>46825</v>
      </c>
      <c r="C1195" t="s">
        <v>1341</v>
      </c>
      <c r="D1195" t="s">
        <v>25</v>
      </c>
      <c r="E1195" t="s">
        <v>26</v>
      </c>
      <c r="F1195" t="s">
        <v>219</v>
      </c>
      <c r="G1195">
        <v>2</v>
      </c>
      <c r="H1195" s="5">
        <v>3.75</v>
      </c>
      <c r="I1195" t="s">
        <v>32</v>
      </c>
      <c r="J1195" t="s">
        <v>226</v>
      </c>
      <c r="K1195" t="s">
        <v>273</v>
      </c>
      <c r="L1195" t="s">
        <v>2123</v>
      </c>
      <c r="M1195" s="5">
        <f t="shared" si="109"/>
        <v>7.5</v>
      </c>
      <c r="N1195" t="str">
        <f t="shared" si="110"/>
        <v>March</v>
      </c>
      <c r="O1195" t="str">
        <f t="shared" si="111"/>
        <v>Monday</v>
      </c>
      <c r="P1195">
        <f t="shared" si="108"/>
        <v>13</v>
      </c>
      <c r="Q1195" s="2">
        <f t="shared" si="112"/>
        <v>1</v>
      </c>
      <c r="R1195" s="2">
        <f t="shared" si="113"/>
        <v>3</v>
      </c>
      <c r="S1195">
        <f>SUMIF(Table1[product_category],"Bakery",Table1[Total_bill])</f>
        <v>2951.25</v>
      </c>
    </row>
    <row r="1196" spans="1:19" x14ac:dyDescent="0.3">
      <c r="A1196" s="2">
        <v>11195</v>
      </c>
      <c r="B1196" s="4">
        <v>46826</v>
      </c>
      <c r="C1196" t="s">
        <v>1342</v>
      </c>
      <c r="D1196" t="s">
        <v>40</v>
      </c>
      <c r="E1196" t="s">
        <v>41</v>
      </c>
      <c r="F1196" t="s">
        <v>221</v>
      </c>
      <c r="G1196">
        <v>2</v>
      </c>
      <c r="H1196" s="5">
        <v>4.75</v>
      </c>
      <c r="I1196" t="s">
        <v>32</v>
      </c>
      <c r="J1196" t="s">
        <v>202</v>
      </c>
      <c r="K1196" t="s">
        <v>202</v>
      </c>
      <c r="L1196" t="s">
        <v>2123</v>
      </c>
      <c r="M1196" s="5">
        <f t="shared" si="109"/>
        <v>9.5</v>
      </c>
      <c r="N1196" t="str">
        <f t="shared" si="110"/>
        <v>March</v>
      </c>
      <c r="O1196" t="str">
        <f t="shared" si="111"/>
        <v>Tuesday</v>
      </c>
      <c r="P1196">
        <f t="shared" si="108"/>
        <v>6</v>
      </c>
      <c r="Q1196" s="2">
        <f t="shared" si="112"/>
        <v>2</v>
      </c>
      <c r="R1196" s="2">
        <f t="shared" si="113"/>
        <v>3</v>
      </c>
      <c r="S1196">
        <f>SUMIF(Table1[product_category],"Bakery",Table1[Total_bill])</f>
        <v>2951.25</v>
      </c>
    </row>
    <row r="1197" spans="1:19" x14ac:dyDescent="0.3">
      <c r="A1197" s="2">
        <v>11196</v>
      </c>
      <c r="B1197" s="4">
        <v>46827</v>
      </c>
      <c r="C1197" t="s">
        <v>1343</v>
      </c>
      <c r="D1197" t="s">
        <v>25</v>
      </c>
      <c r="E1197" t="s">
        <v>26</v>
      </c>
      <c r="F1197" t="s">
        <v>223</v>
      </c>
      <c r="G1197">
        <v>2</v>
      </c>
      <c r="H1197" s="5">
        <v>14</v>
      </c>
      <c r="I1197" t="s">
        <v>98</v>
      </c>
      <c r="J1197" t="s">
        <v>98</v>
      </c>
      <c r="K1197" t="s">
        <v>129</v>
      </c>
      <c r="L1197" t="s">
        <v>2125</v>
      </c>
      <c r="M1197" s="5">
        <f t="shared" si="109"/>
        <v>28</v>
      </c>
      <c r="N1197" t="str">
        <f t="shared" si="110"/>
        <v>March</v>
      </c>
      <c r="O1197" t="str">
        <f t="shared" si="111"/>
        <v>Wednesday</v>
      </c>
      <c r="P1197">
        <f t="shared" si="108"/>
        <v>17</v>
      </c>
      <c r="Q1197" s="2">
        <f t="shared" si="112"/>
        <v>3</v>
      </c>
      <c r="R1197" s="2">
        <f t="shared" si="113"/>
        <v>3</v>
      </c>
      <c r="S1197">
        <f>SUMIF(Table1[product_category],"Bakery",Table1[Total_bill])</f>
        <v>2951.25</v>
      </c>
    </row>
    <row r="1198" spans="1:19" x14ac:dyDescent="0.3">
      <c r="A1198" s="2">
        <v>11197</v>
      </c>
      <c r="B1198" s="4">
        <v>46828</v>
      </c>
      <c r="C1198" t="s">
        <v>996</v>
      </c>
      <c r="D1198" t="s">
        <v>25</v>
      </c>
      <c r="E1198" t="s">
        <v>26</v>
      </c>
      <c r="F1198" t="s">
        <v>225</v>
      </c>
      <c r="G1198">
        <v>1</v>
      </c>
      <c r="H1198" s="5">
        <v>3.5</v>
      </c>
      <c r="I1198" t="s">
        <v>89</v>
      </c>
      <c r="J1198" t="s">
        <v>261</v>
      </c>
      <c r="K1198" t="s">
        <v>261</v>
      </c>
      <c r="L1198" t="s">
        <v>2122</v>
      </c>
      <c r="M1198" s="5">
        <f t="shared" si="109"/>
        <v>3.5</v>
      </c>
      <c r="N1198" t="str">
        <f t="shared" si="110"/>
        <v>March</v>
      </c>
      <c r="O1198" t="str">
        <f t="shared" si="111"/>
        <v>Thursday</v>
      </c>
      <c r="P1198">
        <f t="shared" si="108"/>
        <v>20</v>
      </c>
      <c r="Q1198" s="2">
        <f t="shared" si="112"/>
        <v>4</v>
      </c>
      <c r="R1198" s="2">
        <f t="shared" si="113"/>
        <v>3</v>
      </c>
      <c r="S1198">
        <f>SUMIF(Table1[product_category],"Bakery",Table1[Total_bill])</f>
        <v>2951.25</v>
      </c>
    </row>
    <row r="1199" spans="1:19" x14ac:dyDescent="0.3">
      <c r="A1199" s="2">
        <v>11198</v>
      </c>
      <c r="B1199" s="4">
        <v>46829</v>
      </c>
      <c r="C1199" t="s">
        <v>1344</v>
      </c>
      <c r="D1199" t="s">
        <v>25</v>
      </c>
      <c r="E1199" t="s">
        <v>26</v>
      </c>
      <c r="F1199" t="s">
        <v>229</v>
      </c>
      <c r="G1199">
        <v>3</v>
      </c>
      <c r="H1199" s="5">
        <v>3.25</v>
      </c>
      <c r="I1199" t="s">
        <v>36</v>
      </c>
      <c r="J1199" t="s">
        <v>211</v>
      </c>
      <c r="K1199" t="s">
        <v>239</v>
      </c>
      <c r="L1199" t="s">
        <v>2122</v>
      </c>
      <c r="M1199" s="5">
        <f t="shared" si="109"/>
        <v>9.75</v>
      </c>
      <c r="N1199" t="str">
        <f t="shared" si="110"/>
        <v>March</v>
      </c>
      <c r="O1199" t="str">
        <f t="shared" si="111"/>
        <v>Friday</v>
      </c>
      <c r="P1199">
        <f t="shared" si="108"/>
        <v>20</v>
      </c>
      <c r="Q1199" s="2">
        <f t="shared" si="112"/>
        <v>5</v>
      </c>
      <c r="R1199" s="2">
        <f t="shared" si="113"/>
        <v>3</v>
      </c>
      <c r="S1199">
        <f>SUMIF(Table1[product_category],"Bakery",Table1[Total_bill])</f>
        <v>2951.25</v>
      </c>
    </row>
    <row r="1200" spans="1:19" x14ac:dyDescent="0.3">
      <c r="A1200" s="2">
        <v>11199</v>
      </c>
      <c r="B1200" s="4">
        <v>46830</v>
      </c>
      <c r="C1200" t="s">
        <v>1345</v>
      </c>
      <c r="D1200" t="s">
        <v>40</v>
      </c>
      <c r="E1200" t="s">
        <v>41</v>
      </c>
      <c r="F1200" t="s">
        <v>231</v>
      </c>
      <c r="G1200">
        <v>2</v>
      </c>
      <c r="H1200" s="5">
        <v>4</v>
      </c>
      <c r="I1200" t="s">
        <v>32</v>
      </c>
      <c r="J1200" t="s">
        <v>122</v>
      </c>
      <c r="K1200" t="s">
        <v>122</v>
      </c>
      <c r="L1200" t="s">
        <v>2124</v>
      </c>
      <c r="M1200" s="5">
        <f t="shared" si="109"/>
        <v>8</v>
      </c>
      <c r="N1200" t="str">
        <f t="shared" si="110"/>
        <v>March</v>
      </c>
      <c r="O1200" t="str">
        <f t="shared" si="111"/>
        <v>Saturday</v>
      </c>
      <c r="P1200">
        <f t="shared" si="108"/>
        <v>15</v>
      </c>
      <c r="Q1200" s="2">
        <f t="shared" si="112"/>
        <v>6</v>
      </c>
      <c r="R1200" s="2">
        <f t="shared" si="113"/>
        <v>3</v>
      </c>
      <c r="S1200">
        <f>SUMIF(Table1[product_category],"Bakery",Table1[Total_bill])</f>
        <v>2951.25</v>
      </c>
    </row>
    <row r="1201" spans="1:19" x14ac:dyDescent="0.3">
      <c r="A1201" s="2">
        <v>11200</v>
      </c>
      <c r="B1201" s="4">
        <v>46831</v>
      </c>
      <c r="C1201" t="s">
        <v>1346</v>
      </c>
      <c r="D1201" t="s">
        <v>40</v>
      </c>
      <c r="E1201" t="s">
        <v>41</v>
      </c>
      <c r="F1201" t="s">
        <v>233</v>
      </c>
      <c r="G1201">
        <v>2</v>
      </c>
      <c r="H1201" s="5">
        <v>11</v>
      </c>
      <c r="I1201" t="s">
        <v>98</v>
      </c>
      <c r="J1201" t="s">
        <v>98</v>
      </c>
      <c r="K1201" t="s">
        <v>215</v>
      </c>
      <c r="L1201" t="s">
        <v>2125</v>
      </c>
      <c r="M1201" s="5">
        <f t="shared" si="109"/>
        <v>22</v>
      </c>
      <c r="N1201" t="str">
        <f t="shared" si="110"/>
        <v>March</v>
      </c>
      <c r="O1201" t="str">
        <f t="shared" si="111"/>
        <v>Sunday</v>
      </c>
      <c r="P1201">
        <f t="shared" si="108"/>
        <v>7</v>
      </c>
      <c r="Q1201" s="2">
        <f t="shared" si="112"/>
        <v>7</v>
      </c>
      <c r="R1201" s="2">
        <f t="shared" si="113"/>
        <v>3</v>
      </c>
      <c r="S1201">
        <f>SUMIF(Table1[product_category],"Bakery",Table1[Total_bill])</f>
        <v>2951.25</v>
      </c>
    </row>
    <row r="1202" spans="1:19" x14ac:dyDescent="0.3">
      <c r="A1202" s="2">
        <v>11201</v>
      </c>
      <c r="B1202" s="4">
        <v>46832</v>
      </c>
      <c r="C1202" t="s">
        <v>1347</v>
      </c>
      <c r="D1202" t="s">
        <v>25</v>
      </c>
      <c r="E1202" t="s">
        <v>26</v>
      </c>
      <c r="F1202" t="s">
        <v>20</v>
      </c>
      <c r="G1202">
        <v>4</v>
      </c>
      <c r="H1202" s="5">
        <v>4.25</v>
      </c>
      <c r="I1202" t="s">
        <v>36</v>
      </c>
      <c r="J1202" t="s">
        <v>211</v>
      </c>
      <c r="K1202" t="s">
        <v>239</v>
      </c>
      <c r="L1202" t="s">
        <v>2123</v>
      </c>
      <c r="M1202" s="5">
        <f t="shared" si="109"/>
        <v>17</v>
      </c>
      <c r="N1202" t="str">
        <f t="shared" si="110"/>
        <v>March</v>
      </c>
      <c r="O1202" t="str">
        <f t="shared" si="111"/>
        <v>Monday</v>
      </c>
      <c r="P1202">
        <f t="shared" si="108"/>
        <v>15</v>
      </c>
      <c r="Q1202" s="2">
        <f t="shared" si="112"/>
        <v>1</v>
      </c>
      <c r="R1202" s="2">
        <f t="shared" si="113"/>
        <v>3</v>
      </c>
      <c r="S1202">
        <f>SUMIF(Table1[product_category],"Bakery",Table1[Total_bill])</f>
        <v>2951.25</v>
      </c>
    </row>
    <row r="1203" spans="1:19" x14ac:dyDescent="0.3">
      <c r="A1203" s="2">
        <v>11202</v>
      </c>
      <c r="B1203" s="4">
        <v>46833</v>
      </c>
      <c r="C1203" t="s">
        <v>1348</v>
      </c>
      <c r="D1203" t="s">
        <v>40</v>
      </c>
      <c r="E1203" t="s">
        <v>41</v>
      </c>
      <c r="F1203" t="s">
        <v>27</v>
      </c>
      <c r="G1203">
        <v>4</v>
      </c>
      <c r="H1203" s="5">
        <v>3.5</v>
      </c>
      <c r="I1203" t="s">
        <v>21</v>
      </c>
      <c r="J1203" t="s">
        <v>51</v>
      </c>
      <c r="K1203" t="s">
        <v>52</v>
      </c>
      <c r="L1203" t="s">
        <v>2125</v>
      </c>
      <c r="M1203" s="5">
        <f t="shared" si="109"/>
        <v>14</v>
      </c>
      <c r="N1203" t="str">
        <f t="shared" si="110"/>
        <v>March</v>
      </c>
      <c r="O1203" t="str">
        <f t="shared" si="111"/>
        <v>Tuesday</v>
      </c>
      <c r="P1203">
        <f t="shared" si="108"/>
        <v>6</v>
      </c>
      <c r="Q1203" s="2">
        <f t="shared" si="112"/>
        <v>2</v>
      </c>
      <c r="R1203" s="2">
        <f t="shared" si="113"/>
        <v>3</v>
      </c>
      <c r="S1203">
        <f>SUMIF(Table1[product_category],"Bakery",Table1[Total_bill])</f>
        <v>2951.25</v>
      </c>
    </row>
    <row r="1204" spans="1:19" x14ac:dyDescent="0.3">
      <c r="A1204" s="2">
        <v>11203</v>
      </c>
      <c r="B1204" s="4">
        <v>46834</v>
      </c>
      <c r="C1204" t="s">
        <v>1349</v>
      </c>
      <c r="D1204" t="s">
        <v>25</v>
      </c>
      <c r="E1204" t="s">
        <v>26</v>
      </c>
      <c r="F1204" t="s">
        <v>31</v>
      </c>
      <c r="G1204">
        <v>1</v>
      </c>
      <c r="H1204" s="5">
        <v>4</v>
      </c>
      <c r="I1204" t="s">
        <v>32</v>
      </c>
      <c r="J1204" t="s">
        <v>55</v>
      </c>
      <c r="K1204" t="s">
        <v>55</v>
      </c>
      <c r="L1204" t="s">
        <v>2123</v>
      </c>
      <c r="M1204" s="5">
        <f t="shared" si="109"/>
        <v>4</v>
      </c>
      <c r="N1204" t="str">
        <f t="shared" si="110"/>
        <v>March</v>
      </c>
      <c r="O1204" t="str">
        <f t="shared" si="111"/>
        <v>Wednesday</v>
      </c>
      <c r="P1204">
        <f t="shared" si="108"/>
        <v>6</v>
      </c>
      <c r="Q1204" s="2">
        <f t="shared" si="112"/>
        <v>3</v>
      </c>
      <c r="R1204" s="2">
        <f t="shared" si="113"/>
        <v>3</v>
      </c>
      <c r="S1204">
        <f>SUMIF(Table1[product_category],"Bakery",Table1[Total_bill])</f>
        <v>2951.25</v>
      </c>
    </row>
    <row r="1205" spans="1:19" x14ac:dyDescent="0.3">
      <c r="A1205" s="2">
        <v>11204</v>
      </c>
      <c r="B1205" s="4">
        <v>46835</v>
      </c>
      <c r="C1205" t="s">
        <v>1350</v>
      </c>
      <c r="D1205" t="s">
        <v>18</v>
      </c>
      <c r="E1205" t="s">
        <v>19</v>
      </c>
      <c r="F1205" t="s">
        <v>35</v>
      </c>
      <c r="G1205">
        <v>2</v>
      </c>
      <c r="H1205" s="5">
        <v>14</v>
      </c>
      <c r="I1205" t="s">
        <v>101</v>
      </c>
      <c r="J1205" t="s">
        <v>102</v>
      </c>
      <c r="K1205" t="s">
        <v>193</v>
      </c>
      <c r="L1205" t="s">
        <v>2125</v>
      </c>
      <c r="M1205" s="5">
        <f t="shared" si="109"/>
        <v>28</v>
      </c>
      <c r="N1205" t="str">
        <f t="shared" si="110"/>
        <v>March</v>
      </c>
      <c r="O1205" t="str">
        <f t="shared" si="111"/>
        <v>Thursday</v>
      </c>
      <c r="P1205">
        <f t="shared" si="108"/>
        <v>9</v>
      </c>
      <c r="Q1205" s="2">
        <f t="shared" si="112"/>
        <v>4</v>
      </c>
      <c r="R1205" s="2">
        <f t="shared" si="113"/>
        <v>3</v>
      </c>
      <c r="S1205">
        <f>SUMIF(Table1[product_category],"Bakery",Table1[Total_bill])</f>
        <v>2951.25</v>
      </c>
    </row>
    <row r="1206" spans="1:19" x14ac:dyDescent="0.3">
      <c r="A1206" s="2">
        <v>11205</v>
      </c>
      <c r="B1206" s="4">
        <v>46836</v>
      </c>
      <c r="C1206" t="s">
        <v>1351</v>
      </c>
      <c r="D1206" t="s">
        <v>18</v>
      </c>
      <c r="E1206" t="s">
        <v>19</v>
      </c>
      <c r="F1206" t="s">
        <v>42</v>
      </c>
      <c r="G1206">
        <v>1</v>
      </c>
      <c r="H1206" s="5">
        <v>3</v>
      </c>
      <c r="I1206" t="s">
        <v>36</v>
      </c>
      <c r="J1206" t="s">
        <v>37</v>
      </c>
      <c r="K1206" t="s">
        <v>276</v>
      </c>
      <c r="L1206" t="s">
        <v>2124</v>
      </c>
      <c r="M1206" s="5">
        <f t="shared" si="109"/>
        <v>3</v>
      </c>
      <c r="N1206" t="str">
        <f t="shared" si="110"/>
        <v>March</v>
      </c>
      <c r="O1206" t="str">
        <f t="shared" si="111"/>
        <v>Friday</v>
      </c>
      <c r="P1206">
        <f t="shared" si="108"/>
        <v>11</v>
      </c>
      <c r="Q1206" s="2">
        <f t="shared" si="112"/>
        <v>5</v>
      </c>
      <c r="R1206" s="2">
        <f t="shared" si="113"/>
        <v>3</v>
      </c>
      <c r="S1206">
        <f>SUMIF(Table1[product_category],"Bakery",Table1[Total_bill])</f>
        <v>2951.25</v>
      </c>
    </row>
    <row r="1207" spans="1:19" x14ac:dyDescent="0.3">
      <c r="A1207" s="2">
        <v>11206</v>
      </c>
      <c r="B1207" s="4">
        <v>46837</v>
      </c>
      <c r="C1207" t="s">
        <v>1352</v>
      </c>
      <c r="D1207" t="s">
        <v>25</v>
      </c>
      <c r="E1207" t="s">
        <v>26</v>
      </c>
      <c r="F1207" t="s">
        <v>46</v>
      </c>
      <c r="G1207">
        <v>4</v>
      </c>
      <c r="H1207" s="5">
        <v>5.5</v>
      </c>
      <c r="I1207" t="s">
        <v>72</v>
      </c>
      <c r="J1207" t="s">
        <v>72</v>
      </c>
      <c r="K1207" t="s">
        <v>141</v>
      </c>
      <c r="L1207" t="s">
        <v>2125</v>
      </c>
      <c r="M1207" s="5">
        <f t="shared" si="109"/>
        <v>22</v>
      </c>
      <c r="N1207" t="str">
        <f t="shared" si="110"/>
        <v>March</v>
      </c>
      <c r="O1207" t="str">
        <f t="shared" si="111"/>
        <v>Saturday</v>
      </c>
      <c r="P1207">
        <f t="shared" si="108"/>
        <v>15</v>
      </c>
      <c r="Q1207" s="2">
        <f t="shared" si="112"/>
        <v>6</v>
      </c>
      <c r="R1207" s="2">
        <f t="shared" si="113"/>
        <v>3</v>
      </c>
      <c r="S1207">
        <f>SUMIF(Table1[product_category],"Bakery",Table1[Total_bill])</f>
        <v>2951.25</v>
      </c>
    </row>
    <row r="1208" spans="1:19" x14ac:dyDescent="0.3">
      <c r="A1208" s="2">
        <v>11207</v>
      </c>
      <c r="B1208" s="4">
        <v>46838</v>
      </c>
      <c r="C1208" t="s">
        <v>1353</v>
      </c>
      <c r="D1208" t="s">
        <v>25</v>
      </c>
      <c r="E1208" t="s">
        <v>26</v>
      </c>
      <c r="F1208" t="s">
        <v>50</v>
      </c>
      <c r="G1208">
        <v>3</v>
      </c>
      <c r="H1208" s="5">
        <v>4.5</v>
      </c>
      <c r="I1208" t="s">
        <v>32</v>
      </c>
      <c r="J1208" t="s">
        <v>94</v>
      </c>
      <c r="K1208" t="s">
        <v>95</v>
      </c>
      <c r="L1208" t="s">
        <v>2123</v>
      </c>
      <c r="M1208" s="5">
        <f t="shared" si="109"/>
        <v>13.5</v>
      </c>
      <c r="N1208" t="str">
        <f t="shared" si="110"/>
        <v>March</v>
      </c>
      <c r="O1208" t="str">
        <f t="shared" si="111"/>
        <v>Sunday</v>
      </c>
      <c r="P1208">
        <f t="shared" si="108"/>
        <v>14</v>
      </c>
      <c r="Q1208" s="2">
        <f t="shared" si="112"/>
        <v>7</v>
      </c>
      <c r="R1208" s="2">
        <f t="shared" si="113"/>
        <v>3</v>
      </c>
      <c r="S1208">
        <f>SUMIF(Table1[product_category],"Bakery",Table1[Total_bill])</f>
        <v>2951.25</v>
      </c>
    </row>
    <row r="1209" spans="1:19" x14ac:dyDescent="0.3">
      <c r="A1209" s="2">
        <v>11208</v>
      </c>
      <c r="B1209" s="4">
        <v>46839</v>
      </c>
      <c r="C1209" t="s">
        <v>1354</v>
      </c>
      <c r="D1209" t="s">
        <v>40</v>
      </c>
      <c r="E1209" t="s">
        <v>41</v>
      </c>
      <c r="F1209" t="s">
        <v>54</v>
      </c>
      <c r="G1209">
        <v>4</v>
      </c>
      <c r="H1209" s="5">
        <v>2.5</v>
      </c>
      <c r="I1209" t="s">
        <v>21</v>
      </c>
      <c r="J1209" t="s">
        <v>47</v>
      </c>
      <c r="K1209" t="s">
        <v>48</v>
      </c>
      <c r="L1209" t="s">
        <v>2125</v>
      </c>
      <c r="M1209" s="5">
        <f t="shared" si="109"/>
        <v>10</v>
      </c>
      <c r="N1209" t="str">
        <f t="shared" si="110"/>
        <v>March</v>
      </c>
      <c r="O1209" t="str">
        <f t="shared" si="111"/>
        <v>Monday</v>
      </c>
      <c r="P1209">
        <f t="shared" si="108"/>
        <v>11</v>
      </c>
      <c r="Q1209" s="2">
        <f t="shared" si="112"/>
        <v>1</v>
      </c>
      <c r="R1209" s="2">
        <f t="shared" si="113"/>
        <v>3</v>
      </c>
      <c r="S1209">
        <f>SUMIF(Table1[product_category],"Bakery",Table1[Total_bill])</f>
        <v>2951.25</v>
      </c>
    </row>
    <row r="1210" spans="1:19" x14ac:dyDescent="0.3">
      <c r="A1210" s="2">
        <v>11209</v>
      </c>
      <c r="B1210" s="4">
        <v>46840</v>
      </c>
      <c r="C1210" t="s">
        <v>1355</v>
      </c>
      <c r="D1210" t="s">
        <v>25</v>
      </c>
      <c r="E1210" t="s">
        <v>26</v>
      </c>
      <c r="F1210" t="s">
        <v>57</v>
      </c>
      <c r="G1210">
        <v>2</v>
      </c>
      <c r="H1210" s="5">
        <v>9.5</v>
      </c>
      <c r="I1210" t="s">
        <v>28</v>
      </c>
      <c r="J1210" t="s">
        <v>28</v>
      </c>
      <c r="K1210" t="s">
        <v>29</v>
      </c>
      <c r="L1210" t="s">
        <v>2125</v>
      </c>
      <c r="M1210" s="5">
        <f t="shared" si="109"/>
        <v>19</v>
      </c>
      <c r="N1210" t="str">
        <f t="shared" si="110"/>
        <v>March</v>
      </c>
      <c r="O1210" t="str">
        <f t="shared" si="111"/>
        <v>Tuesday</v>
      </c>
      <c r="P1210">
        <f t="shared" si="108"/>
        <v>9</v>
      </c>
      <c r="Q1210" s="2">
        <f t="shared" si="112"/>
        <v>2</v>
      </c>
      <c r="R1210" s="2">
        <f t="shared" si="113"/>
        <v>3</v>
      </c>
      <c r="S1210">
        <f>SUMIF(Table1[product_category],"Bakery",Table1[Total_bill])</f>
        <v>2951.25</v>
      </c>
    </row>
    <row r="1211" spans="1:19" x14ac:dyDescent="0.3">
      <c r="A1211" s="2">
        <v>11210</v>
      </c>
      <c r="B1211" s="4">
        <v>46841</v>
      </c>
      <c r="C1211" t="s">
        <v>1356</v>
      </c>
      <c r="D1211" t="s">
        <v>40</v>
      </c>
      <c r="E1211" t="s">
        <v>41</v>
      </c>
      <c r="F1211" t="s">
        <v>61</v>
      </c>
      <c r="G1211">
        <v>1</v>
      </c>
      <c r="H1211" s="5">
        <v>14</v>
      </c>
      <c r="I1211" t="s">
        <v>101</v>
      </c>
      <c r="J1211" t="s">
        <v>102</v>
      </c>
      <c r="K1211" t="s">
        <v>193</v>
      </c>
      <c r="L1211" t="s">
        <v>2125</v>
      </c>
      <c r="M1211" s="5">
        <f t="shared" si="109"/>
        <v>14</v>
      </c>
      <c r="N1211" t="str">
        <f t="shared" si="110"/>
        <v>March</v>
      </c>
      <c r="O1211" t="str">
        <f t="shared" si="111"/>
        <v>Wednesday</v>
      </c>
      <c r="P1211">
        <f t="shared" si="108"/>
        <v>20</v>
      </c>
      <c r="Q1211" s="2">
        <f t="shared" si="112"/>
        <v>3</v>
      </c>
      <c r="R1211" s="2">
        <f t="shared" si="113"/>
        <v>3</v>
      </c>
      <c r="S1211">
        <f>SUMIF(Table1[product_category],"Bakery",Table1[Total_bill])</f>
        <v>2951.25</v>
      </c>
    </row>
    <row r="1212" spans="1:19" x14ac:dyDescent="0.3">
      <c r="A1212" s="2">
        <v>11211</v>
      </c>
      <c r="B1212" s="4">
        <v>46842</v>
      </c>
      <c r="C1212" t="s">
        <v>1357</v>
      </c>
      <c r="D1212" t="s">
        <v>18</v>
      </c>
      <c r="E1212" t="s">
        <v>19</v>
      </c>
      <c r="F1212" t="s">
        <v>64</v>
      </c>
      <c r="G1212">
        <v>3</v>
      </c>
      <c r="H1212" s="5">
        <v>14</v>
      </c>
      <c r="I1212" t="s">
        <v>98</v>
      </c>
      <c r="J1212" t="s">
        <v>98</v>
      </c>
      <c r="K1212" t="s">
        <v>129</v>
      </c>
      <c r="L1212" t="s">
        <v>2125</v>
      </c>
      <c r="M1212" s="5">
        <f t="shared" si="109"/>
        <v>42</v>
      </c>
      <c r="N1212" t="str">
        <f t="shared" si="110"/>
        <v>March</v>
      </c>
      <c r="O1212" t="str">
        <f t="shared" si="111"/>
        <v>Thursday</v>
      </c>
      <c r="P1212">
        <f t="shared" si="108"/>
        <v>10</v>
      </c>
      <c r="Q1212" s="2">
        <f t="shared" si="112"/>
        <v>4</v>
      </c>
      <c r="R1212" s="2">
        <f t="shared" si="113"/>
        <v>3</v>
      </c>
      <c r="S1212">
        <f>SUMIF(Table1[product_category],"Bakery",Table1[Total_bill])</f>
        <v>2951.25</v>
      </c>
    </row>
    <row r="1213" spans="1:19" x14ac:dyDescent="0.3">
      <c r="A1213" s="2">
        <v>11212</v>
      </c>
      <c r="B1213" s="4">
        <v>46843</v>
      </c>
      <c r="C1213" t="s">
        <v>1358</v>
      </c>
      <c r="D1213" t="s">
        <v>18</v>
      </c>
      <c r="E1213" t="s">
        <v>19</v>
      </c>
      <c r="F1213" t="s">
        <v>66</v>
      </c>
      <c r="G1213">
        <v>2</v>
      </c>
      <c r="H1213" s="5">
        <v>3.25</v>
      </c>
      <c r="I1213" t="s">
        <v>21</v>
      </c>
      <c r="J1213" t="s">
        <v>81</v>
      </c>
      <c r="K1213" t="s">
        <v>82</v>
      </c>
      <c r="L1213" t="s">
        <v>2125</v>
      </c>
      <c r="M1213" s="5">
        <f t="shared" si="109"/>
        <v>6.5</v>
      </c>
      <c r="N1213" t="str">
        <f t="shared" si="110"/>
        <v>March</v>
      </c>
      <c r="O1213" t="str">
        <f t="shared" si="111"/>
        <v>Friday</v>
      </c>
      <c r="P1213">
        <f t="shared" si="108"/>
        <v>11</v>
      </c>
      <c r="Q1213" s="2">
        <f t="shared" si="112"/>
        <v>5</v>
      </c>
      <c r="R1213" s="2">
        <f t="shared" si="113"/>
        <v>3</v>
      </c>
      <c r="S1213">
        <f>SUMIF(Table1[product_category],"Bakery",Table1[Total_bill])</f>
        <v>2951.25</v>
      </c>
    </row>
    <row r="1214" spans="1:19" x14ac:dyDescent="0.3">
      <c r="A1214" s="2">
        <v>11213</v>
      </c>
      <c r="B1214" s="4">
        <v>46844</v>
      </c>
      <c r="C1214" t="s">
        <v>1359</v>
      </c>
      <c r="D1214" t="s">
        <v>25</v>
      </c>
      <c r="E1214" t="s">
        <v>26</v>
      </c>
      <c r="F1214" t="s">
        <v>68</v>
      </c>
      <c r="G1214">
        <v>2</v>
      </c>
      <c r="H1214" s="5">
        <v>3.5</v>
      </c>
      <c r="I1214" t="s">
        <v>36</v>
      </c>
      <c r="J1214" t="s">
        <v>246</v>
      </c>
      <c r="K1214" t="s">
        <v>247</v>
      </c>
      <c r="L1214" t="s">
        <v>2123</v>
      </c>
      <c r="M1214" s="5">
        <f t="shared" si="109"/>
        <v>7</v>
      </c>
      <c r="N1214" t="str">
        <f t="shared" si="110"/>
        <v>April</v>
      </c>
      <c r="O1214" t="str">
        <f t="shared" si="111"/>
        <v>Saturday</v>
      </c>
      <c r="P1214">
        <f t="shared" si="108"/>
        <v>8</v>
      </c>
      <c r="Q1214" s="2">
        <f t="shared" si="112"/>
        <v>6</v>
      </c>
      <c r="R1214" s="2">
        <f t="shared" si="113"/>
        <v>4</v>
      </c>
      <c r="S1214">
        <f>SUMIF(Table1[product_category],"Bakery",Table1[Total_bill])</f>
        <v>2951.25</v>
      </c>
    </row>
    <row r="1215" spans="1:19" x14ac:dyDescent="0.3">
      <c r="A1215" s="2">
        <v>11214</v>
      </c>
      <c r="B1215" s="4">
        <v>46845</v>
      </c>
      <c r="C1215" t="s">
        <v>1360</v>
      </c>
      <c r="D1215" t="s">
        <v>25</v>
      </c>
      <c r="E1215" t="s">
        <v>26</v>
      </c>
      <c r="F1215" t="s">
        <v>71</v>
      </c>
      <c r="G1215">
        <v>4</v>
      </c>
      <c r="H1215" s="5">
        <v>5.5</v>
      </c>
      <c r="I1215" t="s">
        <v>72</v>
      </c>
      <c r="J1215" t="s">
        <v>72</v>
      </c>
      <c r="K1215" t="s">
        <v>141</v>
      </c>
      <c r="L1215" t="s">
        <v>2125</v>
      </c>
      <c r="M1215" s="5">
        <f t="shared" si="109"/>
        <v>22</v>
      </c>
      <c r="N1215" t="str">
        <f t="shared" si="110"/>
        <v>April</v>
      </c>
      <c r="O1215" t="str">
        <f t="shared" si="111"/>
        <v>Sunday</v>
      </c>
      <c r="P1215">
        <f t="shared" si="108"/>
        <v>16</v>
      </c>
      <c r="Q1215" s="2">
        <f t="shared" si="112"/>
        <v>7</v>
      </c>
      <c r="R1215" s="2">
        <f t="shared" si="113"/>
        <v>4</v>
      </c>
      <c r="S1215">
        <f>SUMIF(Table1[product_category],"Bakery",Table1[Total_bill])</f>
        <v>2951.25</v>
      </c>
    </row>
    <row r="1216" spans="1:19" x14ac:dyDescent="0.3">
      <c r="A1216" s="2">
        <v>11215</v>
      </c>
      <c r="B1216" s="4">
        <v>46846</v>
      </c>
      <c r="C1216" t="s">
        <v>1361</v>
      </c>
      <c r="D1216" t="s">
        <v>25</v>
      </c>
      <c r="E1216" t="s">
        <v>26</v>
      </c>
      <c r="F1216" t="s">
        <v>75</v>
      </c>
      <c r="G1216">
        <v>4</v>
      </c>
      <c r="H1216" s="5">
        <v>3.5</v>
      </c>
      <c r="I1216" t="s">
        <v>36</v>
      </c>
      <c r="J1216" t="s">
        <v>37</v>
      </c>
      <c r="K1216" t="s">
        <v>276</v>
      </c>
      <c r="L1216" t="s">
        <v>2123</v>
      </c>
      <c r="M1216" s="5">
        <f t="shared" si="109"/>
        <v>14</v>
      </c>
      <c r="N1216" t="str">
        <f t="shared" si="110"/>
        <v>April</v>
      </c>
      <c r="O1216" t="str">
        <f t="shared" si="111"/>
        <v>Monday</v>
      </c>
      <c r="P1216">
        <f t="shared" si="108"/>
        <v>14</v>
      </c>
      <c r="Q1216" s="2">
        <f t="shared" si="112"/>
        <v>1</v>
      </c>
      <c r="R1216" s="2">
        <f t="shared" si="113"/>
        <v>4</v>
      </c>
      <c r="S1216">
        <f>SUMIF(Table1[product_category],"Bakery",Table1[Total_bill])</f>
        <v>2951.25</v>
      </c>
    </row>
    <row r="1217" spans="1:19" x14ac:dyDescent="0.3">
      <c r="A1217" s="2">
        <v>11216</v>
      </c>
      <c r="B1217" s="4">
        <v>46847</v>
      </c>
      <c r="C1217" t="s">
        <v>1362</v>
      </c>
      <c r="D1217" t="s">
        <v>25</v>
      </c>
      <c r="E1217" t="s">
        <v>26</v>
      </c>
      <c r="F1217" t="s">
        <v>78</v>
      </c>
      <c r="G1217">
        <v>2</v>
      </c>
      <c r="H1217" s="5">
        <v>5.5</v>
      </c>
      <c r="I1217" t="s">
        <v>72</v>
      </c>
      <c r="J1217" t="s">
        <v>72</v>
      </c>
      <c r="K1217" t="s">
        <v>73</v>
      </c>
      <c r="L1217" t="s">
        <v>2125</v>
      </c>
      <c r="M1217" s="5">
        <f t="shared" si="109"/>
        <v>11</v>
      </c>
      <c r="N1217" t="str">
        <f t="shared" si="110"/>
        <v>April</v>
      </c>
      <c r="O1217" t="str">
        <f t="shared" si="111"/>
        <v>Tuesday</v>
      </c>
      <c r="P1217">
        <f t="shared" si="108"/>
        <v>8</v>
      </c>
      <c r="Q1217" s="2">
        <f t="shared" si="112"/>
        <v>2</v>
      </c>
      <c r="R1217" s="2">
        <f t="shared" si="113"/>
        <v>4</v>
      </c>
      <c r="S1217">
        <f>SUMIF(Table1[product_category],"Bakery",Table1[Total_bill])</f>
        <v>2951.25</v>
      </c>
    </row>
    <row r="1218" spans="1:19" x14ac:dyDescent="0.3">
      <c r="A1218" s="2">
        <v>11217</v>
      </c>
      <c r="B1218" s="4">
        <v>46848</v>
      </c>
      <c r="C1218" t="s">
        <v>1363</v>
      </c>
      <c r="D1218" t="s">
        <v>25</v>
      </c>
      <c r="E1218" t="s">
        <v>26</v>
      </c>
      <c r="F1218" t="s">
        <v>80</v>
      </c>
      <c r="G1218">
        <v>2</v>
      </c>
      <c r="H1218" s="5">
        <v>2.5</v>
      </c>
      <c r="I1218" t="s">
        <v>21</v>
      </c>
      <c r="J1218" t="s">
        <v>47</v>
      </c>
      <c r="K1218" t="s">
        <v>48</v>
      </c>
      <c r="L1218" t="s">
        <v>2125</v>
      </c>
      <c r="M1218" s="5">
        <f t="shared" si="109"/>
        <v>5</v>
      </c>
      <c r="N1218" t="str">
        <f t="shared" si="110"/>
        <v>April</v>
      </c>
      <c r="O1218" t="str">
        <f t="shared" si="111"/>
        <v>Wednesday</v>
      </c>
      <c r="P1218">
        <f t="shared" ref="P1218:P1281" si="114">HOUR(TIMEVALUE(C1218))</f>
        <v>7</v>
      </c>
      <c r="Q1218" s="2">
        <f t="shared" si="112"/>
        <v>3</v>
      </c>
      <c r="R1218" s="2">
        <f t="shared" si="113"/>
        <v>4</v>
      </c>
      <c r="S1218">
        <f>SUMIF(Table1[product_category],"Bakery",Table1[Total_bill])</f>
        <v>2951.25</v>
      </c>
    </row>
    <row r="1219" spans="1:19" x14ac:dyDescent="0.3">
      <c r="A1219" s="2">
        <v>11218</v>
      </c>
      <c r="B1219" s="4">
        <v>46849</v>
      </c>
      <c r="C1219" t="s">
        <v>1364</v>
      </c>
      <c r="D1219" t="s">
        <v>25</v>
      </c>
      <c r="E1219" t="s">
        <v>26</v>
      </c>
      <c r="F1219" t="s">
        <v>84</v>
      </c>
      <c r="G1219">
        <v>2</v>
      </c>
      <c r="H1219" s="5">
        <v>2.75</v>
      </c>
      <c r="I1219" t="s">
        <v>21</v>
      </c>
      <c r="J1219" t="s">
        <v>22</v>
      </c>
      <c r="K1219" t="s">
        <v>23</v>
      </c>
      <c r="L1219" t="s">
        <v>2125</v>
      </c>
      <c r="M1219" s="5">
        <f t="shared" ref="M1219:M1282" si="115">G1219*H1219</f>
        <v>5.5</v>
      </c>
      <c r="N1219" t="str">
        <f t="shared" ref="N1219:N1282" si="116">TEXT(B1219,"mmmm")</f>
        <v>April</v>
      </c>
      <c r="O1219" t="str">
        <f t="shared" ref="O1219:O1282" si="117">TEXT(B1219,"dddd")</f>
        <v>Thursday</v>
      </c>
      <c r="P1219">
        <f t="shared" si="114"/>
        <v>14</v>
      </c>
      <c r="Q1219" s="2">
        <f t="shared" ref="Q1219:Q1282" si="118">WEEKDAY(B1219,2)</f>
        <v>4</v>
      </c>
      <c r="R1219" s="2">
        <f t="shared" ref="R1219:R1282" si="119">MONTH(B1219)</f>
        <v>4</v>
      </c>
      <c r="S1219">
        <f>SUMIF(Table1[product_category],"Bakery",Table1[Total_bill])</f>
        <v>2951.25</v>
      </c>
    </row>
    <row r="1220" spans="1:19" x14ac:dyDescent="0.3">
      <c r="A1220" s="2">
        <v>11219</v>
      </c>
      <c r="B1220" s="4">
        <v>46850</v>
      </c>
      <c r="C1220" t="s">
        <v>1365</v>
      </c>
      <c r="D1220" t="s">
        <v>40</v>
      </c>
      <c r="E1220" t="s">
        <v>41</v>
      </c>
      <c r="F1220" t="s">
        <v>86</v>
      </c>
      <c r="G1220">
        <v>2</v>
      </c>
      <c r="H1220" s="5">
        <v>11</v>
      </c>
      <c r="I1220" t="s">
        <v>98</v>
      </c>
      <c r="J1220" t="s">
        <v>98</v>
      </c>
      <c r="K1220" t="s">
        <v>215</v>
      </c>
      <c r="L1220" t="s">
        <v>2125</v>
      </c>
      <c r="M1220" s="5">
        <f t="shared" si="115"/>
        <v>22</v>
      </c>
      <c r="N1220" t="str">
        <f t="shared" si="116"/>
        <v>April</v>
      </c>
      <c r="O1220" t="str">
        <f t="shared" si="117"/>
        <v>Friday</v>
      </c>
      <c r="P1220">
        <f t="shared" si="114"/>
        <v>14</v>
      </c>
      <c r="Q1220" s="2">
        <f t="shared" si="118"/>
        <v>5</v>
      </c>
      <c r="R1220" s="2">
        <f t="shared" si="119"/>
        <v>4</v>
      </c>
      <c r="S1220">
        <f>SUMIF(Table1[product_category],"Bakery",Table1[Total_bill])</f>
        <v>2951.25</v>
      </c>
    </row>
    <row r="1221" spans="1:19" x14ac:dyDescent="0.3">
      <c r="A1221" s="2">
        <v>11220</v>
      </c>
      <c r="B1221" s="4">
        <v>46851</v>
      </c>
      <c r="C1221" t="s">
        <v>1366</v>
      </c>
      <c r="D1221" t="s">
        <v>40</v>
      </c>
      <c r="E1221" t="s">
        <v>41</v>
      </c>
      <c r="F1221" t="s">
        <v>88</v>
      </c>
      <c r="G1221">
        <v>2</v>
      </c>
      <c r="H1221" s="5">
        <v>4.25</v>
      </c>
      <c r="I1221" t="s">
        <v>36</v>
      </c>
      <c r="J1221" t="s">
        <v>211</v>
      </c>
      <c r="K1221" t="s">
        <v>212</v>
      </c>
      <c r="L1221" t="s">
        <v>2123</v>
      </c>
      <c r="M1221" s="5">
        <f t="shared" si="115"/>
        <v>8.5</v>
      </c>
      <c r="N1221" t="str">
        <f t="shared" si="116"/>
        <v>April</v>
      </c>
      <c r="O1221" t="str">
        <f t="shared" si="117"/>
        <v>Saturday</v>
      </c>
      <c r="P1221">
        <f t="shared" si="114"/>
        <v>9</v>
      </c>
      <c r="Q1221" s="2">
        <f t="shared" si="118"/>
        <v>6</v>
      </c>
      <c r="R1221" s="2">
        <f t="shared" si="119"/>
        <v>4</v>
      </c>
      <c r="S1221">
        <f>SUMIF(Table1[product_category],"Bakery",Table1[Total_bill])</f>
        <v>2951.25</v>
      </c>
    </row>
    <row r="1222" spans="1:19" x14ac:dyDescent="0.3">
      <c r="A1222" s="2">
        <v>11221</v>
      </c>
      <c r="B1222" s="4">
        <v>46852</v>
      </c>
      <c r="C1222" t="s">
        <v>1367</v>
      </c>
      <c r="D1222" t="s">
        <v>25</v>
      </c>
      <c r="E1222" t="s">
        <v>26</v>
      </c>
      <c r="F1222" t="s">
        <v>93</v>
      </c>
      <c r="G1222">
        <v>4</v>
      </c>
      <c r="H1222" s="5">
        <v>4</v>
      </c>
      <c r="I1222" t="s">
        <v>32</v>
      </c>
      <c r="J1222" t="s">
        <v>33</v>
      </c>
      <c r="K1222" t="s">
        <v>33</v>
      </c>
      <c r="L1222" t="s">
        <v>2124</v>
      </c>
      <c r="M1222" s="5">
        <f t="shared" si="115"/>
        <v>16</v>
      </c>
      <c r="N1222" t="str">
        <f t="shared" si="116"/>
        <v>April</v>
      </c>
      <c r="O1222" t="str">
        <f t="shared" si="117"/>
        <v>Sunday</v>
      </c>
      <c r="P1222">
        <f t="shared" si="114"/>
        <v>20</v>
      </c>
      <c r="Q1222" s="2">
        <f t="shared" si="118"/>
        <v>7</v>
      </c>
      <c r="R1222" s="2">
        <f t="shared" si="119"/>
        <v>4</v>
      </c>
      <c r="S1222">
        <f>SUMIF(Table1[product_category],"Bakery",Table1[Total_bill])</f>
        <v>2951.25</v>
      </c>
    </row>
    <row r="1223" spans="1:19" x14ac:dyDescent="0.3">
      <c r="A1223" s="2">
        <v>11222</v>
      </c>
      <c r="B1223" s="4">
        <v>46853</v>
      </c>
      <c r="C1223" t="s">
        <v>1368</v>
      </c>
      <c r="D1223" t="s">
        <v>40</v>
      </c>
      <c r="E1223" t="s">
        <v>41</v>
      </c>
      <c r="F1223" t="s">
        <v>97</v>
      </c>
      <c r="G1223">
        <v>1</v>
      </c>
      <c r="H1223" s="5">
        <v>2.75</v>
      </c>
      <c r="I1223" t="s">
        <v>21</v>
      </c>
      <c r="J1223" t="s">
        <v>22</v>
      </c>
      <c r="K1223" t="s">
        <v>23</v>
      </c>
      <c r="L1223" t="s">
        <v>2125</v>
      </c>
      <c r="M1223" s="5">
        <f t="shared" si="115"/>
        <v>2.75</v>
      </c>
      <c r="N1223" t="str">
        <f t="shared" si="116"/>
        <v>April</v>
      </c>
      <c r="O1223" t="str">
        <f t="shared" si="117"/>
        <v>Monday</v>
      </c>
      <c r="P1223">
        <f t="shared" si="114"/>
        <v>7</v>
      </c>
      <c r="Q1223" s="2">
        <f t="shared" si="118"/>
        <v>1</v>
      </c>
      <c r="R1223" s="2">
        <f t="shared" si="119"/>
        <v>4</v>
      </c>
      <c r="S1223">
        <f>SUMIF(Table1[product_category],"Bakery",Table1[Total_bill])</f>
        <v>2951.25</v>
      </c>
    </row>
    <row r="1224" spans="1:19" x14ac:dyDescent="0.3">
      <c r="A1224" s="2">
        <v>11223</v>
      </c>
      <c r="B1224" s="4">
        <v>46854</v>
      </c>
      <c r="C1224" t="s">
        <v>852</v>
      </c>
      <c r="D1224" t="s">
        <v>25</v>
      </c>
      <c r="E1224" t="s">
        <v>26</v>
      </c>
      <c r="F1224" t="s">
        <v>100</v>
      </c>
      <c r="G1224">
        <v>4</v>
      </c>
      <c r="H1224" s="5">
        <v>3.5</v>
      </c>
      <c r="I1224" t="s">
        <v>36</v>
      </c>
      <c r="J1224" t="s">
        <v>246</v>
      </c>
      <c r="K1224" t="s">
        <v>247</v>
      </c>
      <c r="L1224" t="s">
        <v>2123</v>
      </c>
      <c r="M1224" s="5">
        <f t="shared" si="115"/>
        <v>14</v>
      </c>
      <c r="N1224" t="str">
        <f t="shared" si="116"/>
        <v>April</v>
      </c>
      <c r="O1224" t="str">
        <f t="shared" si="117"/>
        <v>Tuesday</v>
      </c>
      <c r="P1224">
        <f t="shared" si="114"/>
        <v>11</v>
      </c>
      <c r="Q1224" s="2">
        <f t="shared" si="118"/>
        <v>2</v>
      </c>
      <c r="R1224" s="2">
        <f t="shared" si="119"/>
        <v>4</v>
      </c>
      <c r="S1224">
        <f>SUMIF(Table1[product_category],"Bakery",Table1[Total_bill])</f>
        <v>2951.25</v>
      </c>
    </row>
    <row r="1225" spans="1:19" x14ac:dyDescent="0.3">
      <c r="A1225" s="2">
        <v>11224</v>
      </c>
      <c r="B1225" s="4">
        <v>46855</v>
      </c>
      <c r="C1225" t="s">
        <v>1369</v>
      </c>
      <c r="D1225" t="s">
        <v>18</v>
      </c>
      <c r="E1225" t="s">
        <v>19</v>
      </c>
      <c r="F1225" t="s">
        <v>105</v>
      </c>
      <c r="G1225">
        <v>4</v>
      </c>
      <c r="H1225" s="5">
        <v>4.25</v>
      </c>
      <c r="I1225" t="s">
        <v>32</v>
      </c>
      <c r="J1225" t="s">
        <v>202</v>
      </c>
      <c r="K1225" t="s">
        <v>202</v>
      </c>
      <c r="L1225" t="s">
        <v>2124</v>
      </c>
      <c r="M1225" s="5">
        <f t="shared" si="115"/>
        <v>17</v>
      </c>
      <c r="N1225" t="str">
        <f t="shared" si="116"/>
        <v>April</v>
      </c>
      <c r="O1225" t="str">
        <f t="shared" si="117"/>
        <v>Wednesday</v>
      </c>
      <c r="P1225">
        <f t="shared" si="114"/>
        <v>19</v>
      </c>
      <c r="Q1225" s="2">
        <f t="shared" si="118"/>
        <v>3</v>
      </c>
      <c r="R1225" s="2">
        <f t="shared" si="119"/>
        <v>4</v>
      </c>
      <c r="S1225">
        <f>SUMIF(Table1[product_category],"Bakery",Table1[Total_bill])</f>
        <v>2951.25</v>
      </c>
    </row>
    <row r="1226" spans="1:19" x14ac:dyDescent="0.3">
      <c r="A1226" s="2">
        <v>11225</v>
      </c>
      <c r="B1226" s="4">
        <v>46856</v>
      </c>
      <c r="C1226" t="s">
        <v>1370</v>
      </c>
      <c r="D1226" t="s">
        <v>18</v>
      </c>
      <c r="E1226" t="s">
        <v>19</v>
      </c>
      <c r="F1226" t="s">
        <v>107</v>
      </c>
      <c r="G1226">
        <v>1</v>
      </c>
      <c r="H1226" s="5">
        <v>14</v>
      </c>
      <c r="I1226" t="s">
        <v>101</v>
      </c>
      <c r="J1226" t="s">
        <v>102</v>
      </c>
      <c r="K1226" t="s">
        <v>193</v>
      </c>
      <c r="L1226" t="s">
        <v>2125</v>
      </c>
      <c r="M1226" s="5">
        <f t="shared" si="115"/>
        <v>14</v>
      </c>
      <c r="N1226" t="str">
        <f t="shared" si="116"/>
        <v>April</v>
      </c>
      <c r="O1226" t="str">
        <f t="shared" si="117"/>
        <v>Thursday</v>
      </c>
      <c r="P1226">
        <f t="shared" si="114"/>
        <v>10</v>
      </c>
      <c r="Q1226" s="2">
        <f t="shared" si="118"/>
        <v>4</v>
      </c>
      <c r="R1226" s="2">
        <f t="shared" si="119"/>
        <v>4</v>
      </c>
      <c r="S1226">
        <f>SUMIF(Table1[product_category],"Bakery",Table1[Total_bill])</f>
        <v>2951.25</v>
      </c>
    </row>
    <row r="1227" spans="1:19" x14ac:dyDescent="0.3">
      <c r="A1227" s="2">
        <v>11226</v>
      </c>
      <c r="B1227" s="4">
        <v>46857</v>
      </c>
      <c r="C1227" t="s">
        <v>1371</v>
      </c>
      <c r="D1227" t="s">
        <v>40</v>
      </c>
      <c r="E1227" t="s">
        <v>41</v>
      </c>
      <c r="F1227" t="s">
        <v>109</v>
      </c>
      <c r="G1227">
        <v>4</v>
      </c>
      <c r="H1227" s="5">
        <v>3.25</v>
      </c>
      <c r="I1227" t="s">
        <v>32</v>
      </c>
      <c r="J1227" t="s">
        <v>144</v>
      </c>
      <c r="K1227" t="s">
        <v>144</v>
      </c>
      <c r="L1227" t="s">
        <v>2124</v>
      </c>
      <c r="M1227" s="5">
        <f t="shared" si="115"/>
        <v>13</v>
      </c>
      <c r="N1227" t="str">
        <f t="shared" si="116"/>
        <v>April</v>
      </c>
      <c r="O1227" t="str">
        <f t="shared" si="117"/>
        <v>Friday</v>
      </c>
      <c r="P1227">
        <f t="shared" si="114"/>
        <v>13</v>
      </c>
      <c r="Q1227" s="2">
        <f t="shared" si="118"/>
        <v>5</v>
      </c>
      <c r="R1227" s="2">
        <f t="shared" si="119"/>
        <v>4</v>
      </c>
      <c r="S1227">
        <f>SUMIF(Table1[product_category],"Bakery",Table1[Total_bill])</f>
        <v>2951.25</v>
      </c>
    </row>
    <row r="1228" spans="1:19" x14ac:dyDescent="0.3">
      <c r="A1228" s="2">
        <v>11227</v>
      </c>
      <c r="B1228" s="4">
        <v>46858</v>
      </c>
      <c r="C1228" t="s">
        <v>1372</v>
      </c>
      <c r="D1228" t="s">
        <v>25</v>
      </c>
      <c r="E1228" t="s">
        <v>26</v>
      </c>
      <c r="F1228" t="s">
        <v>112</v>
      </c>
      <c r="G1228">
        <v>2</v>
      </c>
      <c r="H1228" s="5">
        <v>11</v>
      </c>
      <c r="I1228" t="s">
        <v>98</v>
      </c>
      <c r="J1228" t="s">
        <v>98</v>
      </c>
      <c r="K1228" t="s">
        <v>215</v>
      </c>
      <c r="L1228" t="s">
        <v>2125</v>
      </c>
      <c r="M1228" s="5">
        <f t="shared" si="115"/>
        <v>22</v>
      </c>
      <c r="N1228" t="str">
        <f t="shared" si="116"/>
        <v>April</v>
      </c>
      <c r="O1228" t="str">
        <f t="shared" si="117"/>
        <v>Saturday</v>
      </c>
      <c r="P1228">
        <f t="shared" si="114"/>
        <v>10</v>
      </c>
      <c r="Q1228" s="2">
        <f t="shared" si="118"/>
        <v>6</v>
      </c>
      <c r="R1228" s="2">
        <f t="shared" si="119"/>
        <v>4</v>
      </c>
      <c r="S1228">
        <f>SUMIF(Table1[product_category],"Bakery",Table1[Total_bill])</f>
        <v>2951.25</v>
      </c>
    </row>
    <row r="1229" spans="1:19" x14ac:dyDescent="0.3">
      <c r="A1229" s="2">
        <v>11228</v>
      </c>
      <c r="B1229" s="4">
        <v>46859</v>
      </c>
      <c r="C1229" t="s">
        <v>1373</v>
      </c>
      <c r="D1229" t="s">
        <v>25</v>
      </c>
      <c r="E1229" t="s">
        <v>26</v>
      </c>
      <c r="F1229" t="s">
        <v>115</v>
      </c>
      <c r="G1229">
        <v>4</v>
      </c>
      <c r="H1229" s="5">
        <v>3.5</v>
      </c>
      <c r="I1229" t="s">
        <v>32</v>
      </c>
      <c r="J1229" t="s">
        <v>33</v>
      </c>
      <c r="K1229" t="s">
        <v>33</v>
      </c>
      <c r="L1229" t="s">
        <v>2122</v>
      </c>
      <c r="M1229" s="5">
        <f t="shared" si="115"/>
        <v>14</v>
      </c>
      <c r="N1229" t="str">
        <f t="shared" si="116"/>
        <v>April</v>
      </c>
      <c r="O1229" t="str">
        <f t="shared" si="117"/>
        <v>Sunday</v>
      </c>
      <c r="P1229">
        <f t="shared" si="114"/>
        <v>9</v>
      </c>
      <c r="Q1229" s="2">
        <f t="shared" si="118"/>
        <v>7</v>
      </c>
      <c r="R1229" s="2">
        <f t="shared" si="119"/>
        <v>4</v>
      </c>
      <c r="S1229">
        <f>SUMIF(Table1[product_category],"Bakery",Table1[Total_bill])</f>
        <v>2951.25</v>
      </c>
    </row>
    <row r="1230" spans="1:19" x14ac:dyDescent="0.3">
      <c r="A1230" s="2">
        <v>11229</v>
      </c>
      <c r="B1230" s="4">
        <v>46860</v>
      </c>
      <c r="C1230" t="s">
        <v>1374</v>
      </c>
      <c r="D1230" t="s">
        <v>18</v>
      </c>
      <c r="E1230" t="s">
        <v>19</v>
      </c>
      <c r="F1230" t="s">
        <v>117</v>
      </c>
      <c r="G1230">
        <v>1</v>
      </c>
      <c r="H1230" s="5">
        <v>5.5</v>
      </c>
      <c r="I1230" t="s">
        <v>72</v>
      </c>
      <c r="J1230" t="s">
        <v>72</v>
      </c>
      <c r="K1230" t="s">
        <v>73</v>
      </c>
      <c r="L1230" t="s">
        <v>2125</v>
      </c>
      <c r="M1230" s="5">
        <f t="shared" si="115"/>
        <v>5.5</v>
      </c>
      <c r="N1230" t="str">
        <f t="shared" si="116"/>
        <v>April</v>
      </c>
      <c r="O1230" t="str">
        <f t="shared" si="117"/>
        <v>Monday</v>
      </c>
      <c r="P1230">
        <f t="shared" si="114"/>
        <v>20</v>
      </c>
      <c r="Q1230" s="2">
        <f t="shared" si="118"/>
        <v>1</v>
      </c>
      <c r="R1230" s="2">
        <f t="shared" si="119"/>
        <v>4</v>
      </c>
      <c r="S1230">
        <f>SUMIF(Table1[product_category],"Bakery",Table1[Total_bill])</f>
        <v>2951.25</v>
      </c>
    </row>
    <row r="1231" spans="1:19" x14ac:dyDescent="0.3">
      <c r="A1231" s="2">
        <v>11230</v>
      </c>
      <c r="B1231" s="4">
        <v>46861</v>
      </c>
      <c r="C1231" t="s">
        <v>1375</v>
      </c>
      <c r="D1231" t="s">
        <v>25</v>
      </c>
      <c r="E1231" t="s">
        <v>26</v>
      </c>
      <c r="F1231" t="s">
        <v>119</v>
      </c>
      <c r="G1231">
        <v>3</v>
      </c>
      <c r="H1231" s="5">
        <v>4</v>
      </c>
      <c r="I1231" t="s">
        <v>89</v>
      </c>
      <c r="J1231" t="s">
        <v>90</v>
      </c>
      <c r="K1231" t="s">
        <v>91</v>
      </c>
      <c r="L1231" t="s">
        <v>2122</v>
      </c>
      <c r="M1231" s="5">
        <f t="shared" si="115"/>
        <v>12</v>
      </c>
      <c r="N1231" t="str">
        <f t="shared" si="116"/>
        <v>April</v>
      </c>
      <c r="O1231" t="str">
        <f t="shared" si="117"/>
        <v>Tuesday</v>
      </c>
      <c r="P1231">
        <f t="shared" si="114"/>
        <v>10</v>
      </c>
      <c r="Q1231" s="2">
        <f t="shared" si="118"/>
        <v>2</v>
      </c>
      <c r="R1231" s="2">
        <f t="shared" si="119"/>
        <v>4</v>
      </c>
      <c r="S1231">
        <f>SUMIF(Table1[product_category],"Bakery",Table1[Total_bill])</f>
        <v>2951.25</v>
      </c>
    </row>
    <row r="1232" spans="1:19" x14ac:dyDescent="0.3">
      <c r="A1232" s="2">
        <v>11231</v>
      </c>
      <c r="B1232" s="4">
        <v>46862</v>
      </c>
      <c r="C1232" t="s">
        <v>1376</v>
      </c>
      <c r="D1232" t="s">
        <v>18</v>
      </c>
      <c r="E1232" t="s">
        <v>19</v>
      </c>
      <c r="F1232" t="s">
        <v>121</v>
      </c>
      <c r="G1232">
        <v>1</v>
      </c>
      <c r="H1232" s="5">
        <v>2.75</v>
      </c>
      <c r="I1232" t="s">
        <v>32</v>
      </c>
      <c r="J1232" t="s">
        <v>43</v>
      </c>
      <c r="K1232" t="s">
        <v>44</v>
      </c>
      <c r="L1232" t="s">
        <v>2123</v>
      </c>
      <c r="M1232" s="5">
        <f t="shared" si="115"/>
        <v>2.75</v>
      </c>
      <c r="N1232" t="str">
        <f t="shared" si="116"/>
        <v>April</v>
      </c>
      <c r="O1232" t="str">
        <f t="shared" si="117"/>
        <v>Wednesday</v>
      </c>
      <c r="P1232">
        <f t="shared" si="114"/>
        <v>18</v>
      </c>
      <c r="Q1232" s="2">
        <f t="shared" si="118"/>
        <v>3</v>
      </c>
      <c r="R1232" s="2">
        <f t="shared" si="119"/>
        <v>4</v>
      </c>
      <c r="S1232">
        <f>SUMIF(Table1[product_category],"Bakery",Table1[Total_bill])</f>
        <v>2951.25</v>
      </c>
    </row>
    <row r="1233" spans="1:19" x14ac:dyDescent="0.3">
      <c r="A1233" s="2">
        <v>11232</v>
      </c>
      <c r="B1233" s="4">
        <v>46863</v>
      </c>
      <c r="C1233" t="s">
        <v>1377</v>
      </c>
      <c r="D1233" t="s">
        <v>40</v>
      </c>
      <c r="E1233" t="s">
        <v>41</v>
      </c>
      <c r="F1233" t="s">
        <v>124</v>
      </c>
      <c r="G1233">
        <v>1</v>
      </c>
      <c r="H1233" s="5">
        <v>24</v>
      </c>
      <c r="I1233" t="s">
        <v>101</v>
      </c>
      <c r="J1233" t="s">
        <v>102</v>
      </c>
      <c r="K1233" t="s">
        <v>103</v>
      </c>
      <c r="L1233" t="s">
        <v>2125</v>
      </c>
      <c r="M1233" s="5">
        <f t="shared" si="115"/>
        <v>24</v>
      </c>
      <c r="N1233" t="str">
        <f t="shared" si="116"/>
        <v>April</v>
      </c>
      <c r="O1233" t="str">
        <f t="shared" si="117"/>
        <v>Thursday</v>
      </c>
      <c r="P1233">
        <f t="shared" si="114"/>
        <v>8</v>
      </c>
      <c r="Q1233" s="2">
        <f t="shared" si="118"/>
        <v>4</v>
      </c>
      <c r="R1233" s="2">
        <f t="shared" si="119"/>
        <v>4</v>
      </c>
      <c r="S1233">
        <f>SUMIF(Table1[product_category],"Bakery",Table1[Total_bill])</f>
        <v>2951.25</v>
      </c>
    </row>
    <row r="1234" spans="1:19" x14ac:dyDescent="0.3">
      <c r="A1234" s="2">
        <v>11233</v>
      </c>
      <c r="B1234" s="4">
        <v>46864</v>
      </c>
      <c r="C1234" t="s">
        <v>1378</v>
      </c>
      <c r="D1234" t="s">
        <v>40</v>
      </c>
      <c r="E1234" t="s">
        <v>41</v>
      </c>
      <c r="F1234" t="s">
        <v>126</v>
      </c>
      <c r="G1234">
        <v>2</v>
      </c>
      <c r="H1234" s="5">
        <v>9.5</v>
      </c>
      <c r="I1234" t="s">
        <v>28</v>
      </c>
      <c r="J1234" t="s">
        <v>28</v>
      </c>
      <c r="K1234" t="s">
        <v>29</v>
      </c>
      <c r="L1234" t="s">
        <v>2125</v>
      </c>
      <c r="M1234" s="5">
        <f t="shared" si="115"/>
        <v>19</v>
      </c>
      <c r="N1234" t="str">
        <f t="shared" si="116"/>
        <v>April</v>
      </c>
      <c r="O1234" t="str">
        <f t="shared" si="117"/>
        <v>Friday</v>
      </c>
      <c r="P1234">
        <f t="shared" si="114"/>
        <v>8</v>
      </c>
      <c r="Q1234" s="2">
        <f t="shared" si="118"/>
        <v>5</v>
      </c>
      <c r="R1234" s="2">
        <f t="shared" si="119"/>
        <v>4</v>
      </c>
      <c r="S1234">
        <f>SUMIF(Table1[product_category],"Bakery",Table1[Total_bill])</f>
        <v>2951.25</v>
      </c>
    </row>
    <row r="1235" spans="1:19" x14ac:dyDescent="0.3">
      <c r="A1235" s="2">
        <v>11234</v>
      </c>
      <c r="B1235" s="4">
        <v>46865</v>
      </c>
      <c r="C1235" t="s">
        <v>1379</v>
      </c>
      <c r="D1235" t="s">
        <v>40</v>
      </c>
      <c r="E1235" t="s">
        <v>41</v>
      </c>
      <c r="F1235" t="s">
        <v>128</v>
      </c>
      <c r="G1235">
        <v>3</v>
      </c>
      <c r="H1235" s="5">
        <v>4.5</v>
      </c>
      <c r="I1235" t="s">
        <v>32</v>
      </c>
      <c r="J1235" t="s">
        <v>94</v>
      </c>
      <c r="K1235" t="s">
        <v>95</v>
      </c>
      <c r="L1235" t="s">
        <v>2123</v>
      </c>
      <c r="M1235" s="5">
        <f t="shared" si="115"/>
        <v>13.5</v>
      </c>
      <c r="N1235" t="str">
        <f t="shared" si="116"/>
        <v>April</v>
      </c>
      <c r="O1235" t="str">
        <f t="shared" si="117"/>
        <v>Saturday</v>
      </c>
      <c r="P1235">
        <f t="shared" si="114"/>
        <v>6</v>
      </c>
      <c r="Q1235" s="2">
        <f t="shared" si="118"/>
        <v>6</v>
      </c>
      <c r="R1235" s="2">
        <f t="shared" si="119"/>
        <v>4</v>
      </c>
      <c r="S1235">
        <f>SUMIF(Table1[product_category],"Bakery",Table1[Total_bill])</f>
        <v>2951.25</v>
      </c>
    </row>
    <row r="1236" spans="1:19" x14ac:dyDescent="0.3">
      <c r="A1236" s="2">
        <v>11235</v>
      </c>
      <c r="B1236" s="4">
        <v>46866</v>
      </c>
      <c r="C1236" t="s">
        <v>1380</v>
      </c>
      <c r="D1236" t="s">
        <v>40</v>
      </c>
      <c r="E1236" t="s">
        <v>41</v>
      </c>
      <c r="F1236" t="s">
        <v>131</v>
      </c>
      <c r="G1236">
        <v>1</v>
      </c>
      <c r="H1236" s="5">
        <v>5.5</v>
      </c>
      <c r="I1236" t="s">
        <v>72</v>
      </c>
      <c r="J1236" t="s">
        <v>72</v>
      </c>
      <c r="K1236" t="s">
        <v>73</v>
      </c>
      <c r="L1236" t="s">
        <v>2125</v>
      </c>
      <c r="M1236" s="5">
        <f t="shared" si="115"/>
        <v>5.5</v>
      </c>
      <c r="N1236" t="str">
        <f t="shared" si="116"/>
        <v>April</v>
      </c>
      <c r="O1236" t="str">
        <f t="shared" si="117"/>
        <v>Sunday</v>
      </c>
      <c r="P1236">
        <f t="shared" si="114"/>
        <v>14</v>
      </c>
      <c r="Q1236" s="2">
        <f t="shared" si="118"/>
        <v>7</v>
      </c>
      <c r="R1236" s="2">
        <f t="shared" si="119"/>
        <v>4</v>
      </c>
      <c r="S1236">
        <f>SUMIF(Table1[product_category],"Bakery",Table1[Total_bill])</f>
        <v>2951.25</v>
      </c>
    </row>
    <row r="1237" spans="1:19" x14ac:dyDescent="0.3">
      <c r="A1237" s="2">
        <v>11236</v>
      </c>
      <c r="B1237" s="4">
        <v>46867</v>
      </c>
      <c r="C1237" t="s">
        <v>1381</v>
      </c>
      <c r="D1237" t="s">
        <v>18</v>
      </c>
      <c r="E1237" t="s">
        <v>19</v>
      </c>
      <c r="F1237" t="s">
        <v>133</v>
      </c>
      <c r="G1237">
        <v>1</v>
      </c>
      <c r="H1237" s="5">
        <v>8</v>
      </c>
      <c r="I1237" t="s">
        <v>28</v>
      </c>
      <c r="J1237" t="s">
        <v>28</v>
      </c>
      <c r="K1237" t="s">
        <v>76</v>
      </c>
      <c r="L1237" t="s">
        <v>2125</v>
      </c>
      <c r="M1237" s="5">
        <f t="shared" si="115"/>
        <v>8</v>
      </c>
      <c r="N1237" t="str">
        <f t="shared" si="116"/>
        <v>April</v>
      </c>
      <c r="O1237" t="str">
        <f t="shared" si="117"/>
        <v>Monday</v>
      </c>
      <c r="P1237">
        <f t="shared" si="114"/>
        <v>10</v>
      </c>
      <c r="Q1237" s="2">
        <f t="shared" si="118"/>
        <v>1</v>
      </c>
      <c r="R1237" s="2">
        <f t="shared" si="119"/>
        <v>4</v>
      </c>
      <c r="S1237">
        <f>SUMIF(Table1[product_category],"Bakery",Table1[Total_bill])</f>
        <v>2951.25</v>
      </c>
    </row>
    <row r="1238" spans="1:19" x14ac:dyDescent="0.3">
      <c r="A1238" s="2">
        <v>11237</v>
      </c>
      <c r="B1238" s="4">
        <v>46868</v>
      </c>
      <c r="C1238" t="s">
        <v>1382</v>
      </c>
      <c r="D1238" t="s">
        <v>25</v>
      </c>
      <c r="E1238" t="s">
        <v>26</v>
      </c>
      <c r="F1238" t="s">
        <v>135</v>
      </c>
      <c r="G1238">
        <v>2</v>
      </c>
      <c r="H1238" s="5">
        <v>4.75</v>
      </c>
      <c r="I1238" t="s">
        <v>32</v>
      </c>
      <c r="J1238" t="s">
        <v>122</v>
      </c>
      <c r="K1238" t="s">
        <v>122</v>
      </c>
      <c r="L1238" t="s">
        <v>2123</v>
      </c>
      <c r="M1238" s="5">
        <f t="shared" si="115"/>
        <v>9.5</v>
      </c>
      <c r="N1238" t="str">
        <f t="shared" si="116"/>
        <v>April</v>
      </c>
      <c r="O1238" t="str">
        <f t="shared" si="117"/>
        <v>Tuesday</v>
      </c>
      <c r="P1238">
        <f t="shared" si="114"/>
        <v>17</v>
      </c>
      <c r="Q1238" s="2">
        <f t="shared" si="118"/>
        <v>2</v>
      </c>
      <c r="R1238" s="2">
        <f t="shared" si="119"/>
        <v>4</v>
      </c>
      <c r="S1238">
        <f>SUMIF(Table1[product_category],"Bakery",Table1[Total_bill])</f>
        <v>2951.25</v>
      </c>
    </row>
    <row r="1239" spans="1:19" x14ac:dyDescent="0.3">
      <c r="A1239" s="2">
        <v>11238</v>
      </c>
      <c r="B1239" s="4">
        <v>46869</v>
      </c>
      <c r="C1239" t="s">
        <v>1383</v>
      </c>
      <c r="D1239" t="s">
        <v>40</v>
      </c>
      <c r="E1239" t="s">
        <v>41</v>
      </c>
      <c r="F1239" t="s">
        <v>137</v>
      </c>
      <c r="G1239">
        <v>2</v>
      </c>
      <c r="H1239" s="5">
        <v>3.5</v>
      </c>
      <c r="I1239" t="s">
        <v>36</v>
      </c>
      <c r="J1239" t="s">
        <v>37</v>
      </c>
      <c r="K1239" t="s">
        <v>276</v>
      </c>
      <c r="L1239" t="s">
        <v>2123</v>
      </c>
      <c r="M1239" s="5">
        <f t="shared" si="115"/>
        <v>7</v>
      </c>
      <c r="N1239" t="str">
        <f t="shared" si="116"/>
        <v>April</v>
      </c>
      <c r="O1239" t="str">
        <f t="shared" si="117"/>
        <v>Wednesday</v>
      </c>
      <c r="P1239">
        <f t="shared" si="114"/>
        <v>11</v>
      </c>
      <c r="Q1239" s="2">
        <f t="shared" si="118"/>
        <v>3</v>
      </c>
      <c r="R1239" s="2">
        <f t="shared" si="119"/>
        <v>4</v>
      </c>
      <c r="S1239">
        <f>SUMIF(Table1[product_category],"Bakery",Table1[Total_bill])</f>
        <v>2951.25</v>
      </c>
    </row>
    <row r="1240" spans="1:19" x14ac:dyDescent="0.3">
      <c r="A1240" s="2">
        <v>11239</v>
      </c>
      <c r="B1240" s="4">
        <v>46870</v>
      </c>
      <c r="C1240" t="s">
        <v>1384</v>
      </c>
      <c r="D1240" t="s">
        <v>40</v>
      </c>
      <c r="E1240" t="s">
        <v>41</v>
      </c>
      <c r="F1240" t="s">
        <v>140</v>
      </c>
      <c r="G1240">
        <v>4</v>
      </c>
      <c r="H1240" s="5">
        <v>14</v>
      </c>
      <c r="I1240" t="s">
        <v>101</v>
      </c>
      <c r="J1240" t="s">
        <v>102</v>
      </c>
      <c r="K1240" t="s">
        <v>193</v>
      </c>
      <c r="L1240" t="s">
        <v>2125</v>
      </c>
      <c r="M1240" s="5">
        <f t="shared" si="115"/>
        <v>56</v>
      </c>
      <c r="N1240" t="str">
        <f t="shared" si="116"/>
        <v>April</v>
      </c>
      <c r="O1240" t="str">
        <f t="shared" si="117"/>
        <v>Thursday</v>
      </c>
      <c r="P1240">
        <f t="shared" si="114"/>
        <v>20</v>
      </c>
      <c r="Q1240" s="2">
        <f t="shared" si="118"/>
        <v>4</v>
      </c>
      <c r="R1240" s="2">
        <f t="shared" si="119"/>
        <v>4</v>
      </c>
      <c r="S1240">
        <f>SUMIF(Table1[product_category],"Bakery",Table1[Total_bill])</f>
        <v>2951.25</v>
      </c>
    </row>
    <row r="1241" spans="1:19" x14ac:dyDescent="0.3">
      <c r="A1241" s="2">
        <v>11240</v>
      </c>
      <c r="B1241" s="4">
        <v>46871</v>
      </c>
      <c r="C1241" t="s">
        <v>1385</v>
      </c>
      <c r="D1241" t="s">
        <v>40</v>
      </c>
      <c r="E1241" t="s">
        <v>41</v>
      </c>
      <c r="F1241" t="s">
        <v>143</v>
      </c>
      <c r="G1241">
        <v>4</v>
      </c>
      <c r="H1241" s="5">
        <v>3.5</v>
      </c>
      <c r="I1241" t="s">
        <v>21</v>
      </c>
      <c r="J1241" t="s">
        <v>51</v>
      </c>
      <c r="K1241" t="s">
        <v>52</v>
      </c>
      <c r="L1241" t="s">
        <v>2125</v>
      </c>
      <c r="M1241" s="5">
        <f t="shared" si="115"/>
        <v>14</v>
      </c>
      <c r="N1241" t="str">
        <f t="shared" si="116"/>
        <v>April</v>
      </c>
      <c r="O1241" t="str">
        <f t="shared" si="117"/>
        <v>Friday</v>
      </c>
      <c r="P1241">
        <f t="shared" si="114"/>
        <v>8</v>
      </c>
      <c r="Q1241" s="2">
        <f t="shared" si="118"/>
        <v>5</v>
      </c>
      <c r="R1241" s="2">
        <f t="shared" si="119"/>
        <v>4</v>
      </c>
      <c r="S1241">
        <f>SUMIF(Table1[product_category],"Bakery",Table1[Total_bill])</f>
        <v>2951.25</v>
      </c>
    </row>
    <row r="1242" spans="1:19" x14ac:dyDescent="0.3">
      <c r="A1242" s="2">
        <v>11241</v>
      </c>
      <c r="B1242" s="4">
        <v>46872</v>
      </c>
      <c r="C1242" t="s">
        <v>1386</v>
      </c>
      <c r="D1242" t="s">
        <v>25</v>
      </c>
      <c r="E1242" t="s">
        <v>26</v>
      </c>
      <c r="F1242" t="s">
        <v>146</v>
      </c>
      <c r="G1242">
        <v>3</v>
      </c>
      <c r="H1242" s="5">
        <v>5.5</v>
      </c>
      <c r="I1242" t="s">
        <v>72</v>
      </c>
      <c r="J1242" t="s">
        <v>72</v>
      </c>
      <c r="K1242" t="s">
        <v>141</v>
      </c>
      <c r="L1242" t="s">
        <v>2125</v>
      </c>
      <c r="M1242" s="5">
        <f t="shared" si="115"/>
        <v>16.5</v>
      </c>
      <c r="N1242" t="str">
        <f t="shared" si="116"/>
        <v>April</v>
      </c>
      <c r="O1242" t="str">
        <f t="shared" si="117"/>
        <v>Saturday</v>
      </c>
      <c r="P1242">
        <f t="shared" si="114"/>
        <v>17</v>
      </c>
      <c r="Q1242" s="2">
        <f t="shared" si="118"/>
        <v>6</v>
      </c>
      <c r="R1242" s="2">
        <f t="shared" si="119"/>
        <v>4</v>
      </c>
      <c r="S1242">
        <f>SUMIF(Table1[product_category],"Bakery",Table1[Total_bill])</f>
        <v>2951.25</v>
      </c>
    </row>
    <row r="1243" spans="1:19" x14ac:dyDescent="0.3">
      <c r="A1243" s="2">
        <v>11242</v>
      </c>
      <c r="B1243" s="4">
        <v>46873</v>
      </c>
      <c r="C1243" t="s">
        <v>1387</v>
      </c>
      <c r="D1243" t="s">
        <v>18</v>
      </c>
      <c r="E1243" t="s">
        <v>19</v>
      </c>
      <c r="F1243" t="s">
        <v>148</v>
      </c>
      <c r="G1243">
        <v>4</v>
      </c>
      <c r="H1243" s="5">
        <v>3.75</v>
      </c>
      <c r="I1243" t="s">
        <v>32</v>
      </c>
      <c r="J1243" t="s">
        <v>69</v>
      </c>
      <c r="K1243" t="s">
        <v>69</v>
      </c>
      <c r="L1243" t="s">
        <v>2122</v>
      </c>
      <c r="M1243" s="5">
        <f t="shared" si="115"/>
        <v>15</v>
      </c>
      <c r="N1243" t="str">
        <f t="shared" si="116"/>
        <v>April</v>
      </c>
      <c r="O1243" t="str">
        <f t="shared" si="117"/>
        <v>Sunday</v>
      </c>
      <c r="P1243">
        <f t="shared" si="114"/>
        <v>15</v>
      </c>
      <c r="Q1243" s="2">
        <f t="shared" si="118"/>
        <v>7</v>
      </c>
      <c r="R1243" s="2">
        <f t="shared" si="119"/>
        <v>4</v>
      </c>
      <c r="S1243">
        <f>SUMIF(Table1[product_category],"Bakery",Table1[Total_bill])</f>
        <v>2951.25</v>
      </c>
    </row>
    <row r="1244" spans="1:19" x14ac:dyDescent="0.3">
      <c r="A1244" s="2">
        <v>11243</v>
      </c>
      <c r="B1244" s="4">
        <v>46874</v>
      </c>
      <c r="C1244" t="s">
        <v>1388</v>
      </c>
      <c r="D1244" t="s">
        <v>25</v>
      </c>
      <c r="E1244" t="s">
        <v>26</v>
      </c>
      <c r="F1244" t="s">
        <v>150</v>
      </c>
      <c r="G1244">
        <v>1</v>
      </c>
      <c r="H1244" s="5">
        <v>3</v>
      </c>
      <c r="I1244" t="s">
        <v>21</v>
      </c>
      <c r="J1244" t="s">
        <v>181</v>
      </c>
      <c r="K1244" t="s">
        <v>182</v>
      </c>
      <c r="L1244" t="s">
        <v>2125</v>
      </c>
      <c r="M1244" s="5">
        <f t="shared" si="115"/>
        <v>3</v>
      </c>
      <c r="N1244" t="str">
        <f t="shared" si="116"/>
        <v>May</v>
      </c>
      <c r="O1244" t="str">
        <f t="shared" si="117"/>
        <v>Monday</v>
      </c>
      <c r="P1244">
        <f t="shared" si="114"/>
        <v>15</v>
      </c>
      <c r="Q1244" s="2">
        <f t="shared" si="118"/>
        <v>1</v>
      </c>
      <c r="R1244" s="2">
        <f t="shared" si="119"/>
        <v>5</v>
      </c>
      <c r="S1244">
        <f>SUMIF(Table1[product_category],"Bakery",Table1[Total_bill])</f>
        <v>2951.25</v>
      </c>
    </row>
    <row r="1245" spans="1:19" x14ac:dyDescent="0.3">
      <c r="A1245" s="2">
        <v>11244</v>
      </c>
      <c r="B1245" s="4">
        <v>46875</v>
      </c>
      <c r="C1245" t="s">
        <v>1389</v>
      </c>
      <c r="D1245" t="s">
        <v>25</v>
      </c>
      <c r="E1245" t="s">
        <v>26</v>
      </c>
      <c r="F1245" t="s">
        <v>152</v>
      </c>
      <c r="G1245">
        <v>2</v>
      </c>
      <c r="H1245" s="5">
        <v>4.75</v>
      </c>
      <c r="I1245" t="s">
        <v>32</v>
      </c>
      <c r="J1245" t="s">
        <v>202</v>
      </c>
      <c r="K1245" t="s">
        <v>202</v>
      </c>
      <c r="L1245" t="s">
        <v>2123</v>
      </c>
      <c r="M1245" s="5">
        <f t="shared" si="115"/>
        <v>9.5</v>
      </c>
      <c r="N1245" t="str">
        <f t="shared" si="116"/>
        <v>May</v>
      </c>
      <c r="O1245" t="str">
        <f t="shared" si="117"/>
        <v>Tuesday</v>
      </c>
      <c r="P1245">
        <f t="shared" si="114"/>
        <v>17</v>
      </c>
      <c r="Q1245" s="2">
        <f t="shared" si="118"/>
        <v>2</v>
      </c>
      <c r="R1245" s="2">
        <f t="shared" si="119"/>
        <v>5</v>
      </c>
      <c r="S1245">
        <f>SUMIF(Table1[product_category],"Bakery",Table1[Total_bill])</f>
        <v>2951.25</v>
      </c>
    </row>
    <row r="1246" spans="1:19" x14ac:dyDescent="0.3">
      <c r="A1246" s="2">
        <v>11245</v>
      </c>
      <c r="B1246" s="4">
        <v>46876</v>
      </c>
      <c r="C1246" t="s">
        <v>1390</v>
      </c>
      <c r="D1246" t="s">
        <v>25</v>
      </c>
      <c r="E1246" t="s">
        <v>26</v>
      </c>
      <c r="F1246" t="s">
        <v>154</v>
      </c>
      <c r="G1246">
        <v>4</v>
      </c>
      <c r="H1246" s="5">
        <v>3</v>
      </c>
      <c r="I1246" t="s">
        <v>21</v>
      </c>
      <c r="J1246" t="s">
        <v>181</v>
      </c>
      <c r="K1246" t="s">
        <v>182</v>
      </c>
      <c r="L1246" t="s">
        <v>2125</v>
      </c>
      <c r="M1246" s="5">
        <f t="shared" si="115"/>
        <v>12</v>
      </c>
      <c r="N1246" t="str">
        <f t="shared" si="116"/>
        <v>May</v>
      </c>
      <c r="O1246" t="str">
        <f t="shared" si="117"/>
        <v>Wednesday</v>
      </c>
      <c r="P1246">
        <f t="shared" si="114"/>
        <v>15</v>
      </c>
      <c r="Q1246" s="2">
        <f t="shared" si="118"/>
        <v>3</v>
      </c>
      <c r="R1246" s="2">
        <f t="shared" si="119"/>
        <v>5</v>
      </c>
      <c r="S1246">
        <f>SUMIF(Table1[product_category],"Bakery",Table1[Total_bill])</f>
        <v>2951.25</v>
      </c>
    </row>
    <row r="1247" spans="1:19" x14ac:dyDescent="0.3">
      <c r="A1247" s="2">
        <v>11246</v>
      </c>
      <c r="B1247" s="4">
        <v>46877</v>
      </c>
      <c r="C1247" t="s">
        <v>1391</v>
      </c>
      <c r="D1247" t="s">
        <v>25</v>
      </c>
      <c r="E1247" t="s">
        <v>26</v>
      </c>
      <c r="F1247" t="s">
        <v>156</v>
      </c>
      <c r="G1247">
        <v>3</v>
      </c>
      <c r="H1247" s="5">
        <v>5.5</v>
      </c>
      <c r="I1247" t="s">
        <v>72</v>
      </c>
      <c r="J1247" t="s">
        <v>72</v>
      </c>
      <c r="K1247" t="s">
        <v>141</v>
      </c>
      <c r="L1247" t="s">
        <v>2125</v>
      </c>
      <c r="M1247" s="5">
        <f t="shared" si="115"/>
        <v>16.5</v>
      </c>
      <c r="N1247" t="str">
        <f t="shared" si="116"/>
        <v>May</v>
      </c>
      <c r="O1247" t="str">
        <f t="shared" si="117"/>
        <v>Thursday</v>
      </c>
      <c r="P1247">
        <f t="shared" si="114"/>
        <v>13</v>
      </c>
      <c r="Q1247" s="2">
        <f t="shared" si="118"/>
        <v>4</v>
      </c>
      <c r="R1247" s="2">
        <f t="shared" si="119"/>
        <v>5</v>
      </c>
      <c r="S1247">
        <f>SUMIF(Table1[product_category],"Bakery",Table1[Total_bill])</f>
        <v>2951.25</v>
      </c>
    </row>
    <row r="1248" spans="1:19" x14ac:dyDescent="0.3">
      <c r="A1248" s="2">
        <v>11247</v>
      </c>
      <c r="B1248" s="4">
        <v>46878</v>
      </c>
      <c r="C1248" t="s">
        <v>1392</v>
      </c>
      <c r="D1248" t="s">
        <v>18</v>
      </c>
      <c r="E1248" t="s">
        <v>19</v>
      </c>
      <c r="F1248" t="s">
        <v>158</v>
      </c>
      <c r="G1248">
        <v>2</v>
      </c>
      <c r="H1248" s="5">
        <v>3</v>
      </c>
      <c r="I1248" t="s">
        <v>32</v>
      </c>
      <c r="J1248" t="s">
        <v>226</v>
      </c>
      <c r="K1248" t="s">
        <v>227</v>
      </c>
      <c r="L1248" t="s">
        <v>2124</v>
      </c>
      <c r="M1248" s="5">
        <f t="shared" si="115"/>
        <v>6</v>
      </c>
      <c r="N1248" t="str">
        <f t="shared" si="116"/>
        <v>May</v>
      </c>
      <c r="O1248" t="str">
        <f t="shared" si="117"/>
        <v>Friday</v>
      </c>
      <c r="P1248">
        <f t="shared" si="114"/>
        <v>7</v>
      </c>
      <c r="Q1248" s="2">
        <f t="shared" si="118"/>
        <v>5</v>
      </c>
      <c r="R1248" s="2">
        <f t="shared" si="119"/>
        <v>5</v>
      </c>
      <c r="S1248">
        <f>SUMIF(Table1[product_category],"Bakery",Table1[Total_bill])</f>
        <v>2951.25</v>
      </c>
    </row>
    <row r="1249" spans="1:19" x14ac:dyDescent="0.3">
      <c r="A1249" s="2">
        <v>11248</v>
      </c>
      <c r="B1249" s="4">
        <v>46879</v>
      </c>
      <c r="C1249" t="s">
        <v>1393</v>
      </c>
      <c r="D1249" t="s">
        <v>25</v>
      </c>
      <c r="E1249" t="s">
        <v>26</v>
      </c>
      <c r="F1249" t="s">
        <v>160</v>
      </c>
      <c r="G1249">
        <v>3</v>
      </c>
      <c r="H1249" s="5">
        <v>24</v>
      </c>
      <c r="I1249" t="s">
        <v>101</v>
      </c>
      <c r="J1249" t="s">
        <v>102</v>
      </c>
      <c r="K1249" t="s">
        <v>103</v>
      </c>
      <c r="L1249" t="s">
        <v>2125</v>
      </c>
      <c r="M1249" s="5">
        <f t="shared" si="115"/>
        <v>72</v>
      </c>
      <c r="N1249" t="str">
        <f t="shared" si="116"/>
        <v>May</v>
      </c>
      <c r="O1249" t="str">
        <f t="shared" si="117"/>
        <v>Saturday</v>
      </c>
      <c r="P1249">
        <f t="shared" si="114"/>
        <v>6</v>
      </c>
      <c r="Q1249" s="2">
        <f t="shared" si="118"/>
        <v>6</v>
      </c>
      <c r="R1249" s="2">
        <f t="shared" si="119"/>
        <v>5</v>
      </c>
      <c r="S1249">
        <f>SUMIF(Table1[product_category],"Bakery",Table1[Total_bill])</f>
        <v>2951.25</v>
      </c>
    </row>
    <row r="1250" spans="1:19" x14ac:dyDescent="0.3">
      <c r="A1250" s="2">
        <v>11249</v>
      </c>
      <c r="B1250" s="4">
        <v>46880</v>
      </c>
      <c r="C1250" t="s">
        <v>1394</v>
      </c>
      <c r="D1250" t="s">
        <v>18</v>
      </c>
      <c r="E1250" t="s">
        <v>19</v>
      </c>
      <c r="F1250" t="s">
        <v>162</v>
      </c>
      <c r="G1250">
        <v>4</v>
      </c>
      <c r="H1250" s="5">
        <v>3.25</v>
      </c>
      <c r="I1250" t="s">
        <v>21</v>
      </c>
      <c r="J1250" t="s">
        <v>81</v>
      </c>
      <c r="K1250" t="s">
        <v>82</v>
      </c>
      <c r="L1250" t="s">
        <v>2125</v>
      </c>
      <c r="M1250" s="5">
        <f t="shared" si="115"/>
        <v>13</v>
      </c>
      <c r="N1250" t="str">
        <f t="shared" si="116"/>
        <v>May</v>
      </c>
      <c r="O1250" t="str">
        <f t="shared" si="117"/>
        <v>Sunday</v>
      </c>
      <c r="P1250">
        <f t="shared" si="114"/>
        <v>18</v>
      </c>
      <c r="Q1250" s="2">
        <f t="shared" si="118"/>
        <v>7</v>
      </c>
      <c r="R1250" s="2">
        <f t="shared" si="119"/>
        <v>5</v>
      </c>
      <c r="S1250">
        <f>SUMIF(Table1[product_category],"Bakery",Table1[Total_bill])</f>
        <v>2951.25</v>
      </c>
    </row>
    <row r="1251" spans="1:19" x14ac:dyDescent="0.3">
      <c r="A1251" s="2">
        <v>11250</v>
      </c>
      <c r="B1251" s="4">
        <v>46881</v>
      </c>
      <c r="C1251" t="s">
        <v>1395</v>
      </c>
      <c r="D1251" t="s">
        <v>18</v>
      </c>
      <c r="E1251" t="s">
        <v>19</v>
      </c>
      <c r="F1251" t="s">
        <v>164</v>
      </c>
      <c r="G1251">
        <v>4</v>
      </c>
      <c r="H1251" s="5">
        <v>8</v>
      </c>
      <c r="I1251" t="s">
        <v>28</v>
      </c>
      <c r="J1251" t="s">
        <v>28</v>
      </c>
      <c r="K1251" t="s">
        <v>76</v>
      </c>
      <c r="L1251" t="s">
        <v>2125</v>
      </c>
      <c r="M1251" s="5">
        <f t="shared" si="115"/>
        <v>32</v>
      </c>
      <c r="N1251" t="str">
        <f t="shared" si="116"/>
        <v>May</v>
      </c>
      <c r="O1251" t="str">
        <f t="shared" si="117"/>
        <v>Monday</v>
      </c>
      <c r="P1251">
        <f t="shared" si="114"/>
        <v>13</v>
      </c>
      <c r="Q1251" s="2">
        <f t="shared" si="118"/>
        <v>1</v>
      </c>
      <c r="R1251" s="2">
        <f t="shared" si="119"/>
        <v>5</v>
      </c>
      <c r="S1251">
        <f>SUMIF(Table1[product_category],"Bakery",Table1[Total_bill])</f>
        <v>2951.25</v>
      </c>
    </row>
    <row r="1252" spans="1:19" x14ac:dyDescent="0.3">
      <c r="A1252" s="2">
        <v>11251</v>
      </c>
      <c r="B1252" s="4">
        <v>46882</v>
      </c>
      <c r="C1252" t="s">
        <v>1396</v>
      </c>
      <c r="D1252" t="s">
        <v>25</v>
      </c>
      <c r="E1252" t="s">
        <v>26</v>
      </c>
      <c r="F1252" t="s">
        <v>166</v>
      </c>
      <c r="G1252">
        <v>2</v>
      </c>
      <c r="H1252" s="5">
        <v>3.25</v>
      </c>
      <c r="I1252" t="s">
        <v>21</v>
      </c>
      <c r="J1252" t="s">
        <v>81</v>
      </c>
      <c r="K1252" t="s">
        <v>113</v>
      </c>
      <c r="L1252" t="s">
        <v>2125</v>
      </c>
      <c r="M1252" s="5">
        <f t="shared" si="115"/>
        <v>6.5</v>
      </c>
      <c r="N1252" t="str">
        <f t="shared" si="116"/>
        <v>May</v>
      </c>
      <c r="O1252" t="str">
        <f t="shared" si="117"/>
        <v>Tuesday</v>
      </c>
      <c r="P1252">
        <f t="shared" si="114"/>
        <v>16</v>
      </c>
      <c r="Q1252" s="2">
        <f t="shared" si="118"/>
        <v>2</v>
      </c>
      <c r="R1252" s="2">
        <f t="shared" si="119"/>
        <v>5</v>
      </c>
      <c r="S1252">
        <f>SUMIF(Table1[product_category],"Bakery",Table1[Total_bill])</f>
        <v>2951.25</v>
      </c>
    </row>
    <row r="1253" spans="1:19" x14ac:dyDescent="0.3">
      <c r="A1253" s="2">
        <v>11252</v>
      </c>
      <c r="B1253" s="4">
        <v>46883</v>
      </c>
      <c r="C1253" t="s">
        <v>1397</v>
      </c>
      <c r="D1253" t="s">
        <v>40</v>
      </c>
      <c r="E1253" t="s">
        <v>41</v>
      </c>
      <c r="F1253" t="s">
        <v>168</v>
      </c>
      <c r="G1253">
        <v>1</v>
      </c>
      <c r="H1253" s="5">
        <v>3</v>
      </c>
      <c r="I1253" t="s">
        <v>21</v>
      </c>
      <c r="J1253" t="s">
        <v>181</v>
      </c>
      <c r="K1253" t="s">
        <v>182</v>
      </c>
      <c r="L1253" t="s">
        <v>2125</v>
      </c>
      <c r="M1253" s="5">
        <f t="shared" si="115"/>
        <v>3</v>
      </c>
      <c r="N1253" t="str">
        <f t="shared" si="116"/>
        <v>May</v>
      </c>
      <c r="O1253" t="str">
        <f t="shared" si="117"/>
        <v>Wednesday</v>
      </c>
      <c r="P1253">
        <f t="shared" si="114"/>
        <v>11</v>
      </c>
      <c r="Q1253" s="2">
        <f t="shared" si="118"/>
        <v>3</v>
      </c>
      <c r="R1253" s="2">
        <f t="shared" si="119"/>
        <v>5</v>
      </c>
      <c r="S1253">
        <f>SUMIF(Table1[product_category],"Bakery",Table1[Total_bill])</f>
        <v>2951.25</v>
      </c>
    </row>
    <row r="1254" spans="1:19" x14ac:dyDescent="0.3">
      <c r="A1254" s="2">
        <v>11253</v>
      </c>
      <c r="B1254" s="4">
        <v>46884</v>
      </c>
      <c r="C1254" t="s">
        <v>1398</v>
      </c>
      <c r="D1254" t="s">
        <v>40</v>
      </c>
      <c r="E1254" t="s">
        <v>41</v>
      </c>
      <c r="F1254" t="s">
        <v>170</v>
      </c>
      <c r="G1254">
        <v>2</v>
      </c>
      <c r="H1254" s="5">
        <v>4.25</v>
      </c>
      <c r="I1254" t="s">
        <v>36</v>
      </c>
      <c r="J1254" t="s">
        <v>211</v>
      </c>
      <c r="K1254" t="s">
        <v>212</v>
      </c>
      <c r="L1254" t="s">
        <v>2123</v>
      </c>
      <c r="M1254" s="5">
        <f t="shared" si="115"/>
        <v>8.5</v>
      </c>
      <c r="N1254" t="str">
        <f t="shared" si="116"/>
        <v>May</v>
      </c>
      <c r="O1254" t="str">
        <f t="shared" si="117"/>
        <v>Thursday</v>
      </c>
      <c r="P1254">
        <f t="shared" si="114"/>
        <v>7</v>
      </c>
      <c r="Q1254" s="2">
        <f t="shared" si="118"/>
        <v>4</v>
      </c>
      <c r="R1254" s="2">
        <f t="shared" si="119"/>
        <v>5</v>
      </c>
      <c r="S1254">
        <f>SUMIF(Table1[product_category],"Bakery",Table1[Total_bill])</f>
        <v>2951.25</v>
      </c>
    </row>
    <row r="1255" spans="1:19" x14ac:dyDescent="0.3">
      <c r="A1255" s="2">
        <v>11254</v>
      </c>
      <c r="B1255" s="4">
        <v>46885</v>
      </c>
      <c r="C1255" t="s">
        <v>1399</v>
      </c>
      <c r="D1255" t="s">
        <v>25</v>
      </c>
      <c r="E1255" t="s">
        <v>26</v>
      </c>
      <c r="F1255" t="s">
        <v>172</v>
      </c>
      <c r="G1255">
        <v>2</v>
      </c>
      <c r="H1255" s="5">
        <v>4.25</v>
      </c>
      <c r="I1255" t="s">
        <v>32</v>
      </c>
      <c r="J1255" t="s">
        <v>202</v>
      </c>
      <c r="K1255" t="s">
        <v>202</v>
      </c>
      <c r="L1255" t="s">
        <v>2124</v>
      </c>
      <c r="M1255" s="5">
        <f t="shared" si="115"/>
        <v>8.5</v>
      </c>
      <c r="N1255" t="str">
        <f t="shared" si="116"/>
        <v>May</v>
      </c>
      <c r="O1255" t="str">
        <f t="shared" si="117"/>
        <v>Friday</v>
      </c>
      <c r="P1255">
        <f t="shared" si="114"/>
        <v>7</v>
      </c>
      <c r="Q1255" s="2">
        <f t="shared" si="118"/>
        <v>5</v>
      </c>
      <c r="R1255" s="2">
        <f t="shared" si="119"/>
        <v>5</v>
      </c>
      <c r="S1255">
        <f>SUMIF(Table1[product_category],"Bakery",Table1[Total_bill])</f>
        <v>2951.25</v>
      </c>
    </row>
    <row r="1256" spans="1:19" x14ac:dyDescent="0.3">
      <c r="A1256" s="2">
        <v>11255</v>
      </c>
      <c r="B1256" s="4">
        <v>46886</v>
      </c>
      <c r="C1256" t="s">
        <v>336</v>
      </c>
      <c r="D1256" t="s">
        <v>18</v>
      </c>
      <c r="E1256" t="s">
        <v>19</v>
      </c>
      <c r="F1256" t="s">
        <v>174</v>
      </c>
      <c r="G1256">
        <v>3</v>
      </c>
      <c r="H1256" s="5">
        <v>4.75</v>
      </c>
      <c r="I1256" t="s">
        <v>32</v>
      </c>
      <c r="J1256" t="s">
        <v>122</v>
      </c>
      <c r="K1256" t="s">
        <v>122</v>
      </c>
      <c r="L1256" t="s">
        <v>2123</v>
      </c>
      <c r="M1256" s="5">
        <f t="shared" si="115"/>
        <v>14.25</v>
      </c>
      <c r="N1256" t="str">
        <f t="shared" si="116"/>
        <v>May</v>
      </c>
      <c r="O1256" t="str">
        <f t="shared" si="117"/>
        <v>Saturday</v>
      </c>
      <c r="P1256">
        <f t="shared" si="114"/>
        <v>14</v>
      </c>
      <c r="Q1256" s="2">
        <f t="shared" si="118"/>
        <v>6</v>
      </c>
      <c r="R1256" s="2">
        <f t="shared" si="119"/>
        <v>5</v>
      </c>
      <c r="S1256">
        <f>SUMIF(Table1[product_category],"Bakery",Table1[Total_bill])</f>
        <v>2951.25</v>
      </c>
    </row>
    <row r="1257" spans="1:19" x14ac:dyDescent="0.3">
      <c r="A1257" s="2">
        <v>11256</v>
      </c>
      <c r="B1257" s="4">
        <v>46887</v>
      </c>
      <c r="C1257" t="s">
        <v>1400</v>
      </c>
      <c r="D1257" t="s">
        <v>18</v>
      </c>
      <c r="E1257" t="s">
        <v>19</v>
      </c>
      <c r="F1257" t="s">
        <v>176</v>
      </c>
      <c r="G1257">
        <v>3</v>
      </c>
      <c r="H1257" s="5">
        <v>3.75</v>
      </c>
      <c r="I1257" t="s">
        <v>32</v>
      </c>
      <c r="J1257" t="s">
        <v>226</v>
      </c>
      <c r="K1257" t="s">
        <v>273</v>
      </c>
      <c r="L1257" t="s">
        <v>2123</v>
      </c>
      <c r="M1257" s="5">
        <f t="shared" si="115"/>
        <v>11.25</v>
      </c>
      <c r="N1257" t="str">
        <f t="shared" si="116"/>
        <v>May</v>
      </c>
      <c r="O1257" t="str">
        <f t="shared" si="117"/>
        <v>Sunday</v>
      </c>
      <c r="P1257">
        <f t="shared" si="114"/>
        <v>11</v>
      </c>
      <c r="Q1257" s="2">
        <f t="shared" si="118"/>
        <v>7</v>
      </c>
      <c r="R1257" s="2">
        <f t="shared" si="119"/>
        <v>5</v>
      </c>
      <c r="S1257">
        <f>SUMIF(Table1[product_category],"Bakery",Table1[Total_bill])</f>
        <v>2951.25</v>
      </c>
    </row>
    <row r="1258" spans="1:19" x14ac:dyDescent="0.3">
      <c r="A1258" s="2">
        <v>11257</v>
      </c>
      <c r="B1258" s="4">
        <v>46888</v>
      </c>
      <c r="C1258" t="s">
        <v>1401</v>
      </c>
      <c r="D1258" t="s">
        <v>40</v>
      </c>
      <c r="E1258" t="s">
        <v>41</v>
      </c>
      <c r="F1258" t="s">
        <v>178</v>
      </c>
      <c r="G1258">
        <v>2</v>
      </c>
      <c r="H1258" s="5">
        <v>9.5</v>
      </c>
      <c r="I1258" t="s">
        <v>28</v>
      </c>
      <c r="J1258" t="s">
        <v>28</v>
      </c>
      <c r="K1258" t="s">
        <v>29</v>
      </c>
      <c r="L1258" t="s">
        <v>2125</v>
      </c>
      <c r="M1258" s="5">
        <f t="shared" si="115"/>
        <v>19</v>
      </c>
      <c r="N1258" t="str">
        <f t="shared" si="116"/>
        <v>May</v>
      </c>
      <c r="O1258" t="str">
        <f t="shared" si="117"/>
        <v>Monday</v>
      </c>
      <c r="P1258">
        <f t="shared" si="114"/>
        <v>8</v>
      </c>
      <c r="Q1258" s="2">
        <f t="shared" si="118"/>
        <v>1</v>
      </c>
      <c r="R1258" s="2">
        <f t="shared" si="119"/>
        <v>5</v>
      </c>
      <c r="S1258">
        <f>SUMIF(Table1[product_category],"Bakery",Table1[Total_bill])</f>
        <v>2951.25</v>
      </c>
    </row>
    <row r="1259" spans="1:19" x14ac:dyDescent="0.3">
      <c r="A1259" s="2">
        <v>11258</v>
      </c>
      <c r="B1259" s="4">
        <v>46889</v>
      </c>
      <c r="C1259" t="s">
        <v>1402</v>
      </c>
      <c r="D1259" t="s">
        <v>25</v>
      </c>
      <c r="E1259" t="s">
        <v>26</v>
      </c>
      <c r="F1259" t="s">
        <v>180</v>
      </c>
      <c r="G1259">
        <v>2</v>
      </c>
      <c r="H1259" s="5">
        <v>4.5</v>
      </c>
      <c r="I1259" t="s">
        <v>89</v>
      </c>
      <c r="J1259" t="s">
        <v>90</v>
      </c>
      <c r="K1259" t="s">
        <v>91</v>
      </c>
      <c r="L1259" t="s">
        <v>2124</v>
      </c>
      <c r="M1259" s="5">
        <f t="shared" si="115"/>
        <v>9</v>
      </c>
      <c r="N1259" t="str">
        <f t="shared" si="116"/>
        <v>May</v>
      </c>
      <c r="O1259" t="str">
        <f t="shared" si="117"/>
        <v>Tuesday</v>
      </c>
      <c r="P1259">
        <f t="shared" si="114"/>
        <v>11</v>
      </c>
      <c r="Q1259" s="2">
        <f t="shared" si="118"/>
        <v>2</v>
      </c>
      <c r="R1259" s="2">
        <f t="shared" si="119"/>
        <v>5</v>
      </c>
      <c r="S1259">
        <f>SUMIF(Table1[product_category],"Bakery",Table1[Total_bill])</f>
        <v>2951.25</v>
      </c>
    </row>
    <row r="1260" spans="1:19" x14ac:dyDescent="0.3">
      <c r="A1260" s="2">
        <v>11259</v>
      </c>
      <c r="B1260" s="4">
        <v>46890</v>
      </c>
      <c r="C1260" t="s">
        <v>1403</v>
      </c>
      <c r="D1260" t="s">
        <v>25</v>
      </c>
      <c r="E1260" t="s">
        <v>26</v>
      </c>
      <c r="F1260" t="s">
        <v>184</v>
      </c>
      <c r="G1260">
        <v>3</v>
      </c>
      <c r="H1260" s="5">
        <v>2.75</v>
      </c>
      <c r="I1260" t="s">
        <v>32</v>
      </c>
      <c r="J1260" t="s">
        <v>43</v>
      </c>
      <c r="K1260" t="s">
        <v>44</v>
      </c>
      <c r="L1260" t="s">
        <v>2123</v>
      </c>
      <c r="M1260" s="5">
        <f t="shared" si="115"/>
        <v>8.25</v>
      </c>
      <c r="N1260" t="str">
        <f t="shared" si="116"/>
        <v>May</v>
      </c>
      <c r="O1260" t="str">
        <f t="shared" si="117"/>
        <v>Wednesday</v>
      </c>
      <c r="P1260">
        <f t="shared" si="114"/>
        <v>7</v>
      </c>
      <c r="Q1260" s="2">
        <f t="shared" si="118"/>
        <v>3</v>
      </c>
      <c r="R1260" s="2">
        <f t="shared" si="119"/>
        <v>5</v>
      </c>
      <c r="S1260">
        <f>SUMIF(Table1[product_category],"Bakery",Table1[Total_bill])</f>
        <v>2951.25</v>
      </c>
    </row>
    <row r="1261" spans="1:19" x14ac:dyDescent="0.3">
      <c r="A1261" s="2">
        <v>11260</v>
      </c>
      <c r="B1261" s="4">
        <v>46891</v>
      </c>
      <c r="C1261" t="s">
        <v>1404</v>
      </c>
      <c r="D1261" t="s">
        <v>40</v>
      </c>
      <c r="E1261" t="s">
        <v>41</v>
      </c>
      <c r="F1261" t="s">
        <v>186</v>
      </c>
      <c r="G1261">
        <v>2</v>
      </c>
      <c r="H1261" s="5">
        <v>3</v>
      </c>
      <c r="I1261" t="s">
        <v>21</v>
      </c>
      <c r="J1261" t="s">
        <v>181</v>
      </c>
      <c r="K1261" t="s">
        <v>182</v>
      </c>
      <c r="L1261" t="s">
        <v>2125</v>
      </c>
      <c r="M1261" s="5">
        <f t="shared" si="115"/>
        <v>6</v>
      </c>
      <c r="N1261" t="str">
        <f t="shared" si="116"/>
        <v>May</v>
      </c>
      <c r="O1261" t="str">
        <f t="shared" si="117"/>
        <v>Thursday</v>
      </c>
      <c r="P1261">
        <f t="shared" si="114"/>
        <v>13</v>
      </c>
      <c r="Q1261" s="2">
        <f t="shared" si="118"/>
        <v>4</v>
      </c>
      <c r="R1261" s="2">
        <f t="shared" si="119"/>
        <v>5</v>
      </c>
      <c r="S1261">
        <f>SUMIF(Table1[product_category],"Bakery",Table1[Total_bill])</f>
        <v>2951.25</v>
      </c>
    </row>
    <row r="1262" spans="1:19" x14ac:dyDescent="0.3">
      <c r="A1262" s="2">
        <v>11261</v>
      </c>
      <c r="B1262" s="4">
        <v>46892</v>
      </c>
      <c r="C1262" t="s">
        <v>1405</v>
      </c>
      <c r="D1262" t="s">
        <v>40</v>
      </c>
      <c r="E1262" t="s">
        <v>41</v>
      </c>
      <c r="F1262" t="s">
        <v>188</v>
      </c>
      <c r="G1262">
        <v>1</v>
      </c>
      <c r="H1262" s="5">
        <v>2.5</v>
      </c>
      <c r="I1262" t="s">
        <v>21</v>
      </c>
      <c r="J1262" t="s">
        <v>47</v>
      </c>
      <c r="K1262" t="s">
        <v>48</v>
      </c>
      <c r="L1262" t="s">
        <v>2125</v>
      </c>
      <c r="M1262" s="5">
        <f t="shared" si="115"/>
        <v>2.5</v>
      </c>
      <c r="N1262" t="str">
        <f t="shared" si="116"/>
        <v>May</v>
      </c>
      <c r="O1262" t="str">
        <f t="shared" si="117"/>
        <v>Friday</v>
      </c>
      <c r="P1262">
        <f t="shared" si="114"/>
        <v>9</v>
      </c>
      <c r="Q1262" s="2">
        <f t="shared" si="118"/>
        <v>5</v>
      </c>
      <c r="R1262" s="2">
        <f t="shared" si="119"/>
        <v>5</v>
      </c>
      <c r="S1262">
        <f>SUMIF(Table1[product_category],"Bakery",Table1[Total_bill])</f>
        <v>2951.25</v>
      </c>
    </row>
    <row r="1263" spans="1:19" x14ac:dyDescent="0.3">
      <c r="A1263" s="2">
        <v>11262</v>
      </c>
      <c r="B1263" s="4">
        <v>46893</v>
      </c>
      <c r="C1263" t="s">
        <v>1406</v>
      </c>
      <c r="D1263" t="s">
        <v>25</v>
      </c>
      <c r="E1263" t="s">
        <v>26</v>
      </c>
      <c r="F1263" t="s">
        <v>190</v>
      </c>
      <c r="G1263">
        <v>1</v>
      </c>
      <c r="H1263" s="5">
        <v>8</v>
      </c>
      <c r="I1263" t="s">
        <v>28</v>
      </c>
      <c r="J1263" t="s">
        <v>28</v>
      </c>
      <c r="K1263" t="s">
        <v>76</v>
      </c>
      <c r="L1263" t="s">
        <v>2125</v>
      </c>
      <c r="M1263" s="5">
        <f t="shared" si="115"/>
        <v>8</v>
      </c>
      <c r="N1263" t="str">
        <f t="shared" si="116"/>
        <v>May</v>
      </c>
      <c r="O1263" t="str">
        <f t="shared" si="117"/>
        <v>Saturday</v>
      </c>
      <c r="P1263">
        <f t="shared" si="114"/>
        <v>16</v>
      </c>
      <c r="Q1263" s="2">
        <f t="shared" si="118"/>
        <v>6</v>
      </c>
      <c r="R1263" s="2">
        <f t="shared" si="119"/>
        <v>5</v>
      </c>
      <c r="S1263">
        <f>SUMIF(Table1[product_category],"Bakery",Table1[Total_bill])</f>
        <v>2951.25</v>
      </c>
    </row>
    <row r="1264" spans="1:19" x14ac:dyDescent="0.3">
      <c r="A1264" s="2">
        <v>11263</v>
      </c>
      <c r="B1264" s="4">
        <v>46894</v>
      </c>
      <c r="C1264" t="s">
        <v>1407</v>
      </c>
      <c r="D1264" t="s">
        <v>18</v>
      </c>
      <c r="E1264" t="s">
        <v>19</v>
      </c>
      <c r="F1264" t="s">
        <v>192</v>
      </c>
      <c r="G1264">
        <v>3</v>
      </c>
      <c r="H1264" s="5">
        <v>3</v>
      </c>
      <c r="I1264" t="s">
        <v>36</v>
      </c>
      <c r="J1264" t="s">
        <v>37</v>
      </c>
      <c r="K1264" t="s">
        <v>62</v>
      </c>
      <c r="L1264" t="s">
        <v>2124</v>
      </c>
      <c r="M1264" s="5">
        <f t="shared" si="115"/>
        <v>9</v>
      </c>
      <c r="N1264" t="str">
        <f t="shared" si="116"/>
        <v>May</v>
      </c>
      <c r="O1264" t="str">
        <f t="shared" si="117"/>
        <v>Sunday</v>
      </c>
      <c r="P1264">
        <f t="shared" si="114"/>
        <v>9</v>
      </c>
      <c r="Q1264" s="2">
        <f t="shared" si="118"/>
        <v>7</v>
      </c>
      <c r="R1264" s="2">
        <f t="shared" si="119"/>
        <v>5</v>
      </c>
      <c r="S1264">
        <f>SUMIF(Table1[product_category],"Bakery",Table1[Total_bill])</f>
        <v>2951.25</v>
      </c>
    </row>
    <row r="1265" spans="1:19" x14ac:dyDescent="0.3">
      <c r="A1265" s="2">
        <v>11264</v>
      </c>
      <c r="B1265" s="4">
        <v>46895</v>
      </c>
      <c r="C1265" t="s">
        <v>1408</v>
      </c>
      <c r="D1265" t="s">
        <v>18</v>
      </c>
      <c r="E1265" t="s">
        <v>19</v>
      </c>
      <c r="F1265" t="s">
        <v>195</v>
      </c>
      <c r="G1265">
        <v>2</v>
      </c>
      <c r="H1265" s="5">
        <v>3.5</v>
      </c>
      <c r="I1265" t="s">
        <v>36</v>
      </c>
      <c r="J1265" t="s">
        <v>37</v>
      </c>
      <c r="K1265" t="s">
        <v>38</v>
      </c>
      <c r="L1265" t="s">
        <v>2123</v>
      </c>
      <c r="M1265" s="5">
        <f t="shared" si="115"/>
        <v>7</v>
      </c>
      <c r="N1265" t="str">
        <f t="shared" si="116"/>
        <v>May</v>
      </c>
      <c r="O1265" t="str">
        <f t="shared" si="117"/>
        <v>Monday</v>
      </c>
      <c r="P1265">
        <f t="shared" si="114"/>
        <v>11</v>
      </c>
      <c r="Q1265" s="2">
        <f t="shared" si="118"/>
        <v>1</v>
      </c>
      <c r="R1265" s="2">
        <f t="shared" si="119"/>
        <v>5</v>
      </c>
      <c r="S1265">
        <f>SUMIF(Table1[product_category],"Bakery",Table1[Total_bill])</f>
        <v>2951.25</v>
      </c>
    </row>
    <row r="1266" spans="1:19" x14ac:dyDescent="0.3">
      <c r="A1266" s="2">
        <v>11265</v>
      </c>
      <c r="B1266" s="4">
        <v>46896</v>
      </c>
      <c r="C1266" t="s">
        <v>1409</v>
      </c>
      <c r="D1266" t="s">
        <v>25</v>
      </c>
      <c r="E1266" t="s">
        <v>26</v>
      </c>
      <c r="F1266" t="s">
        <v>197</v>
      </c>
      <c r="G1266">
        <v>4</v>
      </c>
      <c r="H1266" s="5">
        <v>9.5</v>
      </c>
      <c r="I1266" t="s">
        <v>28</v>
      </c>
      <c r="J1266" t="s">
        <v>28</v>
      </c>
      <c r="K1266" t="s">
        <v>29</v>
      </c>
      <c r="L1266" t="s">
        <v>2125</v>
      </c>
      <c r="M1266" s="5">
        <f t="shared" si="115"/>
        <v>38</v>
      </c>
      <c r="N1266" t="str">
        <f t="shared" si="116"/>
        <v>May</v>
      </c>
      <c r="O1266" t="str">
        <f t="shared" si="117"/>
        <v>Tuesday</v>
      </c>
      <c r="P1266">
        <f t="shared" si="114"/>
        <v>6</v>
      </c>
      <c r="Q1266" s="2">
        <f t="shared" si="118"/>
        <v>2</v>
      </c>
      <c r="R1266" s="2">
        <f t="shared" si="119"/>
        <v>5</v>
      </c>
      <c r="S1266">
        <f>SUMIF(Table1[product_category],"Bakery",Table1[Total_bill])</f>
        <v>2951.25</v>
      </c>
    </row>
    <row r="1267" spans="1:19" x14ac:dyDescent="0.3">
      <c r="A1267" s="2">
        <v>11266</v>
      </c>
      <c r="B1267" s="4">
        <v>46897</v>
      </c>
      <c r="C1267" t="s">
        <v>1410</v>
      </c>
      <c r="D1267" t="s">
        <v>18</v>
      </c>
      <c r="E1267" t="s">
        <v>19</v>
      </c>
      <c r="F1267" t="s">
        <v>199</v>
      </c>
      <c r="G1267">
        <v>4</v>
      </c>
      <c r="H1267" s="5">
        <v>4</v>
      </c>
      <c r="I1267" t="s">
        <v>89</v>
      </c>
      <c r="J1267" t="s">
        <v>90</v>
      </c>
      <c r="K1267" t="s">
        <v>91</v>
      </c>
      <c r="L1267" t="s">
        <v>2122</v>
      </c>
      <c r="M1267" s="5">
        <f t="shared" si="115"/>
        <v>16</v>
      </c>
      <c r="N1267" t="str">
        <f t="shared" si="116"/>
        <v>May</v>
      </c>
      <c r="O1267" t="str">
        <f t="shared" si="117"/>
        <v>Wednesday</v>
      </c>
      <c r="P1267">
        <f t="shared" si="114"/>
        <v>7</v>
      </c>
      <c r="Q1267" s="2">
        <f t="shared" si="118"/>
        <v>3</v>
      </c>
      <c r="R1267" s="2">
        <f t="shared" si="119"/>
        <v>5</v>
      </c>
      <c r="S1267">
        <f>SUMIF(Table1[product_category],"Bakery",Table1[Total_bill])</f>
        <v>2951.25</v>
      </c>
    </row>
    <row r="1268" spans="1:19" x14ac:dyDescent="0.3">
      <c r="A1268" s="2">
        <v>11267</v>
      </c>
      <c r="B1268" s="4">
        <v>46898</v>
      </c>
      <c r="C1268" t="s">
        <v>1411</v>
      </c>
      <c r="D1268" t="s">
        <v>18</v>
      </c>
      <c r="E1268" t="s">
        <v>19</v>
      </c>
      <c r="F1268" t="s">
        <v>201</v>
      </c>
      <c r="G1268">
        <v>3</v>
      </c>
      <c r="H1268" s="5">
        <v>4.5</v>
      </c>
      <c r="I1268" t="s">
        <v>32</v>
      </c>
      <c r="J1268" t="s">
        <v>94</v>
      </c>
      <c r="K1268" t="s">
        <v>95</v>
      </c>
      <c r="L1268" t="s">
        <v>2123</v>
      </c>
      <c r="M1268" s="5">
        <f t="shared" si="115"/>
        <v>13.5</v>
      </c>
      <c r="N1268" t="str">
        <f t="shared" si="116"/>
        <v>May</v>
      </c>
      <c r="O1268" t="str">
        <f t="shared" si="117"/>
        <v>Thursday</v>
      </c>
      <c r="P1268">
        <f t="shared" si="114"/>
        <v>10</v>
      </c>
      <c r="Q1268" s="2">
        <f t="shared" si="118"/>
        <v>4</v>
      </c>
      <c r="R1268" s="2">
        <f t="shared" si="119"/>
        <v>5</v>
      </c>
      <c r="S1268">
        <f>SUMIF(Table1[product_category],"Bakery",Table1[Total_bill])</f>
        <v>2951.25</v>
      </c>
    </row>
    <row r="1269" spans="1:19" x14ac:dyDescent="0.3">
      <c r="A1269" s="2">
        <v>11268</v>
      </c>
      <c r="B1269" s="4">
        <v>46899</v>
      </c>
      <c r="C1269" t="s">
        <v>1412</v>
      </c>
      <c r="D1269" t="s">
        <v>40</v>
      </c>
      <c r="E1269" t="s">
        <v>41</v>
      </c>
      <c r="F1269" t="s">
        <v>204</v>
      </c>
      <c r="G1269">
        <v>4</v>
      </c>
      <c r="H1269" s="5">
        <v>2.25</v>
      </c>
      <c r="I1269" t="s">
        <v>21</v>
      </c>
      <c r="J1269" t="s">
        <v>58</v>
      </c>
      <c r="K1269" t="s">
        <v>59</v>
      </c>
      <c r="L1269" t="s">
        <v>2125</v>
      </c>
      <c r="M1269" s="5">
        <f t="shared" si="115"/>
        <v>9</v>
      </c>
      <c r="N1269" t="str">
        <f t="shared" si="116"/>
        <v>May</v>
      </c>
      <c r="O1269" t="str">
        <f t="shared" si="117"/>
        <v>Friday</v>
      </c>
      <c r="P1269">
        <f t="shared" si="114"/>
        <v>11</v>
      </c>
      <c r="Q1269" s="2">
        <f t="shared" si="118"/>
        <v>5</v>
      </c>
      <c r="R1269" s="2">
        <f t="shared" si="119"/>
        <v>5</v>
      </c>
      <c r="S1269">
        <f>SUMIF(Table1[product_category],"Bakery",Table1[Total_bill])</f>
        <v>2951.25</v>
      </c>
    </row>
    <row r="1270" spans="1:19" x14ac:dyDescent="0.3">
      <c r="A1270" s="2">
        <v>11269</v>
      </c>
      <c r="B1270" s="4">
        <v>46900</v>
      </c>
      <c r="C1270" t="s">
        <v>1413</v>
      </c>
      <c r="D1270" t="s">
        <v>40</v>
      </c>
      <c r="E1270" t="s">
        <v>41</v>
      </c>
      <c r="F1270" t="s">
        <v>206</v>
      </c>
      <c r="G1270">
        <v>3</v>
      </c>
      <c r="H1270" s="5">
        <v>3.5</v>
      </c>
      <c r="I1270" t="s">
        <v>21</v>
      </c>
      <c r="J1270" t="s">
        <v>51</v>
      </c>
      <c r="K1270" t="s">
        <v>52</v>
      </c>
      <c r="L1270" t="s">
        <v>2125</v>
      </c>
      <c r="M1270" s="5">
        <f t="shared" si="115"/>
        <v>10.5</v>
      </c>
      <c r="N1270" t="str">
        <f t="shared" si="116"/>
        <v>May</v>
      </c>
      <c r="O1270" t="str">
        <f t="shared" si="117"/>
        <v>Saturday</v>
      </c>
      <c r="P1270">
        <f t="shared" si="114"/>
        <v>13</v>
      </c>
      <c r="Q1270" s="2">
        <f t="shared" si="118"/>
        <v>6</v>
      </c>
      <c r="R1270" s="2">
        <f t="shared" si="119"/>
        <v>5</v>
      </c>
      <c r="S1270">
        <f>SUMIF(Table1[product_category],"Bakery",Table1[Total_bill])</f>
        <v>2951.25</v>
      </c>
    </row>
    <row r="1271" spans="1:19" x14ac:dyDescent="0.3">
      <c r="A1271" s="2">
        <v>11270</v>
      </c>
      <c r="B1271" s="4">
        <v>46901</v>
      </c>
      <c r="C1271" t="s">
        <v>1414</v>
      </c>
      <c r="D1271" t="s">
        <v>25</v>
      </c>
      <c r="E1271" t="s">
        <v>26</v>
      </c>
      <c r="F1271" t="s">
        <v>208</v>
      </c>
      <c r="G1271">
        <v>4</v>
      </c>
      <c r="H1271" s="5">
        <v>3.5</v>
      </c>
      <c r="I1271" t="s">
        <v>36</v>
      </c>
      <c r="J1271" t="s">
        <v>37</v>
      </c>
      <c r="K1271" t="s">
        <v>276</v>
      </c>
      <c r="L1271" t="s">
        <v>2123</v>
      </c>
      <c r="M1271" s="5">
        <f t="shared" si="115"/>
        <v>14</v>
      </c>
      <c r="N1271" t="str">
        <f t="shared" si="116"/>
        <v>May</v>
      </c>
      <c r="O1271" t="str">
        <f t="shared" si="117"/>
        <v>Sunday</v>
      </c>
      <c r="P1271">
        <f t="shared" si="114"/>
        <v>9</v>
      </c>
      <c r="Q1271" s="2">
        <f t="shared" si="118"/>
        <v>7</v>
      </c>
      <c r="R1271" s="2">
        <f t="shared" si="119"/>
        <v>5</v>
      </c>
      <c r="S1271">
        <f>SUMIF(Table1[product_category],"Bakery",Table1[Total_bill])</f>
        <v>2951.25</v>
      </c>
    </row>
    <row r="1272" spans="1:19" x14ac:dyDescent="0.3">
      <c r="A1272" s="2">
        <v>11271</v>
      </c>
      <c r="B1272" s="4">
        <v>46902</v>
      </c>
      <c r="C1272" t="s">
        <v>1415</v>
      </c>
      <c r="D1272" t="s">
        <v>40</v>
      </c>
      <c r="E1272" t="s">
        <v>41</v>
      </c>
      <c r="F1272" t="s">
        <v>210</v>
      </c>
      <c r="G1272">
        <v>4</v>
      </c>
      <c r="H1272" s="5">
        <v>4.25</v>
      </c>
      <c r="I1272" t="s">
        <v>36</v>
      </c>
      <c r="J1272" t="s">
        <v>211</v>
      </c>
      <c r="K1272" t="s">
        <v>212</v>
      </c>
      <c r="L1272" t="s">
        <v>2123</v>
      </c>
      <c r="M1272" s="5">
        <f t="shared" si="115"/>
        <v>17</v>
      </c>
      <c r="N1272" t="str">
        <f t="shared" si="116"/>
        <v>May</v>
      </c>
      <c r="O1272" t="str">
        <f t="shared" si="117"/>
        <v>Monday</v>
      </c>
      <c r="P1272">
        <f t="shared" si="114"/>
        <v>14</v>
      </c>
      <c r="Q1272" s="2">
        <f t="shared" si="118"/>
        <v>1</v>
      </c>
      <c r="R1272" s="2">
        <f t="shared" si="119"/>
        <v>5</v>
      </c>
      <c r="S1272">
        <f>SUMIF(Table1[product_category],"Bakery",Table1[Total_bill])</f>
        <v>2951.25</v>
      </c>
    </row>
    <row r="1273" spans="1:19" x14ac:dyDescent="0.3">
      <c r="A1273" s="2">
        <v>11272</v>
      </c>
      <c r="B1273" s="4">
        <v>46903</v>
      </c>
      <c r="C1273" t="s">
        <v>1416</v>
      </c>
      <c r="D1273" t="s">
        <v>18</v>
      </c>
      <c r="E1273" t="s">
        <v>19</v>
      </c>
      <c r="F1273" t="s">
        <v>214</v>
      </c>
      <c r="G1273">
        <v>2</v>
      </c>
      <c r="H1273" s="5">
        <v>3.5</v>
      </c>
      <c r="I1273" t="s">
        <v>32</v>
      </c>
      <c r="J1273" t="s">
        <v>33</v>
      </c>
      <c r="K1273" t="s">
        <v>33</v>
      </c>
      <c r="L1273" t="s">
        <v>2122</v>
      </c>
      <c r="M1273" s="5">
        <f t="shared" si="115"/>
        <v>7</v>
      </c>
      <c r="N1273" t="str">
        <f t="shared" si="116"/>
        <v>May</v>
      </c>
      <c r="O1273" t="str">
        <f t="shared" si="117"/>
        <v>Tuesday</v>
      </c>
      <c r="P1273">
        <f t="shared" si="114"/>
        <v>17</v>
      </c>
      <c r="Q1273" s="2">
        <f t="shared" si="118"/>
        <v>2</v>
      </c>
      <c r="R1273" s="2">
        <f t="shared" si="119"/>
        <v>5</v>
      </c>
      <c r="S1273">
        <f>SUMIF(Table1[product_category],"Bakery",Table1[Total_bill])</f>
        <v>2951.25</v>
      </c>
    </row>
    <row r="1274" spans="1:19" x14ac:dyDescent="0.3">
      <c r="A1274" s="2">
        <v>11273</v>
      </c>
      <c r="B1274" s="4">
        <v>46904</v>
      </c>
      <c r="C1274" t="s">
        <v>1417</v>
      </c>
      <c r="D1274" t="s">
        <v>18</v>
      </c>
      <c r="E1274" t="s">
        <v>19</v>
      </c>
      <c r="F1274" t="s">
        <v>217</v>
      </c>
      <c r="G1274">
        <v>1</v>
      </c>
      <c r="H1274" s="5">
        <v>2.5</v>
      </c>
      <c r="I1274" t="s">
        <v>21</v>
      </c>
      <c r="J1274" t="s">
        <v>47</v>
      </c>
      <c r="K1274" t="s">
        <v>48</v>
      </c>
      <c r="L1274" t="s">
        <v>2125</v>
      </c>
      <c r="M1274" s="5">
        <f t="shared" si="115"/>
        <v>2.5</v>
      </c>
      <c r="N1274" t="str">
        <f t="shared" si="116"/>
        <v>May</v>
      </c>
      <c r="O1274" t="str">
        <f t="shared" si="117"/>
        <v>Wednesday</v>
      </c>
      <c r="P1274">
        <f t="shared" si="114"/>
        <v>15</v>
      </c>
      <c r="Q1274" s="2">
        <f t="shared" si="118"/>
        <v>3</v>
      </c>
      <c r="R1274" s="2">
        <f t="shared" si="119"/>
        <v>5</v>
      </c>
      <c r="S1274">
        <f>SUMIF(Table1[product_category],"Bakery",Table1[Total_bill])</f>
        <v>2951.25</v>
      </c>
    </row>
    <row r="1275" spans="1:19" x14ac:dyDescent="0.3">
      <c r="A1275" s="2">
        <v>11274</v>
      </c>
      <c r="B1275" s="4">
        <v>46905</v>
      </c>
      <c r="C1275" t="s">
        <v>1418</v>
      </c>
      <c r="D1275" t="s">
        <v>25</v>
      </c>
      <c r="E1275" t="s">
        <v>26</v>
      </c>
      <c r="F1275" t="s">
        <v>219</v>
      </c>
      <c r="G1275">
        <v>3</v>
      </c>
      <c r="H1275" s="5">
        <v>2.25</v>
      </c>
      <c r="I1275" t="s">
        <v>32</v>
      </c>
      <c r="J1275" t="s">
        <v>43</v>
      </c>
      <c r="K1275" t="s">
        <v>44</v>
      </c>
      <c r="L1275" t="s">
        <v>2124</v>
      </c>
      <c r="M1275" s="5">
        <f t="shared" si="115"/>
        <v>6.75</v>
      </c>
      <c r="N1275" t="str">
        <f t="shared" si="116"/>
        <v>June</v>
      </c>
      <c r="O1275" t="str">
        <f t="shared" si="117"/>
        <v>Thursday</v>
      </c>
      <c r="P1275">
        <f t="shared" si="114"/>
        <v>6</v>
      </c>
      <c r="Q1275" s="2">
        <f t="shared" si="118"/>
        <v>4</v>
      </c>
      <c r="R1275" s="2">
        <f t="shared" si="119"/>
        <v>6</v>
      </c>
      <c r="S1275">
        <f>SUMIF(Table1[product_category],"Bakery",Table1[Total_bill])</f>
        <v>2951.25</v>
      </c>
    </row>
    <row r="1276" spans="1:19" x14ac:dyDescent="0.3">
      <c r="A1276" s="2">
        <v>11275</v>
      </c>
      <c r="B1276" s="4">
        <v>46906</v>
      </c>
      <c r="C1276" t="s">
        <v>1419</v>
      </c>
      <c r="D1276" t="s">
        <v>40</v>
      </c>
      <c r="E1276" t="s">
        <v>41</v>
      </c>
      <c r="F1276" t="s">
        <v>221</v>
      </c>
      <c r="G1276">
        <v>2</v>
      </c>
      <c r="H1276" s="5">
        <v>4</v>
      </c>
      <c r="I1276" t="s">
        <v>32</v>
      </c>
      <c r="J1276" t="s">
        <v>122</v>
      </c>
      <c r="K1276" t="s">
        <v>122</v>
      </c>
      <c r="L1276" t="s">
        <v>2124</v>
      </c>
      <c r="M1276" s="5">
        <f t="shared" si="115"/>
        <v>8</v>
      </c>
      <c r="N1276" t="str">
        <f t="shared" si="116"/>
        <v>June</v>
      </c>
      <c r="O1276" t="str">
        <f t="shared" si="117"/>
        <v>Friday</v>
      </c>
      <c r="P1276">
        <f t="shared" si="114"/>
        <v>11</v>
      </c>
      <c r="Q1276" s="2">
        <f t="shared" si="118"/>
        <v>5</v>
      </c>
      <c r="R1276" s="2">
        <f t="shared" si="119"/>
        <v>6</v>
      </c>
      <c r="S1276">
        <f>SUMIF(Table1[product_category],"Bakery",Table1[Total_bill])</f>
        <v>2951.25</v>
      </c>
    </row>
    <row r="1277" spans="1:19" x14ac:dyDescent="0.3">
      <c r="A1277" s="2">
        <v>11276</v>
      </c>
      <c r="B1277" s="4">
        <v>46907</v>
      </c>
      <c r="C1277" t="s">
        <v>1420</v>
      </c>
      <c r="D1277" t="s">
        <v>40</v>
      </c>
      <c r="E1277" t="s">
        <v>41</v>
      </c>
      <c r="F1277" t="s">
        <v>223</v>
      </c>
      <c r="G1277">
        <v>3</v>
      </c>
      <c r="H1277" s="5">
        <v>3.25</v>
      </c>
      <c r="I1277" t="s">
        <v>32</v>
      </c>
      <c r="J1277" t="s">
        <v>226</v>
      </c>
      <c r="K1277" t="s">
        <v>273</v>
      </c>
      <c r="L1277" t="s">
        <v>2124</v>
      </c>
      <c r="M1277" s="5">
        <f t="shared" si="115"/>
        <v>9.75</v>
      </c>
      <c r="N1277" t="str">
        <f t="shared" si="116"/>
        <v>June</v>
      </c>
      <c r="O1277" t="str">
        <f t="shared" si="117"/>
        <v>Saturday</v>
      </c>
      <c r="P1277">
        <f t="shared" si="114"/>
        <v>7</v>
      </c>
      <c r="Q1277" s="2">
        <f t="shared" si="118"/>
        <v>6</v>
      </c>
      <c r="R1277" s="2">
        <f t="shared" si="119"/>
        <v>6</v>
      </c>
      <c r="S1277">
        <f>SUMIF(Table1[product_category],"Bakery",Table1[Total_bill])</f>
        <v>2951.25</v>
      </c>
    </row>
    <row r="1278" spans="1:19" x14ac:dyDescent="0.3">
      <c r="A1278" s="2">
        <v>11277</v>
      </c>
      <c r="B1278" s="4">
        <v>46908</v>
      </c>
      <c r="C1278" t="s">
        <v>1124</v>
      </c>
      <c r="D1278" t="s">
        <v>40</v>
      </c>
      <c r="E1278" t="s">
        <v>41</v>
      </c>
      <c r="F1278" t="s">
        <v>225</v>
      </c>
      <c r="G1278">
        <v>1</v>
      </c>
      <c r="H1278" s="5">
        <v>2.5</v>
      </c>
      <c r="I1278" t="s">
        <v>36</v>
      </c>
      <c r="J1278" t="s">
        <v>37</v>
      </c>
      <c r="K1278" t="s">
        <v>62</v>
      </c>
      <c r="L1278" t="s">
        <v>2122</v>
      </c>
      <c r="M1278" s="5">
        <f t="shared" si="115"/>
        <v>2.5</v>
      </c>
      <c r="N1278" t="str">
        <f t="shared" si="116"/>
        <v>June</v>
      </c>
      <c r="O1278" t="str">
        <f t="shared" si="117"/>
        <v>Sunday</v>
      </c>
      <c r="P1278">
        <f t="shared" si="114"/>
        <v>8</v>
      </c>
      <c r="Q1278" s="2">
        <f t="shared" si="118"/>
        <v>7</v>
      </c>
      <c r="R1278" s="2">
        <f t="shared" si="119"/>
        <v>6</v>
      </c>
      <c r="S1278">
        <f>SUMIF(Table1[product_category],"Bakery",Table1[Total_bill])</f>
        <v>2951.25</v>
      </c>
    </row>
    <row r="1279" spans="1:19" x14ac:dyDescent="0.3">
      <c r="A1279" s="2">
        <v>11278</v>
      </c>
      <c r="B1279" s="4">
        <v>46909</v>
      </c>
      <c r="C1279" t="s">
        <v>1421</v>
      </c>
      <c r="D1279" t="s">
        <v>18</v>
      </c>
      <c r="E1279" t="s">
        <v>19</v>
      </c>
      <c r="F1279" t="s">
        <v>229</v>
      </c>
      <c r="G1279">
        <v>1</v>
      </c>
      <c r="H1279" s="5">
        <v>5.5</v>
      </c>
      <c r="I1279" t="s">
        <v>72</v>
      </c>
      <c r="J1279" t="s">
        <v>72</v>
      </c>
      <c r="K1279" t="s">
        <v>141</v>
      </c>
      <c r="L1279" t="s">
        <v>2125</v>
      </c>
      <c r="M1279" s="5">
        <f t="shared" si="115"/>
        <v>5.5</v>
      </c>
      <c r="N1279" t="str">
        <f t="shared" si="116"/>
        <v>June</v>
      </c>
      <c r="O1279" t="str">
        <f t="shared" si="117"/>
        <v>Monday</v>
      </c>
      <c r="P1279">
        <f t="shared" si="114"/>
        <v>20</v>
      </c>
      <c r="Q1279" s="2">
        <f t="shared" si="118"/>
        <v>1</v>
      </c>
      <c r="R1279" s="2">
        <f t="shared" si="119"/>
        <v>6</v>
      </c>
      <c r="S1279">
        <f>SUMIF(Table1[product_category],"Bakery",Table1[Total_bill])</f>
        <v>2951.25</v>
      </c>
    </row>
    <row r="1280" spans="1:19" x14ac:dyDescent="0.3">
      <c r="A1280" s="2">
        <v>11279</v>
      </c>
      <c r="B1280" s="4">
        <v>46910</v>
      </c>
      <c r="C1280" t="s">
        <v>1422</v>
      </c>
      <c r="D1280" t="s">
        <v>40</v>
      </c>
      <c r="E1280" t="s">
        <v>41</v>
      </c>
      <c r="F1280" t="s">
        <v>231</v>
      </c>
      <c r="G1280">
        <v>2</v>
      </c>
      <c r="H1280" s="5">
        <v>11</v>
      </c>
      <c r="I1280" t="s">
        <v>98</v>
      </c>
      <c r="J1280" t="s">
        <v>98</v>
      </c>
      <c r="K1280" t="s">
        <v>215</v>
      </c>
      <c r="L1280" t="s">
        <v>2125</v>
      </c>
      <c r="M1280" s="5">
        <f t="shared" si="115"/>
        <v>22</v>
      </c>
      <c r="N1280" t="str">
        <f t="shared" si="116"/>
        <v>June</v>
      </c>
      <c r="O1280" t="str">
        <f t="shared" si="117"/>
        <v>Tuesday</v>
      </c>
      <c r="P1280">
        <f t="shared" si="114"/>
        <v>7</v>
      </c>
      <c r="Q1280" s="2">
        <f t="shared" si="118"/>
        <v>2</v>
      </c>
      <c r="R1280" s="2">
        <f t="shared" si="119"/>
        <v>6</v>
      </c>
      <c r="S1280">
        <f>SUMIF(Table1[product_category],"Bakery",Table1[Total_bill])</f>
        <v>2951.25</v>
      </c>
    </row>
    <row r="1281" spans="1:19" x14ac:dyDescent="0.3">
      <c r="A1281" s="2">
        <v>11280</v>
      </c>
      <c r="B1281" s="4">
        <v>46911</v>
      </c>
      <c r="C1281" t="s">
        <v>1423</v>
      </c>
      <c r="D1281" t="s">
        <v>18</v>
      </c>
      <c r="E1281" t="s">
        <v>19</v>
      </c>
      <c r="F1281" t="s">
        <v>233</v>
      </c>
      <c r="G1281">
        <v>1</v>
      </c>
      <c r="H1281" s="5">
        <v>3</v>
      </c>
      <c r="I1281" t="s">
        <v>36</v>
      </c>
      <c r="J1281" t="s">
        <v>246</v>
      </c>
      <c r="K1281" t="s">
        <v>247</v>
      </c>
      <c r="L1281" t="s">
        <v>2124</v>
      </c>
      <c r="M1281" s="5">
        <f t="shared" si="115"/>
        <v>3</v>
      </c>
      <c r="N1281" t="str">
        <f t="shared" si="116"/>
        <v>June</v>
      </c>
      <c r="O1281" t="str">
        <f t="shared" si="117"/>
        <v>Wednesday</v>
      </c>
      <c r="P1281">
        <f t="shared" si="114"/>
        <v>11</v>
      </c>
      <c r="Q1281" s="2">
        <f t="shared" si="118"/>
        <v>3</v>
      </c>
      <c r="R1281" s="2">
        <f t="shared" si="119"/>
        <v>6</v>
      </c>
      <c r="S1281">
        <f>SUMIF(Table1[product_category],"Bakery",Table1[Total_bill])</f>
        <v>2951.25</v>
      </c>
    </row>
    <row r="1282" spans="1:19" x14ac:dyDescent="0.3">
      <c r="A1282" s="2">
        <v>11281</v>
      </c>
      <c r="B1282" s="4">
        <v>46912</v>
      </c>
      <c r="C1282" t="s">
        <v>1424</v>
      </c>
      <c r="D1282" t="s">
        <v>18</v>
      </c>
      <c r="E1282" t="s">
        <v>19</v>
      </c>
      <c r="F1282" t="s">
        <v>20</v>
      </c>
      <c r="G1282">
        <v>4</v>
      </c>
      <c r="H1282" s="5">
        <v>2.25</v>
      </c>
      <c r="I1282" t="s">
        <v>21</v>
      </c>
      <c r="J1282" t="s">
        <v>58</v>
      </c>
      <c r="K1282" t="s">
        <v>59</v>
      </c>
      <c r="L1282" t="s">
        <v>2125</v>
      </c>
      <c r="M1282" s="5">
        <f t="shared" si="115"/>
        <v>9</v>
      </c>
      <c r="N1282" t="str">
        <f t="shared" si="116"/>
        <v>June</v>
      </c>
      <c r="O1282" t="str">
        <f t="shared" si="117"/>
        <v>Thursday</v>
      </c>
      <c r="P1282">
        <f t="shared" ref="P1282:P1345" si="120">HOUR(TIMEVALUE(C1282))</f>
        <v>13</v>
      </c>
      <c r="Q1282" s="2">
        <f t="shared" si="118"/>
        <v>4</v>
      </c>
      <c r="R1282" s="2">
        <f t="shared" si="119"/>
        <v>6</v>
      </c>
      <c r="S1282">
        <f>SUMIF(Table1[product_category],"Bakery",Table1[Total_bill])</f>
        <v>2951.25</v>
      </c>
    </row>
    <row r="1283" spans="1:19" x14ac:dyDescent="0.3">
      <c r="A1283" s="2">
        <v>11282</v>
      </c>
      <c r="B1283" s="4">
        <v>46913</v>
      </c>
      <c r="C1283" t="s">
        <v>1425</v>
      </c>
      <c r="D1283" t="s">
        <v>40</v>
      </c>
      <c r="E1283" t="s">
        <v>41</v>
      </c>
      <c r="F1283" t="s">
        <v>27</v>
      </c>
      <c r="G1283">
        <v>1</v>
      </c>
      <c r="H1283" s="5">
        <v>5.5</v>
      </c>
      <c r="I1283" t="s">
        <v>72</v>
      </c>
      <c r="J1283" t="s">
        <v>72</v>
      </c>
      <c r="K1283" t="s">
        <v>141</v>
      </c>
      <c r="L1283" t="s">
        <v>2125</v>
      </c>
      <c r="M1283" s="5">
        <f t="shared" ref="M1283:M1346" si="121">G1283*H1283</f>
        <v>5.5</v>
      </c>
      <c r="N1283" t="str">
        <f t="shared" ref="N1283:N1346" si="122">TEXT(B1283,"mmmm")</f>
        <v>June</v>
      </c>
      <c r="O1283" t="str">
        <f t="shared" ref="O1283:O1346" si="123">TEXT(B1283,"dddd")</f>
        <v>Friday</v>
      </c>
      <c r="P1283">
        <f t="shared" si="120"/>
        <v>14</v>
      </c>
      <c r="Q1283" s="2">
        <f t="shared" ref="Q1283:Q1346" si="124">WEEKDAY(B1283,2)</f>
        <v>5</v>
      </c>
      <c r="R1283" s="2">
        <f t="shared" ref="R1283:R1346" si="125">MONTH(B1283)</f>
        <v>6</v>
      </c>
      <c r="S1283">
        <f>SUMIF(Table1[product_category],"Bakery",Table1[Total_bill])</f>
        <v>2951.25</v>
      </c>
    </row>
    <row r="1284" spans="1:19" x14ac:dyDescent="0.3">
      <c r="A1284" s="2">
        <v>11283</v>
      </c>
      <c r="B1284" s="4">
        <v>46914</v>
      </c>
      <c r="C1284" t="s">
        <v>1426</v>
      </c>
      <c r="D1284" t="s">
        <v>18</v>
      </c>
      <c r="E1284" t="s">
        <v>19</v>
      </c>
      <c r="F1284" t="s">
        <v>31</v>
      </c>
      <c r="G1284">
        <v>2</v>
      </c>
      <c r="H1284" s="5">
        <v>3</v>
      </c>
      <c r="I1284" t="s">
        <v>32</v>
      </c>
      <c r="J1284" t="s">
        <v>226</v>
      </c>
      <c r="K1284" t="s">
        <v>227</v>
      </c>
      <c r="L1284" t="s">
        <v>2124</v>
      </c>
      <c r="M1284" s="5">
        <f t="shared" si="121"/>
        <v>6</v>
      </c>
      <c r="N1284" t="str">
        <f t="shared" si="122"/>
        <v>June</v>
      </c>
      <c r="O1284" t="str">
        <f t="shared" si="123"/>
        <v>Saturday</v>
      </c>
      <c r="P1284">
        <f t="shared" si="120"/>
        <v>12</v>
      </c>
      <c r="Q1284" s="2">
        <f t="shared" si="124"/>
        <v>6</v>
      </c>
      <c r="R1284" s="2">
        <f t="shared" si="125"/>
        <v>6</v>
      </c>
      <c r="S1284">
        <f>SUMIF(Table1[product_category],"Bakery",Table1[Total_bill])</f>
        <v>2951.25</v>
      </c>
    </row>
    <row r="1285" spans="1:19" x14ac:dyDescent="0.3">
      <c r="A1285" s="2">
        <v>11284</v>
      </c>
      <c r="B1285" s="4">
        <v>46915</v>
      </c>
      <c r="C1285" t="s">
        <v>1427</v>
      </c>
      <c r="D1285" t="s">
        <v>40</v>
      </c>
      <c r="E1285" t="s">
        <v>41</v>
      </c>
      <c r="F1285" t="s">
        <v>35</v>
      </c>
      <c r="G1285">
        <v>2</v>
      </c>
      <c r="H1285" s="5">
        <v>5.5</v>
      </c>
      <c r="I1285" t="s">
        <v>72</v>
      </c>
      <c r="J1285" t="s">
        <v>72</v>
      </c>
      <c r="K1285" t="s">
        <v>73</v>
      </c>
      <c r="L1285" t="s">
        <v>2125</v>
      </c>
      <c r="M1285" s="5">
        <f t="shared" si="121"/>
        <v>11</v>
      </c>
      <c r="N1285" t="str">
        <f t="shared" si="122"/>
        <v>June</v>
      </c>
      <c r="O1285" t="str">
        <f t="shared" si="123"/>
        <v>Sunday</v>
      </c>
      <c r="P1285">
        <f t="shared" si="120"/>
        <v>6</v>
      </c>
      <c r="Q1285" s="2">
        <f t="shared" si="124"/>
        <v>7</v>
      </c>
      <c r="R1285" s="2">
        <f t="shared" si="125"/>
        <v>6</v>
      </c>
      <c r="S1285">
        <f>SUMIF(Table1[product_category],"Bakery",Table1[Total_bill])</f>
        <v>2951.25</v>
      </c>
    </row>
    <row r="1286" spans="1:19" x14ac:dyDescent="0.3">
      <c r="A1286" s="2">
        <v>11285</v>
      </c>
      <c r="B1286" s="4">
        <v>46916</v>
      </c>
      <c r="C1286" t="s">
        <v>1059</v>
      </c>
      <c r="D1286" t="s">
        <v>40</v>
      </c>
      <c r="E1286" t="s">
        <v>41</v>
      </c>
      <c r="F1286" t="s">
        <v>42</v>
      </c>
      <c r="G1286">
        <v>4</v>
      </c>
      <c r="H1286" s="5">
        <v>2.25</v>
      </c>
      <c r="I1286" t="s">
        <v>21</v>
      </c>
      <c r="J1286" t="s">
        <v>58</v>
      </c>
      <c r="K1286" t="s">
        <v>59</v>
      </c>
      <c r="L1286" t="s">
        <v>2125</v>
      </c>
      <c r="M1286" s="5">
        <f t="shared" si="121"/>
        <v>9</v>
      </c>
      <c r="N1286" t="str">
        <f t="shared" si="122"/>
        <v>June</v>
      </c>
      <c r="O1286" t="str">
        <f t="shared" si="123"/>
        <v>Monday</v>
      </c>
      <c r="P1286">
        <f t="shared" si="120"/>
        <v>9</v>
      </c>
      <c r="Q1286" s="2">
        <f t="shared" si="124"/>
        <v>1</v>
      </c>
      <c r="R1286" s="2">
        <f t="shared" si="125"/>
        <v>6</v>
      </c>
      <c r="S1286">
        <f>SUMIF(Table1[product_category],"Bakery",Table1[Total_bill])</f>
        <v>2951.25</v>
      </c>
    </row>
    <row r="1287" spans="1:19" x14ac:dyDescent="0.3">
      <c r="A1287" s="2">
        <v>11286</v>
      </c>
      <c r="B1287" s="4">
        <v>46917</v>
      </c>
      <c r="C1287" t="s">
        <v>1428</v>
      </c>
      <c r="D1287" t="s">
        <v>25</v>
      </c>
      <c r="E1287" t="s">
        <v>26</v>
      </c>
      <c r="F1287" t="s">
        <v>46</v>
      </c>
      <c r="G1287">
        <v>3</v>
      </c>
      <c r="H1287" s="5">
        <v>3</v>
      </c>
      <c r="I1287" t="s">
        <v>21</v>
      </c>
      <c r="J1287" t="s">
        <v>181</v>
      </c>
      <c r="K1287" t="s">
        <v>182</v>
      </c>
      <c r="L1287" t="s">
        <v>2125</v>
      </c>
      <c r="M1287" s="5">
        <f t="shared" si="121"/>
        <v>9</v>
      </c>
      <c r="N1287" t="str">
        <f t="shared" si="122"/>
        <v>June</v>
      </c>
      <c r="O1287" t="str">
        <f t="shared" si="123"/>
        <v>Tuesday</v>
      </c>
      <c r="P1287">
        <f t="shared" si="120"/>
        <v>12</v>
      </c>
      <c r="Q1287" s="2">
        <f t="shared" si="124"/>
        <v>2</v>
      </c>
      <c r="R1287" s="2">
        <f t="shared" si="125"/>
        <v>6</v>
      </c>
      <c r="S1287">
        <f>SUMIF(Table1[product_category],"Bakery",Table1[Total_bill])</f>
        <v>2951.25</v>
      </c>
    </row>
    <row r="1288" spans="1:19" x14ac:dyDescent="0.3">
      <c r="A1288" s="2">
        <v>11287</v>
      </c>
      <c r="B1288" s="4">
        <v>46918</v>
      </c>
      <c r="C1288" t="s">
        <v>1429</v>
      </c>
      <c r="D1288" t="s">
        <v>25</v>
      </c>
      <c r="E1288" t="s">
        <v>26</v>
      </c>
      <c r="F1288" t="s">
        <v>50</v>
      </c>
      <c r="G1288">
        <v>2</v>
      </c>
      <c r="H1288" s="5">
        <v>14</v>
      </c>
      <c r="I1288" t="s">
        <v>101</v>
      </c>
      <c r="J1288" t="s">
        <v>102</v>
      </c>
      <c r="K1288" t="s">
        <v>193</v>
      </c>
      <c r="L1288" t="s">
        <v>2125</v>
      </c>
      <c r="M1288" s="5">
        <f t="shared" si="121"/>
        <v>28</v>
      </c>
      <c r="N1288" t="str">
        <f t="shared" si="122"/>
        <v>June</v>
      </c>
      <c r="O1288" t="str">
        <f t="shared" si="123"/>
        <v>Wednesday</v>
      </c>
      <c r="P1288">
        <f t="shared" si="120"/>
        <v>7</v>
      </c>
      <c r="Q1288" s="2">
        <f t="shared" si="124"/>
        <v>3</v>
      </c>
      <c r="R1288" s="2">
        <f t="shared" si="125"/>
        <v>6</v>
      </c>
      <c r="S1288">
        <f>SUMIF(Table1[product_category],"Bakery",Table1[Total_bill])</f>
        <v>2951.25</v>
      </c>
    </row>
    <row r="1289" spans="1:19" x14ac:dyDescent="0.3">
      <c r="A1289" s="2">
        <v>11288</v>
      </c>
      <c r="B1289" s="4">
        <v>46919</v>
      </c>
      <c r="C1289" t="s">
        <v>1045</v>
      </c>
      <c r="D1289" t="s">
        <v>25</v>
      </c>
      <c r="E1289" t="s">
        <v>26</v>
      </c>
      <c r="F1289" t="s">
        <v>54</v>
      </c>
      <c r="G1289">
        <v>3</v>
      </c>
      <c r="H1289" s="5">
        <v>4.25</v>
      </c>
      <c r="I1289" t="s">
        <v>36</v>
      </c>
      <c r="J1289" t="s">
        <v>211</v>
      </c>
      <c r="K1289" t="s">
        <v>212</v>
      </c>
      <c r="L1289" t="s">
        <v>2123</v>
      </c>
      <c r="M1289" s="5">
        <f t="shared" si="121"/>
        <v>12.75</v>
      </c>
      <c r="N1289" t="str">
        <f t="shared" si="122"/>
        <v>June</v>
      </c>
      <c r="O1289" t="str">
        <f t="shared" si="123"/>
        <v>Thursday</v>
      </c>
      <c r="P1289">
        <f t="shared" si="120"/>
        <v>10</v>
      </c>
      <c r="Q1289" s="2">
        <f t="shared" si="124"/>
        <v>4</v>
      </c>
      <c r="R1289" s="2">
        <f t="shared" si="125"/>
        <v>6</v>
      </c>
      <c r="S1289">
        <f>SUMIF(Table1[product_category],"Bakery",Table1[Total_bill])</f>
        <v>2951.25</v>
      </c>
    </row>
    <row r="1290" spans="1:19" x14ac:dyDescent="0.3">
      <c r="A1290" s="2">
        <v>11289</v>
      </c>
      <c r="B1290" s="4">
        <v>46920</v>
      </c>
      <c r="C1290" t="s">
        <v>1430</v>
      </c>
      <c r="D1290" t="s">
        <v>18</v>
      </c>
      <c r="E1290" t="s">
        <v>19</v>
      </c>
      <c r="F1290" t="s">
        <v>57</v>
      </c>
      <c r="G1290">
        <v>3</v>
      </c>
      <c r="H1290" s="5">
        <v>3.25</v>
      </c>
      <c r="I1290" t="s">
        <v>21</v>
      </c>
      <c r="J1290" t="s">
        <v>81</v>
      </c>
      <c r="K1290" t="s">
        <v>113</v>
      </c>
      <c r="L1290" t="s">
        <v>2125</v>
      </c>
      <c r="M1290" s="5">
        <f t="shared" si="121"/>
        <v>9.75</v>
      </c>
      <c r="N1290" t="str">
        <f t="shared" si="122"/>
        <v>June</v>
      </c>
      <c r="O1290" t="str">
        <f t="shared" si="123"/>
        <v>Friday</v>
      </c>
      <c r="P1290">
        <f t="shared" si="120"/>
        <v>6</v>
      </c>
      <c r="Q1290" s="2">
        <f t="shared" si="124"/>
        <v>5</v>
      </c>
      <c r="R1290" s="2">
        <f t="shared" si="125"/>
        <v>6</v>
      </c>
      <c r="S1290">
        <f>SUMIF(Table1[product_category],"Bakery",Table1[Total_bill])</f>
        <v>2951.25</v>
      </c>
    </row>
    <row r="1291" spans="1:19" x14ac:dyDescent="0.3">
      <c r="A1291" s="2">
        <v>11290</v>
      </c>
      <c r="B1291" s="4">
        <v>46921</v>
      </c>
      <c r="C1291" t="s">
        <v>1431</v>
      </c>
      <c r="D1291" t="s">
        <v>40</v>
      </c>
      <c r="E1291" t="s">
        <v>41</v>
      </c>
      <c r="F1291" t="s">
        <v>61</v>
      </c>
      <c r="G1291">
        <v>3</v>
      </c>
      <c r="H1291" s="5">
        <v>3.75</v>
      </c>
      <c r="I1291" t="s">
        <v>32</v>
      </c>
      <c r="J1291" t="s">
        <v>144</v>
      </c>
      <c r="K1291" t="s">
        <v>144</v>
      </c>
      <c r="L1291" t="s">
        <v>2123</v>
      </c>
      <c r="M1291" s="5">
        <f t="shared" si="121"/>
        <v>11.25</v>
      </c>
      <c r="N1291" t="str">
        <f t="shared" si="122"/>
        <v>June</v>
      </c>
      <c r="O1291" t="str">
        <f t="shared" si="123"/>
        <v>Saturday</v>
      </c>
      <c r="P1291">
        <f t="shared" si="120"/>
        <v>7</v>
      </c>
      <c r="Q1291" s="2">
        <f t="shared" si="124"/>
        <v>6</v>
      </c>
      <c r="R1291" s="2">
        <f t="shared" si="125"/>
        <v>6</v>
      </c>
      <c r="S1291">
        <f>SUMIF(Table1[product_category],"Bakery",Table1[Total_bill])</f>
        <v>2951.25</v>
      </c>
    </row>
    <row r="1292" spans="1:19" x14ac:dyDescent="0.3">
      <c r="A1292" s="2">
        <v>11291</v>
      </c>
      <c r="B1292" s="4">
        <v>46922</v>
      </c>
      <c r="C1292" t="s">
        <v>1432</v>
      </c>
      <c r="D1292" t="s">
        <v>18</v>
      </c>
      <c r="E1292" t="s">
        <v>19</v>
      </c>
      <c r="F1292" t="s">
        <v>64</v>
      </c>
      <c r="G1292">
        <v>3</v>
      </c>
      <c r="H1292" s="5">
        <v>3</v>
      </c>
      <c r="I1292" t="s">
        <v>21</v>
      </c>
      <c r="J1292" t="s">
        <v>181</v>
      </c>
      <c r="K1292" t="s">
        <v>182</v>
      </c>
      <c r="L1292" t="s">
        <v>2125</v>
      </c>
      <c r="M1292" s="5">
        <f t="shared" si="121"/>
        <v>9</v>
      </c>
      <c r="N1292" t="str">
        <f t="shared" si="122"/>
        <v>June</v>
      </c>
      <c r="O1292" t="str">
        <f t="shared" si="123"/>
        <v>Sunday</v>
      </c>
      <c r="P1292">
        <f t="shared" si="120"/>
        <v>10</v>
      </c>
      <c r="Q1292" s="2">
        <f t="shared" si="124"/>
        <v>7</v>
      </c>
      <c r="R1292" s="2">
        <f t="shared" si="125"/>
        <v>6</v>
      </c>
      <c r="S1292">
        <f>SUMIF(Table1[product_category],"Bakery",Table1[Total_bill])</f>
        <v>2951.25</v>
      </c>
    </row>
    <row r="1293" spans="1:19" x14ac:dyDescent="0.3">
      <c r="A1293" s="2">
        <v>11292</v>
      </c>
      <c r="B1293" s="4">
        <v>46923</v>
      </c>
      <c r="C1293" t="s">
        <v>1433</v>
      </c>
      <c r="D1293" t="s">
        <v>25</v>
      </c>
      <c r="E1293" t="s">
        <v>26</v>
      </c>
      <c r="F1293" t="s">
        <v>66</v>
      </c>
      <c r="G1293">
        <v>2</v>
      </c>
      <c r="H1293" s="5">
        <v>2.75</v>
      </c>
      <c r="I1293" t="s">
        <v>32</v>
      </c>
      <c r="J1293" t="s">
        <v>144</v>
      </c>
      <c r="K1293" t="s">
        <v>144</v>
      </c>
      <c r="L1293" t="s">
        <v>2122</v>
      </c>
      <c r="M1293" s="5">
        <f t="shared" si="121"/>
        <v>5.5</v>
      </c>
      <c r="N1293" t="str">
        <f t="shared" si="122"/>
        <v>June</v>
      </c>
      <c r="O1293" t="str">
        <f t="shared" si="123"/>
        <v>Monday</v>
      </c>
      <c r="P1293">
        <f t="shared" si="120"/>
        <v>7</v>
      </c>
      <c r="Q1293" s="2">
        <f t="shared" si="124"/>
        <v>1</v>
      </c>
      <c r="R1293" s="2">
        <f t="shared" si="125"/>
        <v>6</v>
      </c>
      <c r="S1293">
        <f>SUMIF(Table1[product_category],"Bakery",Table1[Total_bill])</f>
        <v>2951.25</v>
      </c>
    </row>
    <row r="1294" spans="1:19" x14ac:dyDescent="0.3">
      <c r="A1294" s="2">
        <v>11293</v>
      </c>
      <c r="B1294" s="4">
        <v>46924</v>
      </c>
      <c r="C1294" t="s">
        <v>1434</v>
      </c>
      <c r="D1294" t="s">
        <v>25</v>
      </c>
      <c r="E1294" t="s">
        <v>26</v>
      </c>
      <c r="F1294" t="s">
        <v>68</v>
      </c>
      <c r="G1294">
        <v>1</v>
      </c>
      <c r="H1294" s="5">
        <v>8</v>
      </c>
      <c r="I1294" t="s">
        <v>28</v>
      </c>
      <c r="J1294" t="s">
        <v>28</v>
      </c>
      <c r="K1294" t="s">
        <v>76</v>
      </c>
      <c r="L1294" t="s">
        <v>2125</v>
      </c>
      <c r="M1294" s="5">
        <f t="shared" si="121"/>
        <v>8</v>
      </c>
      <c r="N1294" t="str">
        <f t="shared" si="122"/>
        <v>June</v>
      </c>
      <c r="O1294" t="str">
        <f t="shared" si="123"/>
        <v>Tuesday</v>
      </c>
      <c r="P1294">
        <f t="shared" si="120"/>
        <v>12</v>
      </c>
      <c r="Q1294" s="2">
        <f t="shared" si="124"/>
        <v>2</v>
      </c>
      <c r="R1294" s="2">
        <f t="shared" si="125"/>
        <v>6</v>
      </c>
      <c r="S1294">
        <f>SUMIF(Table1[product_category],"Bakery",Table1[Total_bill])</f>
        <v>2951.25</v>
      </c>
    </row>
    <row r="1295" spans="1:19" x14ac:dyDescent="0.3">
      <c r="A1295" s="2">
        <v>11294</v>
      </c>
      <c r="B1295" s="4">
        <v>46925</v>
      </c>
      <c r="C1295" t="s">
        <v>1435</v>
      </c>
      <c r="D1295" t="s">
        <v>25</v>
      </c>
      <c r="E1295" t="s">
        <v>26</v>
      </c>
      <c r="F1295" t="s">
        <v>71</v>
      </c>
      <c r="G1295">
        <v>1</v>
      </c>
      <c r="H1295" s="5">
        <v>3</v>
      </c>
      <c r="I1295" t="s">
        <v>32</v>
      </c>
      <c r="J1295" t="s">
        <v>55</v>
      </c>
      <c r="K1295" t="s">
        <v>55</v>
      </c>
      <c r="L1295" t="s">
        <v>2122</v>
      </c>
      <c r="M1295" s="5">
        <f t="shared" si="121"/>
        <v>3</v>
      </c>
      <c r="N1295" t="str">
        <f t="shared" si="122"/>
        <v>June</v>
      </c>
      <c r="O1295" t="str">
        <f t="shared" si="123"/>
        <v>Wednesday</v>
      </c>
      <c r="P1295">
        <f t="shared" si="120"/>
        <v>14</v>
      </c>
      <c r="Q1295" s="2">
        <f t="shared" si="124"/>
        <v>3</v>
      </c>
      <c r="R1295" s="2">
        <f t="shared" si="125"/>
        <v>6</v>
      </c>
      <c r="S1295">
        <f>SUMIF(Table1[product_category],"Bakery",Table1[Total_bill])</f>
        <v>2951.25</v>
      </c>
    </row>
    <row r="1296" spans="1:19" x14ac:dyDescent="0.3">
      <c r="A1296" s="2">
        <v>11295</v>
      </c>
      <c r="B1296" s="4">
        <v>46926</v>
      </c>
      <c r="C1296" t="s">
        <v>1436</v>
      </c>
      <c r="D1296" t="s">
        <v>18</v>
      </c>
      <c r="E1296" t="s">
        <v>19</v>
      </c>
      <c r="F1296" t="s">
        <v>75</v>
      </c>
      <c r="G1296">
        <v>2</v>
      </c>
      <c r="H1296" s="5">
        <v>2.25</v>
      </c>
      <c r="I1296" t="s">
        <v>21</v>
      </c>
      <c r="J1296" t="s">
        <v>58</v>
      </c>
      <c r="K1296" t="s">
        <v>59</v>
      </c>
      <c r="L1296" t="s">
        <v>2125</v>
      </c>
      <c r="M1296" s="5">
        <f t="shared" si="121"/>
        <v>4.5</v>
      </c>
      <c r="N1296" t="str">
        <f t="shared" si="122"/>
        <v>June</v>
      </c>
      <c r="O1296" t="str">
        <f t="shared" si="123"/>
        <v>Thursday</v>
      </c>
      <c r="P1296">
        <f t="shared" si="120"/>
        <v>16</v>
      </c>
      <c r="Q1296" s="2">
        <f t="shared" si="124"/>
        <v>4</v>
      </c>
      <c r="R1296" s="2">
        <f t="shared" si="125"/>
        <v>6</v>
      </c>
      <c r="S1296">
        <f>SUMIF(Table1[product_category],"Bakery",Table1[Total_bill])</f>
        <v>2951.25</v>
      </c>
    </row>
    <row r="1297" spans="1:19" x14ac:dyDescent="0.3">
      <c r="A1297" s="2">
        <v>11296</v>
      </c>
      <c r="B1297" s="4">
        <v>46927</v>
      </c>
      <c r="C1297" t="s">
        <v>1437</v>
      </c>
      <c r="D1297" t="s">
        <v>18</v>
      </c>
      <c r="E1297" t="s">
        <v>19</v>
      </c>
      <c r="F1297" t="s">
        <v>78</v>
      </c>
      <c r="G1297">
        <v>2</v>
      </c>
      <c r="H1297" s="5">
        <v>2.5</v>
      </c>
      <c r="I1297" t="s">
        <v>21</v>
      </c>
      <c r="J1297" t="s">
        <v>47</v>
      </c>
      <c r="K1297" t="s">
        <v>48</v>
      </c>
      <c r="L1297" t="s">
        <v>2125</v>
      </c>
      <c r="M1297" s="5">
        <f t="shared" si="121"/>
        <v>5</v>
      </c>
      <c r="N1297" t="str">
        <f t="shared" si="122"/>
        <v>June</v>
      </c>
      <c r="O1297" t="str">
        <f t="shared" si="123"/>
        <v>Friday</v>
      </c>
      <c r="P1297">
        <f t="shared" si="120"/>
        <v>8</v>
      </c>
      <c r="Q1297" s="2">
        <f t="shared" si="124"/>
        <v>5</v>
      </c>
      <c r="R1297" s="2">
        <f t="shared" si="125"/>
        <v>6</v>
      </c>
      <c r="S1297">
        <f>SUMIF(Table1[product_category],"Bakery",Table1[Total_bill])</f>
        <v>2951.25</v>
      </c>
    </row>
    <row r="1298" spans="1:19" x14ac:dyDescent="0.3">
      <c r="A1298" s="2">
        <v>11297</v>
      </c>
      <c r="B1298" s="4">
        <v>46928</v>
      </c>
      <c r="C1298" t="s">
        <v>1438</v>
      </c>
      <c r="D1298" t="s">
        <v>18</v>
      </c>
      <c r="E1298" t="s">
        <v>19</v>
      </c>
      <c r="F1298" t="s">
        <v>80</v>
      </c>
      <c r="G1298">
        <v>2</v>
      </c>
      <c r="H1298" s="5">
        <v>3</v>
      </c>
      <c r="I1298" t="s">
        <v>32</v>
      </c>
      <c r="J1298" t="s">
        <v>55</v>
      </c>
      <c r="K1298" t="s">
        <v>55</v>
      </c>
      <c r="L1298" t="s">
        <v>2122</v>
      </c>
      <c r="M1298" s="5">
        <f t="shared" si="121"/>
        <v>6</v>
      </c>
      <c r="N1298" t="str">
        <f t="shared" si="122"/>
        <v>June</v>
      </c>
      <c r="O1298" t="str">
        <f t="shared" si="123"/>
        <v>Saturday</v>
      </c>
      <c r="P1298">
        <f t="shared" si="120"/>
        <v>8</v>
      </c>
      <c r="Q1298" s="2">
        <f t="shared" si="124"/>
        <v>6</v>
      </c>
      <c r="R1298" s="2">
        <f t="shared" si="125"/>
        <v>6</v>
      </c>
      <c r="S1298">
        <f>SUMIF(Table1[product_category],"Bakery",Table1[Total_bill])</f>
        <v>2951.25</v>
      </c>
    </row>
    <row r="1299" spans="1:19" x14ac:dyDescent="0.3">
      <c r="A1299" s="2">
        <v>11298</v>
      </c>
      <c r="B1299" s="4">
        <v>46929</v>
      </c>
      <c r="C1299" t="s">
        <v>1439</v>
      </c>
      <c r="D1299" t="s">
        <v>25</v>
      </c>
      <c r="E1299" t="s">
        <v>26</v>
      </c>
      <c r="F1299" t="s">
        <v>84</v>
      </c>
      <c r="G1299">
        <v>2</v>
      </c>
      <c r="H1299" s="5">
        <v>3.25</v>
      </c>
      <c r="I1299" t="s">
        <v>21</v>
      </c>
      <c r="J1299" t="s">
        <v>81</v>
      </c>
      <c r="K1299" t="s">
        <v>113</v>
      </c>
      <c r="L1299" t="s">
        <v>2125</v>
      </c>
      <c r="M1299" s="5">
        <f t="shared" si="121"/>
        <v>6.5</v>
      </c>
      <c r="N1299" t="str">
        <f t="shared" si="122"/>
        <v>June</v>
      </c>
      <c r="O1299" t="str">
        <f t="shared" si="123"/>
        <v>Sunday</v>
      </c>
      <c r="P1299">
        <f t="shared" si="120"/>
        <v>7</v>
      </c>
      <c r="Q1299" s="2">
        <f t="shared" si="124"/>
        <v>7</v>
      </c>
      <c r="R1299" s="2">
        <f t="shared" si="125"/>
        <v>6</v>
      </c>
      <c r="S1299">
        <f>SUMIF(Table1[product_category],"Bakery",Table1[Total_bill])</f>
        <v>2951.25</v>
      </c>
    </row>
    <row r="1300" spans="1:19" x14ac:dyDescent="0.3">
      <c r="A1300" s="2">
        <v>11299</v>
      </c>
      <c r="B1300" s="4">
        <v>46930</v>
      </c>
      <c r="C1300" t="s">
        <v>1440</v>
      </c>
      <c r="D1300" t="s">
        <v>40</v>
      </c>
      <c r="E1300" t="s">
        <v>41</v>
      </c>
      <c r="F1300" t="s">
        <v>86</v>
      </c>
      <c r="G1300">
        <v>1</v>
      </c>
      <c r="H1300" s="5">
        <v>3</v>
      </c>
      <c r="I1300" t="s">
        <v>32</v>
      </c>
      <c r="J1300" t="s">
        <v>55</v>
      </c>
      <c r="K1300" t="s">
        <v>55</v>
      </c>
      <c r="L1300" t="s">
        <v>2122</v>
      </c>
      <c r="M1300" s="5">
        <f t="shared" si="121"/>
        <v>3</v>
      </c>
      <c r="N1300" t="str">
        <f t="shared" si="122"/>
        <v>June</v>
      </c>
      <c r="O1300" t="str">
        <f t="shared" si="123"/>
        <v>Monday</v>
      </c>
      <c r="P1300">
        <f t="shared" si="120"/>
        <v>13</v>
      </c>
      <c r="Q1300" s="2">
        <f t="shared" si="124"/>
        <v>1</v>
      </c>
      <c r="R1300" s="2">
        <f t="shared" si="125"/>
        <v>6</v>
      </c>
      <c r="S1300">
        <f>SUMIF(Table1[product_category],"Bakery",Table1[Total_bill])</f>
        <v>2951.25</v>
      </c>
    </row>
    <row r="1301" spans="1:19" x14ac:dyDescent="0.3">
      <c r="A1301" s="2">
        <v>11300</v>
      </c>
      <c r="B1301" s="4">
        <v>46931</v>
      </c>
      <c r="C1301" t="s">
        <v>1441</v>
      </c>
      <c r="D1301" t="s">
        <v>25</v>
      </c>
      <c r="E1301" t="s">
        <v>26</v>
      </c>
      <c r="F1301" t="s">
        <v>88</v>
      </c>
      <c r="G1301">
        <v>1</v>
      </c>
      <c r="H1301" s="5">
        <v>2.5</v>
      </c>
      <c r="I1301" t="s">
        <v>36</v>
      </c>
      <c r="J1301" t="s">
        <v>37</v>
      </c>
      <c r="K1301" t="s">
        <v>38</v>
      </c>
      <c r="L1301" t="s">
        <v>2122</v>
      </c>
      <c r="M1301" s="5">
        <f t="shared" si="121"/>
        <v>2.5</v>
      </c>
      <c r="N1301" t="str">
        <f t="shared" si="122"/>
        <v>June</v>
      </c>
      <c r="O1301" t="str">
        <f t="shared" si="123"/>
        <v>Tuesday</v>
      </c>
      <c r="P1301">
        <f t="shared" si="120"/>
        <v>14</v>
      </c>
      <c r="Q1301" s="2">
        <f t="shared" si="124"/>
        <v>2</v>
      </c>
      <c r="R1301" s="2">
        <f t="shared" si="125"/>
        <v>6</v>
      </c>
      <c r="S1301">
        <f>SUMIF(Table1[product_category],"Bakery",Table1[Total_bill])</f>
        <v>2951.25</v>
      </c>
    </row>
    <row r="1302" spans="1:19" x14ac:dyDescent="0.3">
      <c r="A1302" s="2">
        <v>11301</v>
      </c>
      <c r="B1302" s="4">
        <v>46932</v>
      </c>
      <c r="C1302" t="s">
        <v>1442</v>
      </c>
      <c r="D1302" t="s">
        <v>25</v>
      </c>
      <c r="E1302" t="s">
        <v>26</v>
      </c>
      <c r="F1302" t="s">
        <v>93</v>
      </c>
      <c r="G1302">
        <v>1</v>
      </c>
      <c r="H1302" s="5">
        <v>5.5</v>
      </c>
      <c r="I1302" t="s">
        <v>72</v>
      </c>
      <c r="J1302" t="s">
        <v>72</v>
      </c>
      <c r="K1302" t="s">
        <v>141</v>
      </c>
      <c r="L1302" t="s">
        <v>2125</v>
      </c>
      <c r="M1302" s="5">
        <f t="shared" si="121"/>
        <v>5.5</v>
      </c>
      <c r="N1302" t="str">
        <f t="shared" si="122"/>
        <v>June</v>
      </c>
      <c r="O1302" t="str">
        <f t="shared" si="123"/>
        <v>Wednesday</v>
      </c>
      <c r="P1302">
        <f t="shared" si="120"/>
        <v>6</v>
      </c>
      <c r="Q1302" s="2">
        <f t="shared" si="124"/>
        <v>3</v>
      </c>
      <c r="R1302" s="2">
        <f t="shared" si="125"/>
        <v>6</v>
      </c>
      <c r="S1302">
        <f>SUMIF(Table1[product_category],"Bakery",Table1[Total_bill])</f>
        <v>2951.25</v>
      </c>
    </row>
    <row r="1303" spans="1:19" x14ac:dyDescent="0.3">
      <c r="A1303" s="2">
        <v>11302</v>
      </c>
      <c r="B1303" s="4">
        <v>46933</v>
      </c>
      <c r="C1303" t="s">
        <v>1443</v>
      </c>
      <c r="D1303" t="s">
        <v>40</v>
      </c>
      <c r="E1303" t="s">
        <v>41</v>
      </c>
      <c r="F1303" t="s">
        <v>97</v>
      </c>
      <c r="G1303">
        <v>1</v>
      </c>
      <c r="H1303" s="5">
        <v>1.75</v>
      </c>
      <c r="I1303" t="s">
        <v>32</v>
      </c>
      <c r="J1303" t="s">
        <v>43</v>
      </c>
      <c r="K1303" t="s">
        <v>44</v>
      </c>
      <c r="L1303" t="s">
        <v>2122</v>
      </c>
      <c r="M1303" s="5">
        <f t="shared" si="121"/>
        <v>1.75</v>
      </c>
      <c r="N1303" t="str">
        <f t="shared" si="122"/>
        <v>June</v>
      </c>
      <c r="O1303" t="str">
        <f t="shared" si="123"/>
        <v>Thursday</v>
      </c>
      <c r="P1303">
        <f t="shared" si="120"/>
        <v>19</v>
      </c>
      <c r="Q1303" s="2">
        <f t="shared" si="124"/>
        <v>4</v>
      </c>
      <c r="R1303" s="2">
        <f t="shared" si="125"/>
        <v>6</v>
      </c>
      <c r="S1303">
        <f>SUMIF(Table1[product_category],"Bakery",Table1[Total_bill])</f>
        <v>2951.25</v>
      </c>
    </row>
    <row r="1304" spans="1:19" x14ac:dyDescent="0.3">
      <c r="A1304" s="2">
        <v>11303</v>
      </c>
      <c r="B1304" s="4">
        <v>46934</v>
      </c>
      <c r="C1304" t="s">
        <v>1444</v>
      </c>
      <c r="D1304" t="s">
        <v>25</v>
      </c>
      <c r="E1304" t="s">
        <v>26</v>
      </c>
      <c r="F1304" t="s">
        <v>100</v>
      </c>
      <c r="G1304">
        <v>3</v>
      </c>
      <c r="H1304" s="5">
        <v>4.25</v>
      </c>
      <c r="I1304" t="s">
        <v>36</v>
      </c>
      <c r="J1304" t="s">
        <v>211</v>
      </c>
      <c r="K1304" t="s">
        <v>239</v>
      </c>
      <c r="L1304" t="s">
        <v>2123</v>
      </c>
      <c r="M1304" s="5">
        <f t="shared" si="121"/>
        <v>12.75</v>
      </c>
      <c r="N1304" t="str">
        <f t="shared" si="122"/>
        <v>June</v>
      </c>
      <c r="O1304" t="str">
        <f t="shared" si="123"/>
        <v>Friday</v>
      </c>
      <c r="P1304">
        <f t="shared" si="120"/>
        <v>6</v>
      </c>
      <c r="Q1304" s="2">
        <f t="shared" si="124"/>
        <v>5</v>
      </c>
      <c r="R1304" s="2">
        <f t="shared" si="125"/>
        <v>6</v>
      </c>
      <c r="S1304">
        <f>SUMIF(Table1[product_category],"Bakery",Table1[Total_bill])</f>
        <v>2951.25</v>
      </c>
    </row>
    <row r="1305" spans="1:19" x14ac:dyDescent="0.3">
      <c r="A1305" s="2">
        <v>11304</v>
      </c>
      <c r="B1305" s="4">
        <v>46935</v>
      </c>
      <c r="C1305" t="s">
        <v>1093</v>
      </c>
      <c r="D1305" t="s">
        <v>18</v>
      </c>
      <c r="E1305" t="s">
        <v>19</v>
      </c>
      <c r="F1305" t="s">
        <v>105</v>
      </c>
      <c r="G1305">
        <v>3</v>
      </c>
      <c r="H1305" s="5">
        <v>2.75</v>
      </c>
      <c r="I1305" t="s">
        <v>21</v>
      </c>
      <c r="J1305" t="s">
        <v>22</v>
      </c>
      <c r="K1305" t="s">
        <v>23</v>
      </c>
      <c r="L1305" t="s">
        <v>2125</v>
      </c>
      <c r="M1305" s="5">
        <f t="shared" si="121"/>
        <v>8.25</v>
      </c>
      <c r="N1305" t="str">
        <f t="shared" si="122"/>
        <v>July</v>
      </c>
      <c r="O1305" t="str">
        <f t="shared" si="123"/>
        <v>Saturday</v>
      </c>
      <c r="P1305">
        <f t="shared" si="120"/>
        <v>12</v>
      </c>
      <c r="Q1305" s="2">
        <f t="shared" si="124"/>
        <v>6</v>
      </c>
      <c r="R1305" s="2">
        <f t="shared" si="125"/>
        <v>7</v>
      </c>
      <c r="S1305">
        <f>SUMIF(Table1[product_category],"Bakery",Table1[Total_bill])</f>
        <v>2951.25</v>
      </c>
    </row>
    <row r="1306" spans="1:19" x14ac:dyDescent="0.3">
      <c r="A1306" s="2">
        <v>11305</v>
      </c>
      <c r="B1306" s="4">
        <v>46936</v>
      </c>
      <c r="C1306" t="s">
        <v>1445</v>
      </c>
      <c r="D1306" t="s">
        <v>18</v>
      </c>
      <c r="E1306" t="s">
        <v>19</v>
      </c>
      <c r="F1306" t="s">
        <v>107</v>
      </c>
      <c r="G1306">
        <v>1</v>
      </c>
      <c r="H1306" s="5">
        <v>3</v>
      </c>
      <c r="I1306" t="s">
        <v>36</v>
      </c>
      <c r="J1306" t="s">
        <v>246</v>
      </c>
      <c r="K1306" t="s">
        <v>247</v>
      </c>
      <c r="L1306" t="s">
        <v>2124</v>
      </c>
      <c r="M1306" s="5">
        <f t="shared" si="121"/>
        <v>3</v>
      </c>
      <c r="N1306" t="str">
        <f t="shared" si="122"/>
        <v>July</v>
      </c>
      <c r="O1306" t="str">
        <f t="shared" si="123"/>
        <v>Sunday</v>
      </c>
      <c r="P1306">
        <f t="shared" si="120"/>
        <v>14</v>
      </c>
      <c r="Q1306" s="2">
        <f t="shared" si="124"/>
        <v>7</v>
      </c>
      <c r="R1306" s="2">
        <f t="shared" si="125"/>
        <v>7</v>
      </c>
      <c r="S1306">
        <f>SUMIF(Table1[product_category],"Bakery",Table1[Total_bill])</f>
        <v>2951.25</v>
      </c>
    </row>
    <row r="1307" spans="1:19" x14ac:dyDescent="0.3">
      <c r="A1307" s="2">
        <v>11306</v>
      </c>
      <c r="B1307" s="4">
        <v>46937</v>
      </c>
      <c r="C1307" t="s">
        <v>1446</v>
      </c>
      <c r="D1307" t="s">
        <v>18</v>
      </c>
      <c r="E1307" t="s">
        <v>19</v>
      </c>
      <c r="F1307" t="s">
        <v>109</v>
      </c>
      <c r="G1307">
        <v>2</v>
      </c>
      <c r="H1307" s="5">
        <v>3.5</v>
      </c>
      <c r="I1307" t="s">
        <v>36</v>
      </c>
      <c r="J1307" t="s">
        <v>37</v>
      </c>
      <c r="K1307" t="s">
        <v>276</v>
      </c>
      <c r="L1307" t="s">
        <v>2123</v>
      </c>
      <c r="M1307" s="5">
        <f t="shared" si="121"/>
        <v>7</v>
      </c>
      <c r="N1307" t="str">
        <f t="shared" si="122"/>
        <v>July</v>
      </c>
      <c r="O1307" t="str">
        <f t="shared" si="123"/>
        <v>Monday</v>
      </c>
      <c r="P1307">
        <f t="shared" si="120"/>
        <v>17</v>
      </c>
      <c r="Q1307" s="2">
        <f t="shared" si="124"/>
        <v>1</v>
      </c>
      <c r="R1307" s="2">
        <f t="shared" si="125"/>
        <v>7</v>
      </c>
      <c r="S1307">
        <f>SUMIF(Table1[product_category],"Bakery",Table1[Total_bill])</f>
        <v>2951.25</v>
      </c>
    </row>
    <row r="1308" spans="1:19" x14ac:dyDescent="0.3">
      <c r="A1308" s="2">
        <v>11307</v>
      </c>
      <c r="B1308" s="4">
        <v>46938</v>
      </c>
      <c r="C1308" t="s">
        <v>1447</v>
      </c>
      <c r="D1308" t="s">
        <v>18</v>
      </c>
      <c r="E1308" t="s">
        <v>19</v>
      </c>
      <c r="F1308" t="s">
        <v>112</v>
      </c>
      <c r="G1308">
        <v>1</v>
      </c>
      <c r="H1308" s="5">
        <v>2.75</v>
      </c>
      <c r="I1308" t="s">
        <v>32</v>
      </c>
      <c r="J1308" t="s">
        <v>43</v>
      </c>
      <c r="K1308" t="s">
        <v>44</v>
      </c>
      <c r="L1308" t="s">
        <v>2123</v>
      </c>
      <c r="M1308" s="5">
        <f t="shared" si="121"/>
        <v>2.75</v>
      </c>
      <c r="N1308" t="str">
        <f t="shared" si="122"/>
        <v>July</v>
      </c>
      <c r="O1308" t="str">
        <f t="shared" si="123"/>
        <v>Tuesday</v>
      </c>
      <c r="P1308">
        <f t="shared" si="120"/>
        <v>15</v>
      </c>
      <c r="Q1308" s="2">
        <f t="shared" si="124"/>
        <v>2</v>
      </c>
      <c r="R1308" s="2">
        <f t="shared" si="125"/>
        <v>7</v>
      </c>
      <c r="S1308">
        <f>SUMIF(Table1[product_category],"Bakery",Table1[Total_bill])</f>
        <v>2951.25</v>
      </c>
    </row>
    <row r="1309" spans="1:19" x14ac:dyDescent="0.3">
      <c r="A1309" s="2">
        <v>11308</v>
      </c>
      <c r="B1309" s="4">
        <v>46939</v>
      </c>
      <c r="C1309" t="s">
        <v>1448</v>
      </c>
      <c r="D1309" t="s">
        <v>18</v>
      </c>
      <c r="E1309" t="s">
        <v>19</v>
      </c>
      <c r="F1309" t="s">
        <v>115</v>
      </c>
      <c r="G1309">
        <v>3</v>
      </c>
      <c r="H1309" s="5">
        <v>5.5</v>
      </c>
      <c r="I1309" t="s">
        <v>72</v>
      </c>
      <c r="J1309" t="s">
        <v>72</v>
      </c>
      <c r="K1309" t="s">
        <v>141</v>
      </c>
      <c r="L1309" t="s">
        <v>2125</v>
      </c>
      <c r="M1309" s="5">
        <f t="shared" si="121"/>
        <v>16.5</v>
      </c>
      <c r="N1309" t="str">
        <f t="shared" si="122"/>
        <v>July</v>
      </c>
      <c r="O1309" t="str">
        <f t="shared" si="123"/>
        <v>Wednesday</v>
      </c>
      <c r="P1309">
        <f t="shared" si="120"/>
        <v>16</v>
      </c>
      <c r="Q1309" s="2">
        <f t="shared" si="124"/>
        <v>3</v>
      </c>
      <c r="R1309" s="2">
        <f t="shared" si="125"/>
        <v>7</v>
      </c>
      <c r="S1309">
        <f>SUMIF(Table1[product_category],"Bakery",Table1[Total_bill])</f>
        <v>2951.25</v>
      </c>
    </row>
    <row r="1310" spans="1:19" x14ac:dyDescent="0.3">
      <c r="A1310" s="2">
        <v>11309</v>
      </c>
      <c r="B1310" s="4">
        <v>46940</v>
      </c>
      <c r="C1310" t="s">
        <v>1449</v>
      </c>
      <c r="D1310" t="s">
        <v>40</v>
      </c>
      <c r="E1310" t="s">
        <v>41</v>
      </c>
      <c r="F1310" t="s">
        <v>117</v>
      </c>
      <c r="G1310">
        <v>3</v>
      </c>
      <c r="H1310" s="5">
        <v>2.75</v>
      </c>
      <c r="I1310" t="s">
        <v>32</v>
      </c>
      <c r="J1310" t="s">
        <v>144</v>
      </c>
      <c r="K1310" t="s">
        <v>144</v>
      </c>
      <c r="L1310" t="s">
        <v>2122</v>
      </c>
      <c r="M1310" s="5">
        <f t="shared" si="121"/>
        <v>8.25</v>
      </c>
      <c r="N1310" t="str">
        <f t="shared" si="122"/>
        <v>July</v>
      </c>
      <c r="O1310" t="str">
        <f t="shared" si="123"/>
        <v>Thursday</v>
      </c>
      <c r="P1310">
        <f t="shared" si="120"/>
        <v>9</v>
      </c>
      <c r="Q1310" s="2">
        <f t="shared" si="124"/>
        <v>4</v>
      </c>
      <c r="R1310" s="2">
        <f t="shared" si="125"/>
        <v>7</v>
      </c>
      <c r="S1310">
        <f>SUMIF(Table1[product_category],"Bakery",Table1[Total_bill])</f>
        <v>2951.25</v>
      </c>
    </row>
    <row r="1311" spans="1:19" x14ac:dyDescent="0.3">
      <c r="A1311" s="2">
        <v>11310</v>
      </c>
      <c r="B1311" s="4">
        <v>46941</v>
      </c>
      <c r="C1311" t="s">
        <v>1450</v>
      </c>
      <c r="D1311" t="s">
        <v>18</v>
      </c>
      <c r="E1311" t="s">
        <v>19</v>
      </c>
      <c r="F1311" t="s">
        <v>119</v>
      </c>
      <c r="G1311">
        <v>1</v>
      </c>
      <c r="H1311" s="5">
        <v>3</v>
      </c>
      <c r="I1311" t="s">
        <v>36</v>
      </c>
      <c r="J1311" t="s">
        <v>37</v>
      </c>
      <c r="K1311" t="s">
        <v>62</v>
      </c>
      <c r="L1311" t="s">
        <v>2124</v>
      </c>
      <c r="M1311" s="5">
        <f t="shared" si="121"/>
        <v>3</v>
      </c>
      <c r="N1311" t="str">
        <f t="shared" si="122"/>
        <v>July</v>
      </c>
      <c r="O1311" t="str">
        <f t="shared" si="123"/>
        <v>Friday</v>
      </c>
      <c r="P1311">
        <f t="shared" si="120"/>
        <v>16</v>
      </c>
      <c r="Q1311" s="2">
        <f t="shared" si="124"/>
        <v>5</v>
      </c>
      <c r="R1311" s="2">
        <f t="shared" si="125"/>
        <v>7</v>
      </c>
      <c r="S1311">
        <f>SUMIF(Table1[product_category],"Bakery",Table1[Total_bill])</f>
        <v>2951.25</v>
      </c>
    </row>
    <row r="1312" spans="1:19" x14ac:dyDescent="0.3">
      <c r="A1312" s="2">
        <v>11311</v>
      </c>
      <c r="B1312" s="4">
        <v>46942</v>
      </c>
      <c r="C1312" t="s">
        <v>1451</v>
      </c>
      <c r="D1312" t="s">
        <v>25</v>
      </c>
      <c r="E1312" t="s">
        <v>26</v>
      </c>
      <c r="F1312" t="s">
        <v>121</v>
      </c>
      <c r="G1312">
        <v>2</v>
      </c>
      <c r="H1312" s="5">
        <v>24</v>
      </c>
      <c r="I1312" t="s">
        <v>101</v>
      </c>
      <c r="J1312" t="s">
        <v>102</v>
      </c>
      <c r="K1312" t="s">
        <v>103</v>
      </c>
      <c r="L1312" t="s">
        <v>2125</v>
      </c>
      <c r="M1312" s="5">
        <f t="shared" si="121"/>
        <v>48</v>
      </c>
      <c r="N1312" t="str">
        <f t="shared" si="122"/>
        <v>July</v>
      </c>
      <c r="O1312" t="str">
        <f t="shared" si="123"/>
        <v>Saturday</v>
      </c>
      <c r="P1312">
        <f t="shared" si="120"/>
        <v>7</v>
      </c>
      <c r="Q1312" s="2">
        <f t="shared" si="124"/>
        <v>6</v>
      </c>
      <c r="R1312" s="2">
        <f t="shared" si="125"/>
        <v>7</v>
      </c>
      <c r="S1312">
        <f>SUMIF(Table1[product_category],"Bakery",Table1[Total_bill])</f>
        <v>2951.25</v>
      </c>
    </row>
    <row r="1313" spans="1:19" x14ac:dyDescent="0.3">
      <c r="A1313" s="2">
        <v>11312</v>
      </c>
      <c r="B1313" s="4">
        <v>46943</v>
      </c>
      <c r="C1313" t="s">
        <v>1452</v>
      </c>
      <c r="D1313" t="s">
        <v>18</v>
      </c>
      <c r="E1313" t="s">
        <v>19</v>
      </c>
      <c r="F1313" t="s">
        <v>124</v>
      </c>
      <c r="G1313">
        <v>1</v>
      </c>
      <c r="H1313" s="5">
        <v>3</v>
      </c>
      <c r="I1313" t="s">
        <v>21</v>
      </c>
      <c r="J1313" t="s">
        <v>181</v>
      </c>
      <c r="K1313" t="s">
        <v>182</v>
      </c>
      <c r="L1313" t="s">
        <v>2125</v>
      </c>
      <c r="M1313" s="5">
        <f t="shared" si="121"/>
        <v>3</v>
      </c>
      <c r="N1313" t="str">
        <f t="shared" si="122"/>
        <v>July</v>
      </c>
      <c r="O1313" t="str">
        <f t="shared" si="123"/>
        <v>Sunday</v>
      </c>
      <c r="P1313">
        <f t="shared" si="120"/>
        <v>18</v>
      </c>
      <c r="Q1313" s="2">
        <f t="shared" si="124"/>
        <v>7</v>
      </c>
      <c r="R1313" s="2">
        <f t="shared" si="125"/>
        <v>7</v>
      </c>
      <c r="S1313">
        <f>SUMIF(Table1[product_category],"Bakery",Table1[Total_bill])</f>
        <v>2951.25</v>
      </c>
    </row>
    <row r="1314" spans="1:19" x14ac:dyDescent="0.3">
      <c r="A1314" s="2">
        <v>11313</v>
      </c>
      <c r="B1314" s="4">
        <v>46944</v>
      </c>
      <c r="C1314" t="s">
        <v>1453</v>
      </c>
      <c r="D1314" t="s">
        <v>25</v>
      </c>
      <c r="E1314" t="s">
        <v>26</v>
      </c>
      <c r="F1314" t="s">
        <v>126</v>
      </c>
      <c r="G1314">
        <v>4</v>
      </c>
      <c r="H1314" s="5">
        <v>4</v>
      </c>
      <c r="I1314" t="s">
        <v>89</v>
      </c>
      <c r="J1314" t="s">
        <v>261</v>
      </c>
      <c r="K1314" t="s">
        <v>261</v>
      </c>
      <c r="L1314" t="s">
        <v>2124</v>
      </c>
      <c r="M1314" s="5">
        <f t="shared" si="121"/>
        <v>16</v>
      </c>
      <c r="N1314" t="str">
        <f t="shared" si="122"/>
        <v>July</v>
      </c>
      <c r="O1314" t="str">
        <f t="shared" si="123"/>
        <v>Monday</v>
      </c>
      <c r="P1314">
        <f t="shared" si="120"/>
        <v>12</v>
      </c>
      <c r="Q1314" s="2">
        <f t="shared" si="124"/>
        <v>1</v>
      </c>
      <c r="R1314" s="2">
        <f t="shared" si="125"/>
        <v>7</v>
      </c>
      <c r="S1314">
        <f>SUMIF(Table1[product_category],"Bakery",Table1[Total_bill])</f>
        <v>2951.25</v>
      </c>
    </row>
    <row r="1315" spans="1:19" x14ac:dyDescent="0.3">
      <c r="A1315" s="2">
        <v>11314</v>
      </c>
      <c r="B1315" s="4">
        <v>46945</v>
      </c>
      <c r="C1315" t="s">
        <v>1454</v>
      </c>
      <c r="D1315" t="s">
        <v>18</v>
      </c>
      <c r="E1315" t="s">
        <v>19</v>
      </c>
      <c r="F1315" t="s">
        <v>128</v>
      </c>
      <c r="G1315">
        <v>2</v>
      </c>
      <c r="H1315" s="5">
        <v>14</v>
      </c>
      <c r="I1315" t="s">
        <v>98</v>
      </c>
      <c r="J1315" t="s">
        <v>98</v>
      </c>
      <c r="K1315" t="s">
        <v>129</v>
      </c>
      <c r="L1315" t="s">
        <v>2125</v>
      </c>
      <c r="M1315" s="5">
        <f t="shared" si="121"/>
        <v>28</v>
      </c>
      <c r="N1315" t="str">
        <f t="shared" si="122"/>
        <v>July</v>
      </c>
      <c r="O1315" t="str">
        <f t="shared" si="123"/>
        <v>Tuesday</v>
      </c>
      <c r="P1315">
        <f t="shared" si="120"/>
        <v>16</v>
      </c>
      <c r="Q1315" s="2">
        <f t="shared" si="124"/>
        <v>2</v>
      </c>
      <c r="R1315" s="2">
        <f t="shared" si="125"/>
        <v>7</v>
      </c>
      <c r="S1315">
        <f>SUMIF(Table1[product_category],"Bakery",Table1[Total_bill])</f>
        <v>2951.25</v>
      </c>
    </row>
    <row r="1316" spans="1:19" x14ac:dyDescent="0.3">
      <c r="A1316" s="2">
        <v>11315</v>
      </c>
      <c r="B1316" s="4">
        <v>46946</v>
      </c>
      <c r="C1316" t="s">
        <v>1455</v>
      </c>
      <c r="D1316" t="s">
        <v>40</v>
      </c>
      <c r="E1316" t="s">
        <v>41</v>
      </c>
      <c r="F1316" t="s">
        <v>131</v>
      </c>
      <c r="G1316">
        <v>4</v>
      </c>
      <c r="H1316" s="5">
        <v>2.5</v>
      </c>
      <c r="I1316" t="s">
        <v>36</v>
      </c>
      <c r="J1316" t="s">
        <v>37</v>
      </c>
      <c r="K1316" t="s">
        <v>38</v>
      </c>
      <c r="L1316" t="s">
        <v>2122</v>
      </c>
      <c r="M1316" s="5">
        <f t="shared" si="121"/>
        <v>10</v>
      </c>
      <c r="N1316" t="str">
        <f t="shared" si="122"/>
        <v>July</v>
      </c>
      <c r="O1316" t="str">
        <f t="shared" si="123"/>
        <v>Wednesday</v>
      </c>
      <c r="P1316">
        <f t="shared" si="120"/>
        <v>11</v>
      </c>
      <c r="Q1316" s="2">
        <f t="shared" si="124"/>
        <v>3</v>
      </c>
      <c r="R1316" s="2">
        <f t="shared" si="125"/>
        <v>7</v>
      </c>
      <c r="S1316">
        <f>SUMIF(Table1[product_category],"Bakery",Table1[Total_bill])</f>
        <v>2951.25</v>
      </c>
    </row>
    <row r="1317" spans="1:19" x14ac:dyDescent="0.3">
      <c r="A1317" s="2">
        <v>11316</v>
      </c>
      <c r="B1317" s="4">
        <v>46947</v>
      </c>
      <c r="C1317" t="s">
        <v>1456</v>
      </c>
      <c r="D1317" t="s">
        <v>25</v>
      </c>
      <c r="E1317" t="s">
        <v>26</v>
      </c>
      <c r="F1317" t="s">
        <v>133</v>
      </c>
      <c r="G1317">
        <v>1</v>
      </c>
      <c r="H1317" s="5">
        <v>6</v>
      </c>
      <c r="I1317" t="s">
        <v>72</v>
      </c>
      <c r="J1317" t="s">
        <v>72</v>
      </c>
      <c r="K1317" t="s">
        <v>138</v>
      </c>
      <c r="L1317" t="s">
        <v>2125</v>
      </c>
      <c r="M1317" s="5">
        <f t="shared" si="121"/>
        <v>6</v>
      </c>
      <c r="N1317" t="str">
        <f t="shared" si="122"/>
        <v>July</v>
      </c>
      <c r="O1317" t="str">
        <f t="shared" si="123"/>
        <v>Thursday</v>
      </c>
      <c r="P1317">
        <f t="shared" si="120"/>
        <v>14</v>
      </c>
      <c r="Q1317" s="2">
        <f t="shared" si="124"/>
        <v>4</v>
      </c>
      <c r="R1317" s="2">
        <f t="shared" si="125"/>
        <v>7</v>
      </c>
      <c r="S1317">
        <f>SUMIF(Table1[product_category],"Bakery",Table1[Total_bill])</f>
        <v>2951.25</v>
      </c>
    </row>
    <row r="1318" spans="1:19" x14ac:dyDescent="0.3">
      <c r="A1318" s="2">
        <v>11317</v>
      </c>
      <c r="B1318" s="4">
        <v>46948</v>
      </c>
      <c r="C1318" t="s">
        <v>1457</v>
      </c>
      <c r="D1318" t="s">
        <v>18</v>
      </c>
      <c r="E1318" t="s">
        <v>19</v>
      </c>
      <c r="F1318" t="s">
        <v>135</v>
      </c>
      <c r="G1318">
        <v>2</v>
      </c>
      <c r="H1318" s="5">
        <v>3.5</v>
      </c>
      <c r="I1318" t="s">
        <v>32</v>
      </c>
      <c r="J1318" t="s">
        <v>33</v>
      </c>
      <c r="K1318" t="s">
        <v>33</v>
      </c>
      <c r="L1318" t="s">
        <v>2122</v>
      </c>
      <c r="M1318" s="5">
        <f t="shared" si="121"/>
        <v>7</v>
      </c>
      <c r="N1318" t="str">
        <f t="shared" si="122"/>
        <v>July</v>
      </c>
      <c r="O1318" t="str">
        <f t="shared" si="123"/>
        <v>Friday</v>
      </c>
      <c r="P1318">
        <f t="shared" si="120"/>
        <v>12</v>
      </c>
      <c r="Q1318" s="2">
        <f t="shared" si="124"/>
        <v>5</v>
      </c>
      <c r="R1318" s="2">
        <f t="shared" si="125"/>
        <v>7</v>
      </c>
      <c r="S1318">
        <f>SUMIF(Table1[product_category],"Bakery",Table1[Total_bill])</f>
        <v>2951.25</v>
      </c>
    </row>
    <row r="1319" spans="1:19" x14ac:dyDescent="0.3">
      <c r="A1319" s="2">
        <v>11318</v>
      </c>
      <c r="B1319" s="4">
        <v>46949</v>
      </c>
      <c r="C1319" t="s">
        <v>1458</v>
      </c>
      <c r="D1319" t="s">
        <v>18</v>
      </c>
      <c r="E1319" t="s">
        <v>19</v>
      </c>
      <c r="F1319" t="s">
        <v>137</v>
      </c>
      <c r="G1319">
        <v>2</v>
      </c>
      <c r="H1319" s="5">
        <v>3.75</v>
      </c>
      <c r="I1319" t="s">
        <v>32</v>
      </c>
      <c r="J1319" t="s">
        <v>144</v>
      </c>
      <c r="K1319" t="s">
        <v>144</v>
      </c>
      <c r="L1319" t="s">
        <v>2123</v>
      </c>
      <c r="M1319" s="5">
        <f t="shared" si="121"/>
        <v>7.5</v>
      </c>
      <c r="N1319" t="str">
        <f t="shared" si="122"/>
        <v>July</v>
      </c>
      <c r="O1319" t="str">
        <f t="shared" si="123"/>
        <v>Saturday</v>
      </c>
      <c r="P1319">
        <f t="shared" si="120"/>
        <v>15</v>
      </c>
      <c r="Q1319" s="2">
        <f t="shared" si="124"/>
        <v>6</v>
      </c>
      <c r="R1319" s="2">
        <f t="shared" si="125"/>
        <v>7</v>
      </c>
      <c r="S1319">
        <f>SUMIF(Table1[product_category],"Bakery",Table1[Total_bill])</f>
        <v>2951.25</v>
      </c>
    </row>
    <row r="1320" spans="1:19" x14ac:dyDescent="0.3">
      <c r="A1320" s="2">
        <v>11319</v>
      </c>
      <c r="B1320" s="4">
        <v>46950</v>
      </c>
      <c r="C1320" t="s">
        <v>1459</v>
      </c>
      <c r="D1320" t="s">
        <v>40</v>
      </c>
      <c r="E1320" t="s">
        <v>41</v>
      </c>
      <c r="F1320" t="s">
        <v>140</v>
      </c>
      <c r="G1320">
        <v>4</v>
      </c>
      <c r="H1320" s="5">
        <v>3.5</v>
      </c>
      <c r="I1320" t="s">
        <v>36</v>
      </c>
      <c r="J1320" t="s">
        <v>37</v>
      </c>
      <c r="K1320" t="s">
        <v>38</v>
      </c>
      <c r="L1320" t="s">
        <v>2123</v>
      </c>
      <c r="M1320" s="5">
        <f t="shared" si="121"/>
        <v>14</v>
      </c>
      <c r="N1320" t="str">
        <f t="shared" si="122"/>
        <v>July</v>
      </c>
      <c r="O1320" t="str">
        <f t="shared" si="123"/>
        <v>Sunday</v>
      </c>
      <c r="P1320">
        <f t="shared" si="120"/>
        <v>7</v>
      </c>
      <c r="Q1320" s="2">
        <f t="shared" si="124"/>
        <v>7</v>
      </c>
      <c r="R1320" s="2">
        <f t="shared" si="125"/>
        <v>7</v>
      </c>
      <c r="S1320">
        <f>SUMIF(Table1[product_category],"Bakery",Table1[Total_bill])</f>
        <v>2951.25</v>
      </c>
    </row>
    <row r="1321" spans="1:19" x14ac:dyDescent="0.3">
      <c r="A1321" s="2">
        <v>11320</v>
      </c>
      <c r="B1321" s="4">
        <v>46951</v>
      </c>
      <c r="C1321" t="s">
        <v>1460</v>
      </c>
      <c r="D1321" t="s">
        <v>40</v>
      </c>
      <c r="E1321" t="s">
        <v>41</v>
      </c>
      <c r="F1321" t="s">
        <v>143</v>
      </c>
      <c r="G1321">
        <v>3</v>
      </c>
      <c r="H1321" s="5">
        <v>6</v>
      </c>
      <c r="I1321" t="s">
        <v>72</v>
      </c>
      <c r="J1321" t="s">
        <v>72</v>
      </c>
      <c r="K1321" t="s">
        <v>138</v>
      </c>
      <c r="L1321" t="s">
        <v>2125</v>
      </c>
      <c r="M1321" s="5">
        <f t="shared" si="121"/>
        <v>18</v>
      </c>
      <c r="N1321" t="str">
        <f t="shared" si="122"/>
        <v>July</v>
      </c>
      <c r="O1321" t="str">
        <f t="shared" si="123"/>
        <v>Monday</v>
      </c>
      <c r="P1321">
        <f t="shared" si="120"/>
        <v>7</v>
      </c>
      <c r="Q1321" s="2">
        <f t="shared" si="124"/>
        <v>1</v>
      </c>
      <c r="R1321" s="2">
        <f t="shared" si="125"/>
        <v>7</v>
      </c>
      <c r="S1321">
        <f>SUMIF(Table1[product_category],"Bakery",Table1[Total_bill])</f>
        <v>2951.25</v>
      </c>
    </row>
    <row r="1322" spans="1:19" x14ac:dyDescent="0.3">
      <c r="A1322" s="2">
        <v>11321</v>
      </c>
      <c r="B1322" s="4">
        <v>46952</v>
      </c>
      <c r="C1322" t="s">
        <v>1461</v>
      </c>
      <c r="D1322" t="s">
        <v>18</v>
      </c>
      <c r="E1322" t="s">
        <v>19</v>
      </c>
      <c r="F1322" t="s">
        <v>146</v>
      </c>
      <c r="G1322">
        <v>4</v>
      </c>
      <c r="H1322" s="5">
        <v>4.5</v>
      </c>
      <c r="I1322" t="s">
        <v>89</v>
      </c>
      <c r="J1322" t="s">
        <v>90</v>
      </c>
      <c r="K1322" t="s">
        <v>91</v>
      </c>
      <c r="L1322" t="s">
        <v>2124</v>
      </c>
      <c r="M1322" s="5">
        <f t="shared" si="121"/>
        <v>18</v>
      </c>
      <c r="N1322" t="str">
        <f t="shared" si="122"/>
        <v>July</v>
      </c>
      <c r="O1322" t="str">
        <f t="shared" si="123"/>
        <v>Tuesday</v>
      </c>
      <c r="P1322">
        <f t="shared" si="120"/>
        <v>8</v>
      </c>
      <c r="Q1322" s="2">
        <f t="shared" si="124"/>
        <v>2</v>
      </c>
      <c r="R1322" s="2">
        <f t="shared" si="125"/>
        <v>7</v>
      </c>
      <c r="S1322">
        <f>SUMIF(Table1[product_category],"Bakery",Table1[Total_bill])</f>
        <v>2951.25</v>
      </c>
    </row>
    <row r="1323" spans="1:19" x14ac:dyDescent="0.3">
      <c r="A1323" s="2">
        <v>11322</v>
      </c>
      <c r="B1323" s="4">
        <v>46953</v>
      </c>
      <c r="C1323" t="s">
        <v>962</v>
      </c>
      <c r="D1323" t="s">
        <v>40</v>
      </c>
      <c r="E1323" t="s">
        <v>41</v>
      </c>
      <c r="F1323" t="s">
        <v>148</v>
      </c>
      <c r="G1323">
        <v>3</v>
      </c>
      <c r="H1323" s="5">
        <v>14</v>
      </c>
      <c r="I1323" t="s">
        <v>101</v>
      </c>
      <c r="J1323" t="s">
        <v>102</v>
      </c>
      <c r="K1323" t="s">
        <v>193</v>
      </c>
      <c r="L1323" t="s">
        <v>2125</v>
      </c>
      <c r="M1323" s="5">
        <f t="shared" si="121"/>
        <v>42</v>
      </c>
      <c r="N1323" t="str">
        <f t="shared" si="122"/>
        <v>July</v>
      </c>
      <c r="O1323" t="str">
        <f t="shared" si="123"/>
        <v>Wednesday</v>
      </c>
      <c r="P1323">
        <f t="shared" si="120"/>
        <v>7</v>
      </c>
      <c r="Q1323" s="2">
        <f t="shared" si="124"/>
        <v>3</v>
      </c>
      <c r="R1323" s="2">
        <f t="shared" si="125"/>
        <v>7</v>
      </c>
      <c r="S1323">
        <f>SUMIF(Table1[product_category],"Bakery",Table1[Total_bill])</f>
        <v>2951.25</v>
      </c>
    </row>
    <row r="1324" spans="1:19" x14ac:dyDescent="0.3">
      <c r="A1324" s="2">
        <v>11323</v>
      </c>
      <c r="B1324" s="4">
        <v>46954</v>
      </c>
      <c r="C1324" t="s">
        <v>1462</v>
      </c>
      <c r="D1324" t="s">
        <v>25</v>
      </c>
      <c r="E1324" t="s">
        <v>26</v>
      </c>
      <c r="F1324" t="s">
        <v>150</v>
      </c>
      <c r="G1324">
        <v>4</v>
      </c>
      <c r="H1324" s="5">
        <v>3.5</v>
      </c>
      <c r="I1324" t="s">
        <v>32</v>
      </c>
      <c r="J1324" t="s">
        <v>55</v>
      </c>
      <c r="K1324" t="s">
        <v>55</v>
      </c>
      <c r="L1324" t="s">
        <v>2124</v>
      </c>
      <c r="M1324" s="5">
        <f t="shared" si="121"/>
        <v>14</v>
      </c>
      <c r="N1324" t="str">
        <f t="shared" si="122"/>
        <v>July</v>
      </c>
      <c r="O1324" t="str">
        <f t="shared" si="123"/>
        <v>Thursday</v>
      </c>
      <c r="P1324">
        <f t="shared" si="120"/>
        <v>17</v>
      </c>
      <c r="Q1324" s="2">
        <f t="shared" si="124"/>
        <v>4</v>
      </c>
      <c r="R1324" s="2">
        <f t="shared" si="125"/>
        <v>7</v>
      </c>
      <c r="S1324">
        <f>SUMIF(Table1[product_category],"Bakery",Table1[Total_bill])</f>
        <v>2951.25</v>
      </c>
    </row>
    <row r="1325" spans="1:19" x14ac:dyDescent="0.3">
      <c r="A1325" s="2">
        <v>11324</v>
      </c>
      <c r="B1325" s="4">
        <v>46955</v>
      </c>
      <c r="C1325" t="s">
        <v>1463</v>
      </c>
      <c r="D1325" t="s">
        <v>25</v>
      </c>
      <c r="E1325" t="s">
        <v>26</v>
      </c>
      <c r="F1325" t="s">
        <v>152</v>
      </c>
      <c r="G1325">
        <v>1</v>
      </c>
      <c r="H1325" s="5">
        <v>2.5</v>
      </c>
      <c r="I1325" t="s">
        <v>32</v>
      </c>
      <c r="J1325" t="s">
        <v>226</v>
      </c>
      <c r="K1325" t="s">
        <v>227</v>
      </c>
      <c r="L1325" t="s">
        <v>2122</v>
      </c>
      <c r="M1325" s="5">
        <f t="shared" si="121"/>
        <v>2.5</v>
      </c>
      <c r="N1325" t="str">
        <f t="shared" si="122"/>
        <v>July</v>
      </c>
      <c r="O1325" t="str">
        <f t="shared" si="123"/>
        <v>Friday</v>
      </c>
      <c r="P1325">
        <f t="shared" si="120"/>
        <v>8</v>
      </c>
      <c r="Q1325" s="2">
        <f t="shared" si="124"/>
        <v>5</v>
      </c>
      <c r="R1325" s="2">
        <f t="shared" si="125"/>
        <v>7</v>
      </c>
      <c r="S1325">
        <f>SUMIF(Table1[product_category],"Bakery",Table1[Total_bill])</f>
        <v>2951.25</v>
      </c>
    </row>
    <row r="1326" spans="1:19" x14ac:dyDescent="0.3">
      <c r="A1326" s="2">
        <v>11325</v>
      </c>
      <c r="B1326" s="4">
        <v>46956</v>
      </c>
      <c r="C1326" t="s">
        <v>1464</v>
      </c>
      <c r="D1326" t="s">
        <v>25</v>
      </c>
      <c r="E1326" t="s">
        <v>26</v>
      </c>
      <c r="F1326" t="s">
        <v>154</v>
      </c>
      <c r="G1326">
        <v>3</v>
      </c>
      <c r="H1326" s="5">
        <v>3.75</v>
      </c>
      <c r="I1326" t="s">
        <v>36</v>
      </c>
      <c r="J1326" t="s">
        <v>211</v>
      </c>
      <c r="K1326" t="s">
        <v>239</v>
      </c>
      <c r="L1326" t="s">
        <v>2124</v>
      </c>
      <c r="M1326" s="5">
        <f t="shared" si="121"/>
        <v>11.25</v>
      </c>
      <c r="N1326" t="str">
        <f t="shared" si="122"/>
        <v>July</v>
      </c>
      <c r="O1326" t="str">
        <f t="shared" si="123"/>
        <v>Saturday</v>
      </c>
      <c r="P1326">
        <f t="shared" si="120"/>
        <v>20</v>
      </c>
      <c r="Q1326" s="2">
        <f t="shared" si="124"/>
        <v>6</v>
      </c>
      <c r="R1326" s="2">
        <f t="shared" si="125"/>
        <v>7</v>
      </c>
      <c r="S1326">
        <f>SUMIF(Table1[product_category],"Bakery",Table1[Total_bill])</f>
        <v>2951.25</v>
      </c>
    </row>
    <row r="1327" spans="1:19" x14ac:dyDescent="0.3">
      <c r="A1327" s="2">
        <v>11326</v>
      </c>
      <c r="B1327" s="4">
        <v>46957</v>
      </c>
      <c r="C1327" t="s">
        <v>1465</v>
      </c>
      <c r="D1327" t="s">
        <v>18</v>
      </c>
      <c r="E1327" t="s">
        <v>19</v>
      </c>
      <c r="F1327" t="s">
        <v>156</v>
      </c>
      <c r="G1327">
        <v>4</v>
      </c>
      <c r="H1327" s="5">
        <v>2.75</v>
      </c>
      <c r="I1327" t="s">
        <v>32</v>
      </c>
      <c r="J1327" t="s">
        <v>144</v>
      </c>
      <c r="K1327" t="s">
        <v>144</v>
      </c>
      <c r="L1327" t="s">
        <v>2122</v>
      </c>
      <c r="M1327" s="5">
        <f t="shared" si="121"/>
        <v>11</v>
      </c>
      <c r="N1327" t="str">
        <f t="shared" si="122"/>
        <v>July</v>
      </c>
      <c r="O1327" t="str">
        <f t="shared" si="123"/>
        <v>Sunday</v>
      </c>
      <c r="P1327">
        <f t="shared" si="120"/>
        <v>9</v>
      </c>
      <c r="Q1327" s="2">
        <f t="shared" si="124"/>
        <v>7</v>
      </c>
      <c r="R1327" s="2">
        <f t="shared" si="125"/>
        <v>7</v>
      </c>
      <c r="S1327">
        <f>SUMIF(Table1[product_category],"Bakery",Table1[Total_bill])</f>
        <v>2951.25</v>
      </c>
    </row>
    <row r="1328" spans="1:19" x14ac:dyDescent="0.3">
      <c r="A1328" s="2">
        <v>11327</v>
      </c>
      <c r="B1328" s="4">
        <v>46958</v>
      </c>
      <c r="C1328" t="s">
        <v>1466</v>
      </c>
      <c r="D1328" t="s">
        <v>18</v>
      </c>
      <c r="E1328" t="s">
        <v>19</v>
      </c>
      <c r="F1328" t="s">
        <v>158</v>
      </c>
      <c r="G1328">
        <v>4</v>
      </c>
      <c r="H1328" s="5">
        <v>6</v>
      </c>
      <c r="I1328" t="s">
        <v>72</v>
      </c>
      <c r="J1328" t="s">
        <v>72</v>
      </c>
      <c r="K1328" t="s">
        <v>138</v>
      </c>
      <c r="L1328" t="s">
        <v>2125</v>
      </c>
      <c r="M1328" s="5">
        <f t="shared" si="121"/>
        <v>24</v>
      </c>
      <c r="N1328" t="str">
        <f t="shared" si="122"/>
        <v>July</v>
      </c>
      <c r="O1328" t="str">
        <f t="shared" si="123"/>
        <v>Monday</v>
      </c>
      <c r="P1328">
        <f t="shared" si="120"/>
        <v>8</v>
      </c>
      <c r="Q1328" s="2">
        <f t="shared" si="124"/>
        <v>1</v>
      </c>
      <c r="R1328" s="2">
        <f t="shared" si="125"/>
        <v>7</v>
      </c>
      <c r="S1328">
        <f>SUMIF(Table1[product_category],"Bakery",Table1[Total_bill])</f>
        <v>2951.25</v>
      </c>
    </row>
    <row r="1329" spans="1:19" x14ac:dyDescent="0.3">
      <c r="A1329" s="2">
        <v>11328</v>
      </c>
      <c r="B1329" s="4">
        <v>46959</v>
      </c>
      <c r="C1329" t="s">
        <v>1467</v>
      </c>
      <c r="D1329" t="s">
        <v>40</v>
      </c>
      <c r="E1329" t="s">
        <v>41</v>
      </c>
      <c r="F1329" t="s">
        <v>160</v>
      </c>
      <c r="G1329">
        <v>1</v>
      </c>
      <c r="H1329" s="5">
        <v>9.5</v>
      </c>
      <c r="I1329" t="s">
        <v>28</v>
      </c>
      <c r="J1329" t="s">
        <v>28</v>
      </c>
      <c r="K1329" t="s">
        <v>29</v>
      </c>
      <c r="L1329" t="s">
        <v>2125</v>
      </c>
      <c r="M1329" s="5">
        <f t="shared" si="121"/>
        <v>9.5</v>
      </c>
      <c r="N1329" t="str">
        <f t="shared" si="122"/>
        <v>July</v>
      </c>
      <c r="O1329" t="str">
        <f t="shared" si="123"/>
        <v>Tuesday</v>
      </c>
      <c r="P1329">
        <f t="shared" si="120"/>
        <v>16</v>
      </c>
      <c r="Q1329" s="2">
        <f t="shared" si="124"/>
        <v>2</v>
      </c>
      <c r="R1329" s="2">
        <f t="shared" si="125"/>
        <v>7</v>
      </c>
      <c r="S1329">
        <f>SUMIF(Table1[product_category],"Bakery",Table1[Total_bill])</f>
        <v>2951.25</v>
      </c>
    </row>
    <row r="1330" spans="1:19" x14ac:dyDescent="0.3">
      <c r="A1330" s="2">
        <v>11329</v>
      </c>
      <c r="B1330" s="4">
        <v>46960</v>
      </c>
      <c r="C1330" t="s">
        <v>1468</v>
      </c>
      <c r="D1330" t="s">
        <v>25</v>
      </c>
      <c r="E1330" t="s">
        <v>26</v>
      </c>
      <c r="F1330" t="s">
        <v>162</v>
      </c>
      <c r="G1330">
        <v>3</v>
      </c>
      <c r="H1330" s="5">
        <v>4</v>
      </c>
      <c r="I1330" t="s">
        <v>89</v>
      </c>
      <c r="J1330" t="s">
        <v>261</v>
      </c>
      <c r="K1330" t="s">
        <v>261</v>
      </c>
      <c r="L1330" t="s">
        <v>2124</v>
      </c>
      <c r="M1330" s="5">
        <f t="shared" si="121"/>
        <v>12</v>
      </c>
      <c r="N1330" t="str">
        <f t="shared" si="122"/>
        <v>July</v>
      </c>
      <c r="O1330" t="str">
        <f t="shared" si="123"/>
        <v>Wednesday</v>
      </c>
      <c r="P1330">
        <f t="shared" si="120"/>
        <v>14</v>
      </c>
      <c r="Q1330" s="2">
        <f t="shared" si="124"/>
        <v>3</v>
      </c>
      <c r="R1330" s="2">
        <f t="shared" si="125"/>
        <v>7</v>
      </c>
      <c r="S1330">
        <f>SUMIF(Table1[product_category],"Bakery",Table1[Total_bill])</f>
        <v>2951.25</v>
      </c>
    </row>
    <row r="1331" spans="1:19" x14ac:dyDescent="0.3">
      <c r="A1331" s="2">
        <v>11330</v>
      </c>
      <c r="B1331" s="4">
        <v>46961</v>
      </c>
      <c r="C1331" t="s">
        <v>1469</v>
      </c>
      <c r="D1331" t="s">
        <v>25</v>
      </c>
      <c r="E1331" t="s">
        <v>26</v>
      </c>
      <c r="F1331" t="s">
        <v>164</v>
      </c>
      <c r="G1331">
        <v>3</v>
      </c>
      <c r="H1331" s="5">
        <v>2.75</v>
      </c>
      <c r="I1331" t="s">
        <v>32</v>
      </c>
      <c r="J1331" t="s">
        <v>226</v>
      </c>
      <c r="K1331" t="s">
        <v>273</v>
      </c>
      <c r="L1331" t="s">
        <v>2122</v>
      </c>
      <c r="M1331" s="5">
        <f t="shared" si="121"/>
        <v>8.25</v>
      </c>
      <c r="N1331" t="str">
        <f t="shared" si="122"/>
        <v>July</v>
      </c>
      <c r="O1331" t="str">
        <f t="shared" si="123"/>
        <v>Thursday</v>
      </c>
      <c r="P1331">
        <f t="shared" si="120"/>
        <v>11</v>
      </c>
      <c r="Q1331" s="2">
        <f t="shared" si="124"/>
        <v>4</v>
      </c>
      <c r="R1331" s="2">
        <f t="shared" si="125"/>
        <v>7</v>
      </c>
      <c r="S1331">
        <f>SUMIF(Table1[product_category],"Bakery",Table1[Total_bill])</f>
        <v>2951.25</v>
      </c>
    </row>
    <row r="1332" spans="1:19" x14ac:dyDescent="0.3">
      <c r="A1332" s="2">
        <v>11331</v>
      </c>
      <c r="B1332" s="4">
        <v>46962</v>
      </c>
      <c r="C1332" t="s">
        <v>1470</v>
      </c>
      <c r="D1332" t="s">
        <v>40</v>
      </c>
      <c r="E1332" t="s">
        <v>41</v>
      </c>
      <c r="F1332" t="s">
        <v>166</v>
      </c>
      <c r="G1332">
        <v>4</v>
      </c>
      <c r="H1332" s="5">
        <v>4.75</v>
      </c>
      <c r="I1332" t="s">
        <v>32</v>
      </c>
      <c r="J1332" t="s">
        <v>122</v>
      </c>
      <c r="K1332" t="s">
        <v>122</v>
      </c>
      <c r="L1332" t="s">
        <v>2123</v>
      </c>
      <c r="M1332" s="5">
        <f t="shared" si="121"/>
        <v>19</v>
      </c>
      <c r="N1332" t="str">
        <f t="shared" si="122"/>
        <v>July</v>
      </c>
      <c r="O1332" t="str">
        <f t="shared" si="123"/>
        <v>Friday</v>
      </c>
      <c r="P1332">
        <f t="shared" si="120"/>
        <v>12</v>
      </c>
      <c r="Q1332" s="2">
        <f t="shared" si="124"/>
        <v>5</v>
      </c>
      <c r="R1332" s="2">
        <f t="shared" si="125"/>
        <v>7</v>
      </c>
      <c r="S1332">
        <f>SUMIF(Table1[product_category],"Bakery",Table1[Total_bill])</f>
        <v>2951.25</v>
      </c>
    </row>
    <row r="1333" spans="1:19" x14ac:dyDescent="0.3">
      <c r="A1333" s="2">
        <v>11332</v>
      </c>
      <c r="B1333" s="4">
        <v>46963</v>
      </c>
      <c r="C1333" t="s">
        <v>1471</v>
      </c>
      <c r="D1333" t="s">
        <v>18</v>
      </c>
      <c r="E1333" t="s">
        <v>19</v>
      </c>
      <c r="F1333" t="s">
        <v>168</v>
      </c>
      <c r="G1333">
        <v>4</v>
      </c>
      <c r="H1333" s="5">
        <v>6</v>
      </c>
      <c r="I1333" t="s">
        <v>72</v>
      </c>
      <c r="J1333" t="s">
        <v>72</v>
      </c>
      <c r="K1333" t="s">
        <v>138</v>
      </c>
      <c r="L1333" t="s">
        <v>2125</v>
      </c>
      <c r="M1333" s="5">
        <f t="shared" si="121"/>
        <v>24</v>
      </c>
      <c r="N1333" t="str">
        <f t="shared" si="122"/>
        <v>July</v>
      </c>
      <c r="O1333" t="str">
        <f t="shared" si="123"/>
        <v>Saturday</v>
      </c>
      <c r="P1333">
        <f t="shared" si="120"/>
        <v>15</v>
      </c>
      <c r="Q1333" s="2">
        <f t="shared" si="124"/>
        <v>6</v>
      </c>
      <c r="R1333" s="2">
        <f t="shared" si="125"/>
        <v>7</v>
      </c>
      <c r="S1333">
        <f>SUMIF(Table1[product_category],"Bakery",Table1[Total_bill])</f>
        <v>2951.25</v>
      </c>
    </row>
    <row r="1334" spans="1:19" x14ac:dyDescent="0.3">
      <c r="A1334" s="2">
        <v>11333</v>
      </c>
      <c r="B1334" s="4">
        <v>46964</v>
      </c>
      <c r="C1334" t="s">
        <v>1472</v>
      </c>
      <c r="D1334" t="s">
        <v>25</v>
      </c>
      <c r="E1334" t="s">
        <v>26</v>
      </c>
      <c r="F1334" t="s">
        <v>170</v>
      </c>
      <c r="G1334">
        <v>1</v>
      </c>
      <c r="H1334" s="5">
        <v>14</v>
      </c>
      <c r="I1334" t="s">
        <v>101</v>
      </c>
      <c r="J1334" t="s">
        <v>102</v>
      </c>
      <c r="K1334" t="s">
        <v>193</v>
      </c>
      <c r="L1334" t="s">
        <v>2125</v>
      </c>
      <c r="M1334" s="5">
        <f t="shared" si="121"/>
        <v>14</v>
      </c>
      <c r="N1334" t="str">
        <f t="shared" si="122"/>
        <v>July</v>
      </c>
      <c r="O1334" t="str">
        <f t="shared" si="123"/>
        <v>Sunday</v>
      </c>
      <c r="P1334">
        <f t="shared" si="120"/>
        <v>8</v>
      </c>
      <c r="Q1334" s="2">
        <f t="shared" si="124"/>
        <v>7</v>
      </c>
      <c r="R1334" s="2">
        <f t="shared" si="125"/>
        <v>7</v>
      </c>
      <c r="S1334">
        <f>SUMIF(Table1[product_category],"Bakery",Table1[Total_bill])</f>
        <v>2951.25</v>
      </c>
    </row>
    <row r="1335" spans="1:19" x14ac:dyDescent="0.3">
      <c r="A1335" s="2">
        <v>11334</v>
      </c>
      <c r="B1335" s="4">
        <v>46965</v>
      </c>
      <c r="C1335" t="s">
        <v>1473</v>
      </c>
      <c r="D1335" t="s">
        <v>18</v>
      </c>
      <c r="E1335" t="s">
        <v>19</v>
      </c>
      <c r="F1335" t="s">
        <v>172</v>
      </c>
      <c r="G1335">
        <v>3</v>
      </c>
      <c r="H1335" s="5">
        <v>4.5</v>
      </c>
      <c r="I1335" t="s">
        <v>89</v>
      </c>
      <c r="J1335" t="s">
        <v>261</v>
      </c>
      <c r="K1335" t="s">
        <v>261</v>
      </c>
      <c r="L1335" t="s">
        <v>2123</v>
      </c>
      <c r="M1335" s="5">
        <f t="shared" si="121"/>
        <v>13.5</v>
      </c>
      <c r="N1335" t="str">
        <f t="shared" si="122"/>
        <v>July</v>
      </c>
      <c r="O1335" t="str">
        <f t="shared" si="123"/>
        <v>Monday</v>
      </c>
      <c r="P1335">
        <f t="shared" si="120"/>
        <v>20</v>
      </c>
      <c r="Q1335" s="2">
        <f t="shared" si="124"/>
        <v>1</v>
      </c>
      <c r="R1335" s="2">
        <f t="shared" si="125"/>
        <v>7</v>
      </c>
      <c r="S1335">
        <f>SUMIF(Table1[product_category],"Bakery",Table1[Total_bill])</f>
        <v>2951.25</v>
      </c>
    </row>
    <row r="1336" spans="1:19" x14ac:dyDescent="0.3">
      <c r="A1336" s="2">
        <v>11335</v>
      </c>
      <c r="B1336" s="4">
        <v>46966</v>
      </c>
      <c r="C1336" t="s">
        <v>1474</v>
      </c>
      <c r="D1336" t="s">
        <v>25</v>
      </c>
      <c r="E1336" t="s">
        <v>26</v>
      </c>
      <c r="F1336" t="s">
        <v>174</v>
      </c>
      <c r="G1336">
        <v>3</v>
      </c>
      <c r="H1336" s="5">
        <v>2.75</v>
      </c>
      <c r="I1336" t="s">
        <v>32</v>
      </c>
      <c r="J1336" t="s">
        <v>226</v>
      </c>
      <c r="K1336" t="s">
        <v>273</v>
      </c>
      <c r="L1336" t="s">
        <v>2122</v>
      </c>
      <c r="M1336" s="5">
        <f t="shared" si="121"/>
        <v>8.25</v>
      </c>
      <c r="N1336" t="str">
        <f t="shared" si="122"/>
        <v>August</v>
      </c>
      <c r="O1336" t="str">
        <f t="shared" si="123"/>
        <v>Tuesday</v>
      </c>
      <c r="P1336">
        <f t="shared" si="120"/>
        <v>20</v>
      </c>
      <c r="Q1336" s="2">
        <f t="shared" si="124"/>
        <v>2</v>
      </c>
      <c r="R1336" s="2">
        <f t="shared" si="125"/>
        <v>8</v>
      </c>
      <c r="S1336">
        <f>SUMIF(Table1[product_category],"Bakery",Table1[Total_bill])</f>
        <v>2951.25</v>
      </c>
    </row>
    <row r="1337" spans="1:19" x14ac:dyDescent="0.3">
      <c r="A1337" s="2">
        <v>11336</v>
      </c>
      <c r="B1337" s="4">
        <v>46967</v>
      </c>
      <c r="C1337" t="s">
        <v>1475</v>
      </c>
      <c r="D1337" t="s">
        <v>18</v>
      </c>
      <c r="E1337" t="s">
        <v>19</v>
      </c>
      <c r="F1337" t="s">
        <v>176</v>
      </c>
      <c r="G1337">
        <v>3</v>
      </c>
      <c r="H1337" s="5">
        <v>3.5</v>
      </c>
      <c r="I1337" t="s">
        <v>32</v>
      </c>
      <c r="J1337" t="s">
        <v>226</v>
      </c>
      <c r="K1337" t="s">
        <v>227</v>
      </c>
      <c r="L1337" t="s">
        <v>2123</v>
      </c>
      <c r="M1337" s="5">
        <f t="shared" si="121"/>
        <v>10.5</v>
      </c>
      <c r="N1337" t="str">
        <f t="shared" si="122"/>
        <v>August</v>
      </c>
      <c r="O1337" t="str">
        <f t="shared" si="123"/>
        <v>Wednesday</v>
      </c>
      <c r="P1337">
        <f t="shared" si="120"/>
        <v>14</v>
      </c>
      <c r="Q1337" s="2">
        <f t="shared" si="124"/>
        <v>3</v>
      </c>
      <c r="R1337" s="2">
        <f t="shared" si="125"/>
        <v>8</v>
      </c>
      <c r="S1337">
        <f>SUMIF(Table1[product_category],"Bakery",Table1[Total_bill])</f>
        <v>2951.25</v>
      </c>
    </row>
    <row r="1338" spans="1:19" x14ac:dyDescent="0.3">
      <c r="A1338" s="2">
        <v>11337</v>
      </c>
      <c r="B1338" s="4">
        <v>46968</v>
      </c>
      <c r="C1338" t="s">
        <v>1476</v>
      </c>
      <c r="D1338" t="s">
        <v>40</v>
      </c>
      <c r="E1338" t="s">
        <v>41</v>
      </c>
      <c r="F1338" t="s">
        <v>178</v>
      </c>
      <c r="G1338">
        <v>4</v>
      </c>
      <c r="H1338" s="5">
        <v>3.5</v>
      </c>
      <c r="I1338" t="s">
        <v>21</v>
      </c>
      <c r="J1338" t="s">
        <v>51</v>
      </c>
      <c r="K1338" t="s">
        <v>52</v>
      </c>
      <c r="L1338" t="s">
        <v>2125</v>
      </c>
      <c r="M1338" s="5">
        <f t="shared" si="121"/>
        <v>14</v>
      </c>
      <c r="N1338" t="str">
        <f t="shared" si="122"/>
        <v>August</v>
      </c>
      <c r="O1338" t="str">
        <f t="shared" si="123"/>
        <v>Thursday</v>
      </c>
      <c r="P1338">
        <f t="shared" si="120"/>
        <v>8</v>
      </c>
      <c r="Q1338" s="2">
        <f t="shared" si="124"/>
        <v>4</v>
      </c>
      <c r="R1338" s="2">
        <f t="shared" si="125"/>
        <v>8</v>
      </c>
      <c r="S1338">
        <f>SUMIF(Table1[product_category],"Bakery",Table1[Total_bill])</f>
        <v>2951.25</v>
      </c>
    </row>
    <row r="1339" spans="1:19" x14ac:dyDescent="0.3">
      <c r="A1339" s="2">
        <v>11338</v>
      </c>
      <c r="B1339" s="4">
        <v>46969</v>
      </c>
      <c r="C1339" t="s">
        <v>1477</v>
      </c>
      <c r="D1339" t="s">
        <v>25</v>
      </c>
      <c r="E1339" t="s">
        <v>26</v>
      </c>
      <c r="F1339" t="s">
        <v>180</v>
      </c>
      <c r="G1339">
        <v>3</v>
      </c>
      <c r="H1339" s="5">
        <v>3</v>
      </c>
      <c r="I1339" t="s">
        <v>36</v>
      </c>
      <c r="J1339" t="s">
        <v>246</v>
      </c>
      <c r="K1339" t="s">
        <v>247</v>
      </c>
      <c r="L1339" t="s">
        <v>2124</v>
      </c>
      <c r="M1339" s="5">
        <f t="shared" si="121"/>
        <v>9</v>
      </c>
      <c r="N1339" t="str">
        <f t="shared" si="122"/>
        <v>August</v>
      </c>
      <c r="O1339" t="str">
        <f t="shared" si="123"/>
        <v>Friday</v>
      </c>
      <c r="P1339">
        <f t="shared" si="120"/>
        <v>14</v>
      </c>
      <c r="Q1339" s="2">
        <f t="shared" si="124"/>
        <v>5</v>
      </c>
      <c r="R1339" s="2">
        <f t="shared" si="125"/>
        <v>8</v>
      </c>
      <c r="S1339">
        <f>SUMIF(Table1[product_category],"Bakery",Table1[Total_bill])</f>
        <v>2951.25</v>
      </c>
    </row>
    <row r="1340" spans="1:19" x14ac:dyDescent="0.3">
      <c r="A1340" s="2">
        <v>11339</v>
      </c>
      <c r="B1340" s="4">
        <v>46970</v>
      </c>
      <c r="C1340" t="s">
        <v>1478</v>
      </c>
      <c r="D1340" t="s">
        <v>18</v>
      </c>
      <c r="E1340" t="s">
        <v>19</v>
      </c>
      <c r="F1340" t="s">
        <v>184</v>
      </c>
      <c r="G1340">
        <v>1</v>
      </c>
      <c r="H1340" s="5">
        <v>4.25</v>
      </c>
      <c r="I1340" t="s">
        <v>32</v>
      </c>
      <c r="J1340" t="s">
        <v>69</v>
      </c>
      <c r="K1340" t="s">
        <v>69</v>
      </c>
      <c r="L1340" t="s">
        <v>2124</v>
      </c>
      <c r="M1340" s="5">
        <f t="shared" si="121"/>
        <v>4.25</v>
      </c>
      <c r="N1340" t="str">
        <f t="shared" si="122"/>
        <v>August</v>
      </c>
      <c r="O1340" t="str">
        <f t="shared" si="123"/>
        <v>Saturday</v>
      </c>
      <c r="P1340">
        <f t="shared" si="120"/>
        <v>7</v>
      </c>
      <c r="Q1340" s="2">
        <f t="shared" si="124"/>
        <v>6</v>
      </c>
      <c r="R1340" s="2">
        <f t="shared" si="125"/>
        <v>8</v>
      </c>
      <c r="S1340">
        <f>SUMIF(Table1[product_category],"Bakery",Table1[Total_bill])</f>
        <v>2951.25</v>
      </c>
    </row>
    <row r="1341" spans="1:19" x14ac:dyDescent="0.3">
      <c r="A1341" s="2">
        <v>11340</v>
      </c>
      <c r="B1341" s="4">
        <v>46971</v>
      </c>
      <c r="C1341" t="s">
        <v>1479</v>
      </c>
      <c r="D1341" t="s">
        <v>18</v>
      </c>
      <c r="E1341" t="s">
        <v>19</v>
      </c>
      <c r="F1341" t="s">
        <v>186</v>
      </c>
      <c r="G1341">
        <v>1</v>
      </c>
      <c r="H1341" s="5">
        <v>3.25</v>
      </c>
      <c r="I1341" t="s">
        <v>21</v>
      </c>
      <c r="J1341" t="s">
        <v>81</v>
      </c>
      <c r="K1341" t="s">
        <v>82</v>
      </c>
      <c r="L1341" t="s">
        <v>2125</v>
      </c>
      <c r="M1341" s="5">
        <f t="shared" si="121"/>
        <v>3.25</v>
      </c>
      <c r="N1341" t="str">
        <f t="shared" si="122"/>
        <v>August</v>
      </c>
      <c r="O1341" t="str">
        <f t="shared" si="123"/>
        <v>Sunday</v>
      </c>
      <c r="P1341">
        <f t="shared" si="120"/>
        <v>6</v>
      </c>
      <c r="Q1341" s="2">
        <f t="shared" si="124"/>
        <v>7</v>
      </c>
      <c r="R1341" s="2">
        <f t="shared" si="125"/>
        <v>8</v>
      </c>
      <c r="S1341">
        <f>SUMIF(Table1[product_category],"Bakery",Table1[Total_bill])</f>
        <v>2951.25</v>
      </c>
    </row>
    <row r="1342" spans="1:19" x14ac:dyDescent="0.3">
      <c r="A1342" s="2">
        <v>11341</v>
      </c>
      <c r="B1342" s="4">
        <v>46972</v>
      </c>
      <c r="C1342" t="s">
        <v>1480</v>
      </c>
      <c r="D1342" t="s">
        <v>40</v>
      </c>
      <c r="E1342" t="s">
        <v>41</v>
      </c>
      <c r="F1342" t="s">
        <v>188</v>
      </c>
      <c r="G1342">
        <v>4</v>
      </c>
      <c r="H1342" s="5">
        <v>14</v>
      </c>
      <c r="I1342" t="s">
        <v>101</v>
      </c>
      <c r="J1342" t="s">
        <v>102</v>
      </c>
      <c r="K1342" t="s">
        <v>193</v>
      </c>
      <c r="L1342" t="s">
        <v>2125</v>
      </c>
      <c r="M1342" s="5">
        <f t="shared" si="121"/>
        <v>56</v>
      </c>
      <c r="N1342" t="str">
        <f t="shared" si="122"/>
        <v>August</v>
      </c>
      <c r="O1342" t="str">
        <f t="shared" si="123"/>
        <v>Monday</v>
      </c>
      <c r="P1342">
        <f t="shared" si="120"/>
        <v>8</v>
      </c>
      <c r="Q1342" s="2">
        <f t="shared" si="124"/>
        <v>1</v>
      </c>
      <c r="R1342" s="2">
        <f t="shared" si="125"/>
        <v>8</v>
      </c>
      <c r="S1342">
        <f>SUMIF(Table1[product_category],"Bakery",Table1[Total_bill])</f>
        <v>2951.25</v>
      </c>
    </row>
    <row r="1343" spans="1:19" x14ac:dyDescent="0.3">
      <c r="A1343" s="2">
        <v>11342</v>
      </c>
      <c r="B1343" s="4">
        <v>46973</v>
      </c>
      <c r="C1343" t="s">
        <v>1481</v>
      </c>
      <c r="D1343" t="s">
        <v>40</v>
      </c>
      <c r="E1343" t="s">
        <v>41</v>
      </c>
      <c r="F1343" t="s">
        <v>190</v>
      </c>
      <c r="G1343">
        <v>4</v>
      </c>
      <c r="H1343" s="5">
        <v>3</v>
      </c>
      <c r="I1343" t="s">
        <v>32</v>
      </c>
      <c r="J1343" t="s">
        <v>226</v>
      </c>
      <c r="K1343" t="s">
        <v>227</v>
      </c>
      <c r="L1343" t="s">
        <v>2124</v>
      </c>
      <c r="M1343" s="5">
        <f t="shared" si="121"/>
        <v>12</v>
      </c>
      <c r="N1343" t="str">
        <f t="shared" si="122"/>
        <v>August</v>
      </c>
      <c r="O1343" t="str">
        <f t="shared" si="123"/>
        <v>Tuesday</v>
      </c>
      <c r="P1343">
        <f t="shared" si="120"/>
        <v>11</v>
      </c>
      <c r="Q1343" s="2">
        <f t="shared" si="124"/>
        <v>2</v>
      </c>
      <c r="R1343" s="2">
        <f t="shared" si="125"/>
        <v>8</v>
      </c>
      <c r="S1343">
        <f>SUMIF(Table1[product_category],"Bakery",Table1[Total_bill])</f>
        <v>2951.25</v>
      </c>
    </row>
    <row r="1344" spans="1:19" x14ac:dyDescent="0.3">
      <c r="A1344" s="2">
        <v>11343</v>
      </c>
      <c r="B1344" s="4">
        <v>46974</v>
      </c>
      <c r="C1344" t="s">
        <v>1482</v>
      </c>
      <c r="D1344" t="s">
        <v>18</v>
      </c>
      <c r="E1344" t="s">
        <v>19</v>
      </c>
      <c r="F1344" t="s">
        <v>192</v>
      </c>
      <c r="G1344">
        <v>1</v>
      </c>
      <c r="H1344" s="5">
        <v>3.25</v>
      </c>
      <c r="I1344" t="s">
        <v>32</v>
      </c>
      <c r="J1344" t="s">
        <v>144</v>
      </c>
      <c r="K1344" t="s">
        <v>144</v>
      </c>
      <c r="L1344" t="s">
        <v>2124</v>
      </c>
      <c r="M1344" s="5">
        <f t="shared" si="121"/>
        <v>3.25</v>
      </c>
      <c r="N1344" t="str">
        <f t="shared" si="122"/>
        <v>August</v>
      </c>
      <c r="O1344" t="str">
        <f t="shared" si="123"/>
        <v>Wednesday</v>
      </c>
      <c r="P1344">
        <f t="shared" si="120"/>
        <v>17</v>
      </c>
      <c r="Q1344" s="2">
        <f t="shared" si="124"/>
        <v>3</v>
      </c>
      <c r="R1344" s="2">
        <f t="shared" si="125"/>
        <v>8</v>
      </c>
      <c r="S1344">
        <f>SUMIF(Table1[product_category],"Bakery",Table1[Total_bill])</f>
        <v>2951.25</v>
      </c>
    </row>
    <row r="1345" spans="1:19" x14ac:dyDescent="0.3">
      <c r="A1345" s="2">
        <v>11344</v>
      </c>
      <c r="B1345" s="4">
        <v>46975</v>
      </c>
      <c r="C1345" t="s">
        <v>1483</v>
      </c>
      <c r="D1345" t="s">
        <v>40</v>
      </c>
      <c r="E1345" t="s">
        <v>41</v>
      </c>
      <c r="F1345" t="s">
        <v>195</v>
      </c>
      <c r="G1345">
        <v>3</v>
      </c>
      <c r="H1345" s="5">
        <v>6</v>
      </c>
      <c r="I1345" t="s">
        <v>72</v>
      </c>
      <c r="J1345" t="s">
        <v>72</v>
      </c>
      <c r="K1345" t="s">
        <v>138</v>
      </c>
      <c r="L1345" t="s">
        <v>2125</v>
      </c>
      <c r="M1345" s="5">
        <f t="shared" si="121"/>
        <v>18</v>
      </c>
      <c r="N1345" t="str">
        <f t="shared" si="122"/>
        <v>August</v>
      </c>
      <c r="O1345" t="str">
        <f t="shared" si="123"/>
        <v>Thursday</v>
      </c>
      <c r="P1345">
        <f t="shared" si="120"/>
        <v>15</v>
      </c>
      <c r="Q1345" s="2">
        <f t="shared" si="124"/>
        <v>4</v>
      </c>
      <c r="R1345" s="2">
        <f t="shared" si="125"/>
        <v>8</v>
      </c>
      <c r="S1345">
        <f>SUMIF(Table1[product_category],"Bakery",Table1[Total_bill])</f>
        <v>2951.25</v>
      </c>
    </row>
    <row r="1346" spans="1:19" x14ac:dyDescent="0.3">
      <c r="A1346" s="2">
        <v>11345</v>
      </c>
      <c r="B1346" s="4">
        <v>46976</v>
      </c>
      <c r="C1346" t="s">
        <v>1484</v>
      </c>
      <c r="D1346" t="s">
        <v>40</v>
      </c>
      <c r="E1346" t="s">
        <v>41</v>
      </c>
      <c r="F1346" t="s">
        <v>197</v>
      </c>
      <c r="G1346">
        <v>2</v>
      </c>
      <c r="H1346" s="5">
        <v>13</v>
      </c>
      <c r="I1346" t="s">
        <v>98</v>
      </c>
      <c r="J1346" t="s">
        <v>98</v>
      </c>
      <c r="K1346" t="s">
        <v>95</v>
      </c>
      <c r="L1346" t="s">
        <v>2125</v>
      </c>
      <c r="M1346" s="5">
        <f t="shared" si="121"/>
        <v>26</v>
      </c>
      <c r="N1346" t="str">
        <f t="shared" si="122"/>
        <v>August</v>
      </c>
      <c r="O1346" t="str">
        <f t="shared" si="123"/>
        <v>Friday</v>
      </c>
      <c r="P1346">
        <f t="shared" ref="P1346:P1409" si="126">HOUR(TIMEVALUE(C1346))</f>
        <v>15</v>
      </c>
      <c r="Q1346" s="2">
        <f t="shared" si="124"/>
        <v>5</v>
      </c>
      <c r="R1346" s="2">
        <f t="shared" si="125"/>
        <v>8</v>
      </c>
      <c r="S1346">
        <f>SUMIF(Table1[product_category],"Bakery",Table1[Total_bill])</f>
        <v>2951.25</v>
      </c>
    </row>
    <row r="1347" spans="1:19" x14ac:dyDescent="0.3">
      <c r="A1347" s="2">
        <v>11346</v>
      </c>
      <c r="B1347" s="4">
        <v>46977</v>
      </c>
      <c r="C1347" t="s">
        <v>1485</v>
      </c>
      <c r="D1347" t="s">
        <v>25</v>
      </c>
      <c r="E1347" t="s">
        <v>26</v>
      </c>
      <c r="F1347" t="s">
        <v>199</v>
      </c>
      <c r="G1347">
        <v>2</v>
      </c>
      <c r="H1347" s="5">
        <v>9.5</v>
      </c>
      <c r="I1347" t="s">
        <v>28</v>
      </c>
      <c r="J1347" t="s">
        <v>28</v>
      </c>
      <c r="K1347" t="s">
        <v>29</v>
      </c>
      <c r="L1347" t="s">
        <v>2125</v>
      </c>
      <c r="M1347" s="5">
        <f t="shared" ref="M1347:M1410" si="127">G1347*H1347</f>
        <v>19</v>
      </c>
      <c r="N1347" t="str">
        <f t="shared" ref="N1347:N1410" si="128">TEXT(B1347,"mmmm")</f>
        <v>August</v>
      </c>
      <c r="O1347" t="str">
        <f t="shared" ref="O1347:O1410" si="129">TEXT(B1347,"dddd")</f>
        <v>Saturday</v>
      </c>
      <c r="P1347">
        <f t="shared" si="126"/>
        <v>10</v>
      </c>
      <c r="Q1347" s="2">
        <f t="shared" ref="Q1347:Q1410" si="130">WEEKDAY(B1347,2)</f>
        <v>6</v>
      </c>
      <c r="R1347" s="2">
        <f t="shared" ref="R1347:R1410" si="131">MONTH(B1347)</f>
        <v>8</v>
      </c>
      <c r="S1347">
        <f>SUMIF(Table1[product_category],"Bakery",Table1[Total_bill])</f>
        <v>2951.25</v>
      </c>
    </row>
    <row r="1348" spans="1:19" x14ac:dyDescent="0.3">
      <c r="A1348" s="2">
        <v>11347</v>
      </c>
      <c r="B1348" s="4">
        <v>46978</v>
      </c>
      <c r="C1348" t="s">
        <v>1486</v>
      </c>
      <c r="D1348" t="s">
        <v>40</v>
      </c>
      <c r="E1348" t="s">
        <v>41</v>
      </c>
      <c r="F1348" t="s">
        <v>201</v>
      </c>
      <c r="G1348">
        <v>1</v>
      </c>
      <c r="H1348" s="5">
        <v>4</v>
      </c>
      <c r="I1348" t="s">
        <v>89</v>
      </c>
      <c r="J1348" t="s">
        <v>90</v>
      </c>
      <c r="K1348" t="s">
        <v>91</v>
      </c>
      <c r="L1348" t="s">
        <v>2122</v>
      </c>
      <c r="M1348" s="5">
        <f t="shared" si="127"/>
        <v>4</v>
      </c>
      <c r="N1348" t="str">
        <f t="shared" si="128"/>
        <v>August</v>
      </c>
      <c r="O1348" t="str">
        <f t="shared" si="129"/>
        <v>Sunday</v>
      </c>
      <c r="P1348">
        <f t="shared" si="126"/>
        <v>9</v>
      </c>
      <c r="Q1348" s="2">
        <f t="shared" si="130"/>
        <v>7</v>
      </c>
      <c r="R1348" s="2">
        <f t="shared" si="131"/>
        <v>8</v>
      </c>
      <c r="S1348">
        <f>SUMIF(Table1[product_category],"Bakery",Table1[Total_bill])</f>
        <v>2951.25</v>
      </c>
    </row>
    <row r="1349" spans="1:19" x14ac:dyDescent="0.3">
      <c r="A1349" s="2">
        <v>11348</v>
      </c>
      <c r="B1349" s="4">
        <v>46979</v>
      </c>
      <c r="C1349" t="s">
        <v>1487</v>
      </c>
      <c r="D1349" t="s">
        <v>40</v>
      </c>
      <c r="E1349" t="s">
        <v>41</v>
      </c>
      <c r="F1349" t="s">
        <v>204</v>
      </c>
      <c r="G1349">
        <v>1</v>
      </c>
      <c r="H1349" s="5">
        <v>2.75</v>
      </c>
      <c r="I1349" t="s">
        <v>21</v>
      </c>
      <c r="J1349" t="s">
        <v>22</v>
      </c>
      <c r="K1349" t="s">
        <v>23</v>
      </c>
      <c r="L1349" t="s">
        <v>2125</v>
      </c>
      <c r="M1349" s="5">
        <f t="shared" si="127"/>
        <v>2.75</v>
      </c>
      <c r="N1349" t="str">
        <f t="shared" si="128"/>
        <v>August</v>
      </c>
      <c r="O1349" t="str">
        <f t="shared" si="129"/>
        <v>Monday</v>
      </c>
      <c r="P1349">
        <f t="shared" si="126"/>
        <v>10</v>
      </c>
      <c r="Q1349" s="2">
        <f t="shared" si="130"/>
        <v>1</v>
      </c>
      <c r="R1349" s="2">
        <f t="shared" si="131"/>
        <v>8</v>
      </c>
      <c r="S1349">
        <f>SUMIF(Table1[product_category],"Bakery",Table1[Total_bill])</f>
        <v>2951.25</v>
      </c>
    </row>
    <row r="1350" spans="1:19" x14ac:dyDescent="0.3">
      <c r="A1350" s="2">
        <v>11349</v>
      </c>
      <c r="B1350" s="4">
        <v>46980</v>
      </c>
      <c r="C1350" t="s">
        <v>1488</v>
      </c>
      <c r="D1350" t="s">
        <v>40</v>
      </c>
      <c r="E1350" t="s">
        <v>41</v>
      </c>
      <c r="F1350" t="s">
        <v>206</v>
      </c>
      <c r="G1350">
        <v>2</v>
      </c>
      <c r="H1350" s="5">
        <v>13</v>
      </c>
      <c r="I1350" t="s">
        <v>98</v>
      </c>
      <c r="J1350" t="s">
        <v>98</v>
      </c>
      <c r="K1350" t="s">
        <v>95</v>
      </c>
      <c r="L1350" t="s">
        <v>2125</v>
      </c>
      <c r="M1350" s="5">
        <f t="shared" si="127"/>
        <v>26</v>
      </c>
      <c r="N1350" t="str">
        <f t="shared" si="128"/>
        <v>August</v>
      </c>
      <c r="O1350" t="str">
        <f t="shared" si="129"/>
        <v>Tuesday</v>
      </c>
      <c r="P1350">
        <f t="shared" si="126"/>
        <v>20</v>
      </c>
      <c r="Q1350" s="2">
        <f t="shared" si="130"/>
        <v>2</v>
      </c>
      <c r="R1350" s="2">
        <f t="shared" si="131"/>
        <v>8</v>
      </c>
      <c r="S1350">
        <f>SUMIF(Table1[product_category],"Bakery",Table1[Total_bill])</f>
        <v>2951.25</v>
      </c>
    </row>
    <row r="1351" spans="1:19" x14ac:dyDescent="0.3">
      <c r="A1351" s="2">
        <v>11350</v>
      </c>
      <c r="B1351" s="4">
        <v>46981</v>
      </c>
      <c r="C1351" t="s">
        <v>1489</v>
      </c>
      <c r="D1351" t="s">
        <v>18</v>
      </c>
      <c r="E1351" t="s">
        <v>19</v>
      </c>
      <c r="F1351" t="s">
        <v>208</v>
      </c>
      <c r="G1351">
        <v>3</v>
      </c>
      <c r="H1351" s="5">
        <v>3.25</v>
      </c>
      <c r="I1351" t="s">
        <v>21</v>
      </c>
      <c r="J1351" t="s">
        <v>81</v>
      </c>
      <c r="K1351" t="s">
        <v>113</v>
      </c>
      <c r="L1351" t="s">
        <v>2125</v>
      </c>
      <c r="M1351" s="5">
        <f t="shared" si="127"/>
        <v>9.75</v>
      </c>
      <c r="N1351" t="str">
        <f t="shared" si="128"/>
        <v>August</v>
      </c>
      <c r="O1351" t="str">
        <f t="shared" si="129"/>
        <v>Wednesday</v>
      </c>
      <c r="P1351">
        <f t="shared" si="126"/>
        <v>6</v>
      </c>
      <c r="Q1351" s="2">
        <f t="shared" si="130"/>
        <v>3</v>
      </c>
      <c r="R1351" s="2">
        <f t="shared" si="131"/>
        <v>8</v>
      </c>
      <c r="S1351">
        <f>SUMIF(Table1[product_category],"Bakery",Table1[Total_bill])</f>
        <v>2951.25</v>
      </c>
    </row>
    <row r="1352" spans="1:19" x14ac:dyDescent="0.3">
      <c r="A1352" s="2">
        <v>11351</v>
      </c>
      <c r="B1352" s="4">
        <v>46982</v>
      </c>
      <c r="C1352" t="s">
        <v>1490</v>
      </c>
      <c r="D1352" t="s">
        <v>40</v>
      </c>
      <c r="E1352" t="s">
        <v>41</v>
      </c>
      <c r="F1352" t="s">
        <v>210</v>
      </c>
      <c r="G1352">
        <v>4</v>
      </c>
      <c r="H1352" s="5">
        <v>3</v>
      </c>
      <c r="I1352" t="s">
        <v>36</v>
      </c>
      <c r="J1352" t="s">
        <v>37</v>
      </c>
      <c r="K1352" t="s">
        <v>38</v>
      </c>
      <c r="L1352" t="s">
        <v>2124</v>
      </c>
      <c r="M1352" s="5">
        <f t="shared" si="127"/>
        <v>12</v>
      </c>
      <c r="N1352" t="str">
        <f t="shared" si="128"/>
        <v>August</v>
      </c>
      <c r="O1352" t="str">
        <f t="shared" si="129"/>
        <v>Thursday</v>
      </c>
      <c r="P1352">
        <f t="shared" si="126"/>
        <v>17</v>
      </c>
      <c r="Q1352" s="2">
        <f t="shared" si="130"/>
        <v>4</v>
      </c>
      <c r="R1352" s="2">
        <f t="shared" si="131"/>
        <v>8</v>
      </c>
      <c r="S1352">
        <f>SUMIF(Table1[product_category],"Bakery",Table1[Total_bill])</f>
        <v>2951.25</v>
      </c>
    </row>
    <row r="1353" spans="1:19" x14ac:dyDescent="0.3">
      <c r="A1353" s="2">
        <v>11352</v>
      </c>
      <c r="B1353" s="4">
        <v>46983</v>
      </c>
      <c r="C1353" t="s">
        <v>1491</v>
      </c>
      <c r="D1353" t="s">
        <v>40</v>
      </c>
      <c r="E1353" t="s">
        <v>41</v>
      </c>
      <c r="F1353" t="s">
        <v>214</v>
      </c>
      <c r="G1353">
        <v>2</v>
      </c>
      <c r="H1353" s="5">
        <v>8</v>
      </c>
      <c r="I1353" t="s">
        <v>28</v>
      </c>
      <c r="J1353" t="s">
        <v>28</v>
      </c>
      <c r="K1353" t="s">
        <v>76</v>
      </c>
      <c r="L1353" t="s">
        <v>2125</v>
      </c>
      <c r="M1353" s="5">
        <f t="shared" si="127"/>
        <v>16</v>
      </c>
      <c r="N1353" t="str">
        <f t="shared" si="128"/>
        <v>August</v>
      </c>
      <c r="O1353" t="str">
        <f t="shared" si="129"/>
        <v>Friday</v>
      </c>
      <c r="P1353">
        <f t="shared" si="126"/>
        <v>13</v>
      </c>
      <c r="Q1353" s="2">
        <f t="shared" si="130"/>
        <v>5</v>
      </c>
      <c r="R1353" s="2">
        <f t="shared" si="131"/>
        <v>8</v>
      </c>
      <c r="S1353">
        <f>SUMIF(Table1[product_category],"Bakery",Table1[Total_bill])</f>
        <v>2951.25</v>
      </c>
    </row>
    <row r="1354" spans="1:19" x14ac:dyDescent="0.3">
      <c r="A1354" s="2">
        <v>11353</v>
      </c>
      <c r="B1354" s="4">
        <v>46984</v>
      </c>
      <c r="C1354" t="s">
        <v>1492</v>
      </c>
      <c r="D1354" t="s">
        <v>18</v>
      </c>
      <c r="E1354" t="s">
        <v>19</v>
      </c>
      <c r="F1354" t="s">
        <v>217</v>
      </c>
      <c r="G1354">
        <v>4</v>
      </c>
      <c r="H1354" s="5">
        <v>4.25</v>
      </c>
      <c r="I1354" t="s">
        <v>36</v>
      </c>
      <c r="J1354" t="s">
        <v>211</v>
      </c>
      <c r="K1354" t="s">
        <v>239</v>
      </c>
      <c r="L1354" t="s">
        <v>2123</v>
      </c>
      <c r="M1354" s="5">
        <f t="shared" si="127"/>
        <v>17</v>
      </c>
      <c r="N1354" t="str">
        <f t="shared" si="128"/>
        <v>August</v>
      </c>
      <c r="O1354" t="str">
        <f t="shared" si="129"/>
        <v>Saturday</v>
      </c>
      <c r="P1354">
        <f t="shared" si="126"/>
        <v>11</v>
      </c>
      <c r="Q1354" s="2">
        <f t="shared" si="130"/>
        <v>6</v>
      </c>
      <c r="R1354" s="2">
        <f t="shared" si="131"/>
        <v>8</v>
      </c>
      <c r="S1354">
        <f>SUMIF(Table1[product_category],"Bakery",Table1[Total_bill])</f>
        <v>2951.25</v>
      </c>
    </row>
    <row r="1355" spans="1:19" x14ac:dyDescent="0.3">
      <c r="A1355" s="2">
        <v>11354</v>
      </c>
      <c r="B1355" s="4">
        <v>46985</v>
      </c>
      <c r="C1355" t="s">
        <v>1493</v>
      </c>
      <c r="D1355" t="s">
        <v>18</v>
      </c>
      <c r="E1355" t="s">
        <v>19</v>
      </c>
      <c r="F1355" t="s">
        <v>219</v>
      </c>
      <c r="G1355">
        <v>3</v>
      </c>
      <c r="H1355" s="5">
        <v>5.5</v>
      </c>
      <c r="I1355" t="s">
        <v>72</v>
      </c>
      <c r="J1355" t="s">
        <v>72</v>
      </c>
      <c r="K1355" t="s">
        <v>73</v>
      </c>
      <c r="L1355" t="s">
        <v>2125</v>
      </c>
      <c r="M1355" s="5">
        <f t="shared" si="127"/>
        <v>16.5</v>
      </c>
      <c r="N1355" t="str">
        <f t="shared" si="128"/>
        <v>August</v>
      </c>
      <c r="O1355" t="str">
        <f t="shared" si="129"/>
        <v>Sunday</v>
      </c>
      <c r="P1355">
        <f t="shared" si="126"/>
        <v>15</v>
      </c>
      <c r="Q1355" s="2">
        <f t="shared" si="130"/>
        <v>7</v>
      </c>
      <c r="R1355" s="2">
        <f t="shared" si="131"/>
        <v>8</v>
      </c>
      <c r="S1355">
        <f>SUMIF(Table1[product_category],"Bakery",Table1[Total_bill])</f>
        <v>2951.25</v>
      </c>
    </row>
    <row r="1356" spans="1:19" x14ac:dyDescent="0.3">
      <c r="A1356" s="2">
        <v>11355</v>
      </c>
      <c r="B1356" s="4">
        <v>46986</v>
      </c>
      <c r="C1356" t="s">
        <v>1494</v>
      </c>
      <c r="D1356" t="s">
        <v>18</v>
      </c>
      <c r="E1356" t="s">
        <v>19</v>
      </c>
      <c r="F1356" t="s">
        <v>221</v>
      </c>
      <c r="G1356">
        <v>1</v>
      </c>
      <c r="H1356" s="5">
        <v>13</v>
      </c>
      <c r="I1356" t="s">
        <v>98</v>
      </c>
      <c r="J1356" t="s">
        <v>98</v>
      </c>
      <c r="K1356" t="s">
        <v>95</v>
      </c>
      <c r="L1356" t="s">
        <v>2125</v>
      </c>
      <c r="M1356" s="5">
        <f t="shared" si="127"/>
        <v>13</v>
      </c>
      <c r="N1356" t="str">
        <f t="shared" si="128"/>
        <v>August</v>
      </c>
      <c r="O1356" t="str">
        <f t="shared" si="129"/>
        <v>Monday</v>
      </c>
      <c r="P1356">
        <f t="shared" si="126"/>
        <v>11</v>
      </c>
      <c r="Q1356" s="2">
        <f t="shared" si="130"/>
        <v>1</v>
      </c>
      <c r="R1356" s="2">
        <f t="shared" si="131"/>
        <v>8</v>
      </c>
      <c r="S1356">
        <f>SUMIF(Table1[product_category],"Bakery",Table1[Total_bill])</f>
        <v>2951.25</v>
      </c>
    </row>
    <row r="1357" spans="1:19" x14ac:dyDescent="0.3">
      <c r="A1357" s="2">
        <v>11356</v>
      </c>
      <c r="B1357" s="4">
        <v>46987</v>
      </c>
      <c r="C1357" t="s">
        <v>1495</v>
      </c>
      <c r="D1357" t="s">
        <v>40</v>
      </c>
      <c r="E1357" t="s">
        <v>41</v>
      </c>
      <c r="F1357" t="s">
        <v>223</v>
      </c>
      <c r="G1357">
        <v>2</v>
      </c>
      <c r="H1357" s="5">
        <v>4.25</v>
      </c>
      <c r="I1357" t="s">
        <v>32</v>
      </c>
      <c r="J1357" t="s">
        <v>202</v>
      </c>
      <c r="K1357" t="s">
        <v>202</v>
      </c>
      <c r="L1357" t="s">
        <v>2124</v>
      </c>
      <c r="M1357" s="5">
        <f t="shared" si="127"/>
        <v>8.5</v>
      </c>
      <c r="N1357" t="str">
        <f t="shared" si="128"/>
        <v>August</v>
      </c>
      <c r="O1357" t="str">
        <f t="shared" si="129"/>
        <v>Tuesday</v>
      </c>
      <c r="P1357">
        <f t="shared" si="126"/>
        <v>17</v>
      </c>
      <c r="Q1357" s="2">
        <f t="shared" si="130"/>
        <v>2</v>
      </c>
      <c r="R1357" s="2">
        <f t="shared" si="131"/>
        <v>8</v>
      </c>
      <c r="S1357">
        <f>SUMIF(Table1[product_category],"Bakery",Table1[Total_bill])</f>
        <v>2951.25</v>
      </c>
    </row>
    <row r="1358" spans="1:19" x14ac:dyDescent="0.3">
      <c r="A1358" s="2">
        <v>11357</v>
      </c>
      <c r="B1358" s="4">
        <v>46988</v>
      </c>
      <c r="C1358" t="s">
        <v>1496</v>
      </c>
      <c r="D1358" t="s">
        <v>40</v>
      </c>
      <c r="E1358" t="s">
        <v>41</v>
      </c>
      <c r="F1358" t="s">
        <v>225</v>
      </c>
      <c r="G1358">
        <v>3</v>
      </c>
      <c r="H1358" s="5">
        <v>11</v>
      </c>
      <c r="I1358" t="s">
        <v>98</v>
      </c>
      <c r="J1358" t="s">
        <v>98</v>
      </c>
      <c r="K1358" t="s">
        <v>215</v>
      </c>
      <c r="L1358" t="s">
        <v>2125</v>
      </c>
      <c r="M1358" s="5">
        <f t="shared" si="127"/>
        <v>33</v>
      </c>
      <c r="N1358" t="str">
        <f t="shared" si="128"/>
        <v>August</v>
      </c>
      <c r="O1358" t="str">
        <f t="shared" si="129"/>
        <v>Wednesday</v>
      </c>
      <c r="P1358">
        <f t="shared" si="126"/>
        <v>18</v>
      </c>
      <c r="Q1358" s="2">
        <f t="shared" si="130"/>
        <v>3</v>
      </c>
      <c r="R1358" s="2">
        <f t="shared" si="131"/>
        <v>8</v>
      </c>
      <c r="S1358">
        <f>SUMIF(Table1[product_category],"Bakery",Table1[Total_bill])</f>
        <v>2951.25</v>
      </c>
    </row>
    <row r="1359" spans="1:19" x14ac:dyDescent="0.3">
      <c r="A1359" s="2">
        <v>11358</v>
      </c>
      <c r="B1359" s="4">
        <v>46989</v>
      </c>
      <c r="C1359" t="s">
        <v>1497</v>
      </c>
      <c r="D1359" t="s">
        <v>40</v>
      </c>
      <c r="E1359" t="s">
        <v>41</v>
      </c>
      <c r="F1359" t="s">
        <v>229</v>
      </c>
      <c r="G1359">
        <v>3</v>
      </c>
      <c r="H1359" s="5">
        <v>2.75</v>
      </c>
      <c r="I1359" t="s">
        <v>21</v>
      </c>
      <c r="J1359" t="s">
        <v>22</v>
      </c>
      <c r="K1359" t="s">
        <v>23</v>
      </c>
      <c r="L1359" t="s">
        <v>2125</v>
      </c>
      <c r="M1359" s="5">
        <f t="shared" si="127"/>
        <v>8.25</v>
      </c>
      <c r="N1359" t="str">
        <f t="shared" si="128"/>
        <v>August</v>
      </c>
      <c r="O1359" t="str">
        <f t="shared" si="129"/>
        <v>Thursday</v>
      </c>
      <c r="P1359">
        <f t="shared" si="126"/>
        <v>10</v>
      </c>
      <c r="Q1359" s="2">
        <f t="shared" si="130"/>
        <v>4</v>
      </c>
      <c r="R1359" s="2">
        <f t="shared" si="131"/>
        <v>8</v>
      </c>
      <c r="S1359">
        <f>SUMIF(Table1[product_category],"Bakery",Table1[Total_bill])</f>
        <v>2951.25</v>
      </c>
    </row>
    <row r="1360" spans="1:19" x14ac:dyDescent="0.3">
      <c r="A1360" s="2">
        <v>11359</v>
      </c>
      <c r="B1360" s="4">
        <v>46990</v>
      </c>
      <c r="C1360" t="s">
        <v>1498</v>
      </c>
      <c r="D1360" t="s">
        <v>18</v>
      </c>
      <c r="E1360" t="s">
        <v>19</v>
      </c>
      <c r="F1360" t="s">
        <v>231</v>
      </c>
      <c r="G1360">
        <v>2</v>
      </c>
      <c r="H1360" s="5">
        <v>3.5</v>
      </c>
      <c r="I1360" t="s">
        <v>36</v>
      </c>
      <c r="J1360" t="s">
        <v>246</v>
      </c>
      <c r="K1360" t="s">
        <v>247</v>
      </c>
      <c r="L1360" t="s">
        <v>2123</v>
      </c>
      <c r="M1360" s="5">
        <f t="shared" si="127"/>
        <v>7</v>
      </c>
      <c r="N1360" t="str">
        <f t="shared" si="128"/>
        <v>August</v>
      </c>
      <c r="O1360" t="str">
        <f t="shared" si="129"/>
        <v>Friday</v>
      </c>
      <c r="P1360">
        <f t="shared" si="126"/>
        <v>9</v>
      </c>
      <c r="Q1360" s="2">
        <f t="shared" si="130"/>
        <v>5</v>
      </c>
      <c r="R1360" s="2">
        <f t="shared" si="131"/>
        <v>8</v>
      </c>
      <c r="S1360">
        <f>SUMIF(Table1[product_category],"Bakery",Table1[Total_bill])</f>
        <v>2951.25</v>
      </c>
    </row>
    <row r="1361" spans="1:19" x14ac:dyDescent="0.3">
      <c r="A1361" s="2">
        <v>11360</v>
      </c>
      <c r="B1361" s="4">
        <v>46991</v>
      </c>
      <c r="C1361" t="s">
        <v>1499</v>
      </c>
      <c r="D1361" t="s">
        <v>25</v>
      </c>
      <c r="E1361" t="s">
        <v>26</v>
      </c>
      <c r="F1361" t="s">
        <v>233</v>
      </c>
      <c r="G1361">
        <v>4</v>
      </c>
      <c r="H1361" s="5">
        <v>3.5</v>
      </c>
      <c r="I1361" t="s">
        <v>36</v>
      </c>
      <c r="J1361" t="s">
        <v>246</v>
      </c>
      <c r="K1361" t="s">
        <v>247</v>
      </c>
      <c r="L1361" t="s">
        <v>2123</v>
      </c>
      <c r="M1361" s="5">
        <f t="shared" si="127"/>
        <v>14</v>
      </c>
      <c r="N1361" t="str">
        <f t="shared" si="128"/>
        <v>August</v>
      </c>
      <c r="O1361" t="str">
        <f t="shared" si="129"/>
        <v>Saturday</v>
      </c>
      <c r="P1361">
        <f t="shared" si="126"/>
        <v>13</v>
      </c>
      <c r="Q1361" s="2">
        <f t="shared" si="130"/>
        <v>6</v>
      </c>
      <c r="R1361" s="2">
        <f t="shared" si="131"/>
        <v>8</v>
      </c>
      <c r="S1361">
        <f>SUMIF(Table1[product_category],"Bakery",Table1[Total_bill])</f>
        <v>2951.25</v>
      </c>
    </row>
    <row r="1362" spans="1:19" x14ac:dyDescent="0.3">
      <c r="A1362" s="2">
        <v>11361</v>
      </c>
      <c r="B1362" s="4">
        <v>46992</v>
      </c>
      <c r="C1362" t="s">
        <v>1500</v>
      </c>
      <c r="D1362" t="s">
        <v>40</v>
      </c>
      <c r="E1362" t="s">
        <v>41</v>
      </c>
      <c r="F1362" t="s">
        <v>20</v>
      </c>
      <c r="G1362">
        <v>2</v>
      </c>
      <c r="H1362" s="5">
        <v>2.75</v>
      </c>
      <c r="I1362" t="s">
        <v>32</v>
      </c>
      <c r="J1362" t="s">
        <v>226</v>
      </c>
      <c r="K1362" t="s">
        <v>273</v>
      </c>
      <c r="L1362" t="s">
        <v>2122</v>
      </c>
      <c r="M1362" s="5">
        <f t="shared" si="127"/>
        <v>5.5</v>
      </c>
      <c r="N1362" t="str">
        <f t="shared" si="128"/>
        <v>August</v>
      </c>
      <c r="O1362" t="str">
        <f t="shared" si="129"/>
        <v>Sunday</v>
      </c>
      <c r="P1362">
        <f t="shared" si="126"/>
        <v>18</v>
      </c>
      <c r="Q1362" s="2">
        <f t="shared" si="130"/>
        <v>7</v>
      </c>
      <c r="R1362" s="2">
        <f t="shared" si="131"/>
        <v>8</v>
      </c>
      <c r="S1362">
        <f>SUMIF(Table1[product_category],"Bakery",Table1[Total_bill])</f>
        <v>2951.25</v>
      </c>
    </row>
    <row r="1363" spans="1:19" x14ac:dyDescent="0.3">
      <c r="A1363" s="2">
        <v>11362</v>
      </c>
      <c r="B1363" s="4">
        <v>46993</v>
      </c>
      <c r="C1363" t="s">
        <v>1501</v>
      </c>
      <c r="D1363" t="s">
        <v>40</v>
      </c>
      <c r="E1363" t="s">
        <v>41</v>
      </c>
      <c r="F1363" t="s">
        <v>27</v>
      </c>
      <c r="G1363">
        <v>2</v>
      </c>
      <c r="H1363" s="5">
        <v>2.75</v>
      </c>
      <c r="I1363" t="s">
        <v>21</v>
      </c>
      <c r="J1363" t="s">
        <v>22</v>
      </c>
      <c r="K1363" t="s">
        <v>23</v>
      </c>
      <c r="L1363" t="s">
        <v>2125</v>
      </c>
      <c r="M1363" s="5">
        <f t="shared" si="127"/>
        <v>5.5</v>
      </c>
      <c r="N1363" t="str">
        <f t="shared" si="128"/>
        <v>August</v>
      </c>
      <c r="O1363" t="str">
        <f t="shared" si="129"/>
        <v>Monday</v>
      </c>
      <c r="P1363">
        <f t="shared" si="126"/>
        <v>8</v>
      </c>
      <c r="Q1363" s="2">
        <f t="shared" si="130"/>
        <v>1</v>
      </c>
      <c r="R1363" s="2">
        <f t="shared" si="131"/>
        <v>8</v>
      </c>
      <c r="S1363">
        <f>SUMIF(Table1[product_category],"Bakery",Table1[Total_bill])</f>
        <v>2951.25</v>
      </c>
    </row>
    <row r="1364" spans="1:19" x14ac:dyDescent="0.3">
      <c r="A1364" s="2">
        <v>11363</v>
      </c>
      <c r="B1364" s="4">
        <v>46994</v>
      </c>
      <c r="C1364" t="s">
        <v>1502</v>
      </c>
      <c r="D1364" t="s">
        <v>18</v>
      </c>
      <c r="E1364" t="s">
        <v>19</v>
      </c>
      <c r="F1364" t="s">
        <v>31</v>
      </c>
      <c r="G1364">
        <v>1</v>
      </c>
      <c r="H1364" s="5">
        <v>6</v>
      </c>
      <c r="I1364" t="s">
        <v>72</v>
      </c>
      <c r="J1364" t="s">
        <v>72</v>
      </c>
      <c r="K1364" t="s">
        <v>138</v>
      </c>
      <c r="L1364" t="s">
        <v>2125</v>
      </c>
      <c r="M1364" s="5">
        <f t="shared" si="127"/>
        <v>6</v>
      </c>
      <c r="N1364" t="str">
        <f t="shared" si="128"/>
        <v>August</v>
      </c>
      <c r="O1364" t="str">
        <f t="shared" si="129"/>
        <v>Tuesday</v>
      </c>
      <c r="P1364">
        <f t="shared" si="126"/>
        <v>13</v>
      </c>
      <c r="Q1364" s="2">
        <f t="shared" si="130"/>
        <v>2</v>
      </c>
      <c r="R1364" s="2">
        <f t="shared" si="131"/>
        <v>8</v>
      </c>
      <c r="S1364">
        <f>SUMIF(Table1[product_category],"Bakery",Table1[Total_bill])</f>
        <v>2951.25</v>
      </c>
    </row>
    <row r="1365" spans="1:19" x14ac:dyDescent="0.3">
      <c r="A1365" s="2">
        <v>11364</v>
      </c>
      <c r="B1365" s="4">
        <v>46995</v>
      </c>
      <c r="C1365" t="s">
        <v>1503</v>
      </c>
      <c r="D1365" t="s">
        <v>25</v>
      </c>
      <c r="E1365" t="s">
        <v>26</v>
      </c>
      <c r="F1365" t="s">
        <v>35</v>
      </c>
      <c r="G1365">
        <v>3</v>
      </c>
      <c r="H1365" s="5">
        <v>3.25</v>
      </c>
      <c r="I1365" t="s">
        <v>21</v>
      </c>
      <c r="J1365" t="s">
        <v>81</v>
      </c>
      <c r="K1365" t="s">
        <v>82</v>
      </c>
      <c r="L1365" t="s">
        <v>2125</v>
      </c>
      <c r="M1365" s="5">
        <f t="shared" si="127"/>
        <v>9.75</v>
      </c>
      <c r="N1365" t="str">
        <f t="shared" si="128"/>
        <v>August</v>
      </c>
      <c r="O1365" t="str">
        <f t="shared" si="129"/>
        <v>Wednesday</v>
      </c>
      <c r="P1365">
        <f t="shared" si="126"/>
        <v>13</v>
      </c>
      <c r="Q1365" s="2">
        <f t="shared" si="130"/>
        <v>3</v>
      </c>
      <c r="R1365" s="2">
        <f t="shared" si="131"/>
        <v>8</v>
      </c>
      <c r="S1365">
        <f>SUMIF(Table1[product_category],"Bakery",Table1[Total_bill])</f>
        <v>2951.25</v>
      </c>
    </row>
    <row r="1366" spans="1:19" x14ac:dyDescent="0.3">
      <c r="A1366" s="2">
        <v>11365</v>
      </c>
      <c r="B1366" s="4">
        <v>46996</v>
      </c>
      <c r="C1366" t="s">
        <v>1504</v>
      </c>
      <c r="D1366" t="s">
        <v>40</v>
      </c>
      <c r="E1366" t="s">
        <v>41</v>
      </c>
      <c r="F1366" t="s">
        <v>42</v>
      </c>
      <c r="G1366">
        <v>2</v>
      </c>
      <c r="H1366" s="5">
        <v>4</v>
      </c>
      <c r="I1366" t="s">
        <v>32</v>
      </c>
      <c r="J1366" t="s">
        <v>33</v>
      </c>
      <c r="K1366" t="s">
        <v>33</v>
      </c>
      <c r="L1366" t="s">
        <v>2124</v>
      </c>
      <c r="M1366" s="5">
        <f t="shared" si="127"/>
        <v>8</v>
      </c>
      <c r="N1366" t="str">
        <f t="shared" si="128"/>
        <v>August</v>
      </c>
      <c r="O1366" t="str">
        <f t="shared" si="129"/>
        <v>Thursday</v>
      </c>
      <c r="P1366">
        <f t="shared" si="126"/>
        <v>15</v>
      </c>
      <c r="Q1366" s="2">
        <f t="shared" si="130"/>
        <v>4</v>
      </c>
      <c r="R1366" s="2">
        <f t="shared" si="131"/>
        <v>8</v>
      </c>
      <c r="S1366">
        <f>SUMIF(Table1[product_category],"Bakery",Table1[Total_bill])</f>
        <v>2951.25</v>
      </c>
    </row>
    <row r="1367" spans="1:19" x14ac:dyDescent="0.3">
      <c r="A1367" s="2">
        <v>11366</v>
      </c>
      <c r="B1367" s="4">
        <v>46997</v>
      </c>
      <c r="C1367" t="s">
        <v>1505</v>
      </c>
      <c r="D1367" t="s">
        <v>18</v>
      </c>
      <c r="E1367" t="s">
        <v>19</v>
      </c>
      <c r="F1367" t="s">
        <v>46</v>
      </c>
      <c r="G1367">
        <v>1</v>
      </c>
      <c r="H1367" s="5">
        <v>14</v>
      </c>
      <c r="I1367" t="s">
        <v>101</v>
      </c>
      <c r="J1367" t="s">
        <v>102</v>
      </c>
      <c r="K1367" t="s">
        <v>193</v>
      </c>
      <c r="L1367" t="s">
        <v>2125</v>
      </c>
      <c r="M1367" s="5">
        <f t="shared" si="127"/>
        <v>14</v>
      </c>
      <c r="N1367" t="str">
        <f t="shared" si="128"/>
        <v>September</v>
      </c>
      <c r="O1367" t="str">
        <f t="shared" si="129"/>
        <v>Friday</v>
      </c>
      <c r="P1367">
        <f t="shared" si="126"/>
        <v>7</v>
      </c>
      <c r="Q1367" s="2">
        <f t="shared" si="130"/>
        <v>5</v>
      </c>
      <c r="R1367" s="2">
        <f t="shared" si="131"/>
        <v>9</v>
      </c>
      <c r="S1367">
        <f>SUMIF(Table1[product_category],"Bakery",Table1[Total_bill])</f>
        <v>2951.25</v>
      </c>
    </row>
    <row r="1368" spans="1:19" x14ac:dyDescent="0.3">
      <c r="A1368" s="2">
        <v>11367</v>
      </c>
      <c r="B1368" s="4">
        <v>46998</v>
      </c>
      <c r="C1368" t="s">
        <v>1506</v>
      </c>
      <c r="D1368" t="s">
        <v>18</v>
      </c>
      <c r="E1368" t="s">
        <v>19</v>
      </c>
      <c r="F1368" t="s">
        <v>50</v>
      </c>
      <c r="G1368">
        <v>3</v>
      </c>
      <c r="H1368" s="5">
        <v>24</v>
      </c>
      <c r="I1368" t="s">
        <v>101</v>
      </c>
      <c r="J1368" t="s">
        <v>102</v>
      </c>
      <c r="K1368" t="s">
        <v>103</v>
      </c>
      <c r="L1368" t="s">
        <v>2125</v>
      </c>
      <c r="M1368" s="5">
        <f t="shared" si="127"/>
        <v>72</v>
      </c>
      <c r="N1368" t="str">
        <f t="shared" si="128"/>
        <v>September</v>
      </c>
      <c r="O1368" t="str">
        <f t="shared" si="129"/>
        <v>Saturday</v>
      </c>
      <c r="P1368">
        <f t="shared" si="126"/>
        <v>15</v>
      </c>
      <c r="Q1368" s="2">
        <f t="shared" si="130"/>
        <v>6</v>
      </c>
      <c r="R1368" s="2">
        <f t="shared" si="131"/>
        <v>9</v>
      </c>
      <c r="S1368">
        <f>SUMIF(Table1[product_category],"Bakery",Table1[Total_bill])</f>
        <v>2951.25</v>
      </c>
    </row>
    <row r="1369" spans="1:19" x14ac:dyDescent="0.3">
      <c r="A1369" s="2">
        <v>11368</v>
      </c>
      <c r="B1369" s="4">
        <v>46999</v>
      </c>
      <c r="C1369" t="s">
        <v>1507</v>
      </c>
      <c r="D1369" t="s">
        <v>25</v>
      </c>
      <c r="E1369" t="s">
        <v>26</v>
      </c>
      <c r="F1369" t="s">
        <v>54</v>
      </c>
      <c r="G1369">
        <v>3</v>
      </c>
      <c r="H1369" s="5">
        <v>3.5</v>
      </c>
      <c r="I1369" t="s">
        <v>32</v>
      </c>
      <c r="J1369" t="s">
        <v>55</v>
      </c>
      <c r="K1369" t="s">
        <v>55</v>
      </c>
      <c r="L1369" t="s">
        <v>2124</v>
      </c>
      <c r="M1369" s="5">
        <f t="shared" si="127"/>
        <v>10.5</v>
      </c>
      <c r="N1369" t="str">
        <f t="shared" si="128"/>
        <v>September</v>
      </c>
      <c r="O1369" t="str">
        <f t="shared" si="129"/>
        <v>Sunday</v>
      </c>
      <c r="P1369">
        <f t="shared" si="126"/>
        <v>18</v>
      </c>
      <c r="Q1369" s="2">
        <f t="shared" si="130"/>
        <v>7</v>
      </c>
      <c r="R1369" s="2">
        <f t="shared" si="131"/>
        <v>9</v>
      </c>
      <c r="S1369">
        <f>SUMIF(Table1[product_category],"Bakery",Table1[Total_bill])</f>
        <v>2951.25</v>
      </c>
    </row>
    <row r="1370" spans="1:19" x14ac:dyDescent="0.3">
      <c r="A1370" s="2">
        <v>11369</v>
      </c>
      <c r="B1370" s="4">
        <v>47000</v>
      </c>
      <c r="C1370" t="s">
        <v>1508</v>
      </c>
      <c r="D1370" t="s">
        <v>18</v>
      </c>
      <c r="E1370" t="s">
        <v>19</v>
      </c>
      <c r="F1370" t="s">
        <v>57</v>
      </c>
      <c r="G1370">
        <v>2</v>
      </c>
      <c r="H1370" s="5">
        <v>3.5</v>
      </c>
      <c r="I1370" t="s">
        <v>36</v>
      </c>
      <c r="J1370" t="s">
        <v>246</v>
      </c>
      <c r="K1370" t="s">
        <v>247</v>
      </c>
      <c r="L1370" t="s">
        <v>2123</v>
      </c>
      <c r="M1370" s="5">
        <f t="shared" si="127"/>
        <v>7</v>
      </c>
      <c r="N1370" t="str">
        <f t="shared" si="128"/>
        <v>September</v>
      </c>
      <c r="O1370" t="str">
        <f t="shared" si="129"/>
        <v>Monday</v>
      </c>
      <c r="P1370">
        <f t="shared" si="126"/>
        <v>8</v>
      </c>
      <c r="Q1370" s="2">
        <f t="shared" si="130"/>
        <v>1</v>
      </c>
      <c r="R1370" s="2">
        <f t="shared" si="131"/>
        <v>9</v>
      </c>
      <c r="S1370">
        <f>SUMIF(Table1[product_category],"Bakery",Table1[Total_bill])</f>
        <v>2951.25</v>
      </c>
    </row>
    <row r="1371" spans="1:19" x14ac:dyDescent="0.3">
      <c r="A1371" s="2">
        <v>11370</v>
      </c>
      <c r="B1371" s="4">
        <v>47001</v>
      </c>
      <c r="C1371" t="s">
        <v>1509</v>
      </c>
      <c r="D1371" t="s">
        <v>25</v>
      </c>
      <c r="E1371" t="s">
        <v>26</v>
      </c>
      <c r="F1371" t="s">
        <v>61</v>
      </c>
      <c r="G1371">
        <v>4</v>
      </c>
      <c r="H1371" s="5">
        <v>2.75</v>
      </c>
      <c r="I1371" t="s">
        <v>21</v>
      </c>
      <c r="J1371" t="s">
        <v>22</v>
      </c>
      <c r="K1371" t="s">
        <v>23</v>
      </c>
      <c r="L1371" t="s">
        <v>2125</v>
      </c>
      <c r="M1371" s="5">
        <f t="shared" si="127"/>
        <v>11</v>
      </c>
      <c r="N1371" t="str">
        <f t="shared" si="128"/>
        <v>September</v>
      </c>
      <c r="O1371" t="str">
        <f t="shared" si="129"/>
        <v>Tuesday</v>
      </c>
      <c r="P1371">
        <f t="shared" si="126"/>
        <v>8</v>
      </c>
      <c r="Q1371" s="2">
        <f t="shared" si="130"/>
        <v>2</v>
      </c>
      <c r="R1371" s="2">
        <f t="shared" si="131"/>
        <v>9</v>
      </c>
      <c r="S1371">
        <f>SUMIF(Table1[product_category],"Bakery",Table1[Total_bill])</f>
        <v>2951.25</v>
      </c>
    </row>
    <row r="1372" spans="1:19" x14ac:dyDescent="0.3">
      <c r="A1372" s="2">
        <v>11371</v>
      </c>
      <c r="B1372" s="4">
        <v>47002</v>
      </c>
      <c r="C1372" t="s">
        <v>1510</v>
      </c>
      <c r="D1372" t="s">
        <v>18</v>
      </c>
      <c r="E1372" t="s">
        <v>19</v>
      </c>
      <c r="F1372" t="s">
        <v>64</v>
      </c>
      <c r="G1372">
        <v>3</v>
      </c>
      <c r="H1372" s="5">
        <v>4</v>
      </c>
      <c r="I1372" t="s">
        <v>32</v>
      </c>
      <c r="J1372" t="s">
        <v>94</v>
      </c>
      <c r="K1372" t="s">
        <v>95</v>
      </c>
      <c r="L1372" t="s">
        <v>2124</v>
      </c>
      <c r="M1372" s="5">
        <f t="shared" si="127"/>
        <v>12</v>
      </c>
      <c r="N1372" t="str">
        <f t="shared" si="128"/>
        <v>September</v>
      </c>
      <c r="O1372" t="str">
        <f t="shared" si="129"/>
        <v>Wednesday</v>
      </c>
      <c r="P1372">
        <f t="shared" si="126"/>
        <v>20</v>
      </c>
      <c r="Q1372" s="2">
        <f t="shared" si="130"/>
        <v>3</v>
      </c>
      <c r="R1372" s="2">
        <f t="shared" si="131"/>
        <v>9</v>
      </c>
      <c r="S1372">
        <f>SUMIF(Table1[product_category],"Bakery",Table1[Total_bill])</f>
        <v>2951.25</v>
      </c>
    </row>
    <row r="1373" spans="1:19" x14ac:dyDescent="0.3">
      <c r="A1373" s="2">
        <v>11372</v>
      </c>
      <c r="B1373" s="4">
        <v>47003</v>
      </c>
      <c r="C1373" t="s">
        <v>1511</v>
      </c>
      <c r="D1373" t="s">
        <v>18</v>
      </c>
      <c r="E1373" t="s">
        <v>19</v>
      </c>
      <c r="F1373" t="s">
        <v>66</v>
      </c>
      <c r="G1373">
        <v>4</v>
      </c>
      <c r="H1373" s="5">
        <v>13</v>
      </c>
      <c r="I1373" t="s">
        <v>98</v>
      </c>
      <c r="J1373" t="s">
        <v>98</v>
      </c>
      <c r="K1373" t="s">
        <v>95</v>
      </c>
      <c r="L1373" t="s">
        <v>2125</v>
      </c>
      <c r="M1373" s="5">
        <f t="shared" si="127"/>
        <v>52</v>
      </c>
      <c r="N1373" t="str">
        <f t="shared" si="128"/>
        <v>September</v>
      </c>
      <c r="O1373" t="str">
        <f t="shared" si="129"/>
        <v>Thursday</v>
      </c>
      <c r="P1373">
        <f t="shared" si="126"/>
        <v>8</v>
      </c>
      <c r="Q1373" s="2">
        <f t="shared" si="130"/>
        <v>4</v>
      </c>
      <c r="R1373" s="2">
        <f t="shared" si="131"/>
        <v>9</v>
      </c>
      <c r="S1373">
        <f>SUMIF(Table1[product_category],"Bakery",Table1[Total_bill])</f>
        <v>2951.25</v>
      </c>
    </row>
    <row r="1374" spans="1:19" x14ac:dyDescent="0.3">
      <c r="A1374" s="2">
        <v>11373</v>
      </c>
      <c r="B1374" s="4">
        <v>47004</v>
      </c>
      <c r="C1374" t="s">
        <v>1512</v>
      </c>
      <c r="D1374" t="s">
        <v>25</v>
      </c>
      <c r="E1374" t="s">
        <v>26</v>
      </c>
      <c r="F1374" t="s">
        <v>68</v>
      </c>
      <c r="G1374">
        <v>4</v>
      </c>
      <c r="H1374" s="5">
        <v>2.25</v>
      </c>
      <c r="I1374" t="s">
        <v>21</v>
      </c>
      <c r="J1374" t="s">
        <v>58</v>
      </c>
      <c r="K1374" t="s">
        <v>59</v>
      </c>
      <c r="L1374" t="s">
        <v>2125</v>
      </c>
      <c r="M1374" s="5">
        <f t="shared" si="127"/>
        <v>9</v>
      </c>
      <c r="N1374" t="str">
        <f t="shared" si="128"/>
        <v>September</v>
      </c>
      <c r="O1374" t="str">
        <f t="shared" si="129"/>
        <v>Friday</v>
      </c>
      <c r="P1374">
        <f t="shared" si="126"/>
        <v>17</v>
      </c>
      <c r="Q1374" s="2">
        <f t="shared" si="130"/>
        <v>5</v>
      </c>
      <c r="R1374" s="2">
        <f t="shared" si="131"/>
        <v>9</v>
      </c>
      <c r="S1374">
        <f>SUMIF(Table1[product_category],"Bakery",Table1[Total_bill])</f>
        <v>2951.25</v>
      </c>
    </row>
    <row r="1375" spans="1:19" x14ac:dyDescent="0.3">
      <c r="A1375" s="2">
        <v>11374</v>
      </c>
      <c r="B1375" s="4">
        <v>47005</v>
      </c>
      <c r="C1375" t="s">
        <v>1513</v>
      </c>
      <c r="D1375" t="s">
        <v>25</v>
      </c>
      <c r="E1375" t="s">
        <v>26</v>
      </c>
      <c r="F1375" t="s">
        <v>71</v>
      </c>
      <c r="G1375">
        <v>1</v>
      </c>
      <c r="H1375" s="5">
        <v>3.75</v>
      </c>
      <c r="I1375" t="s">
        <v>32</v>
      </c>
      <c r="J1375" t="s">
        <v>226</v>
      </c>
      <c r="K1375" t="s">
        <v>273</v>
      </c>
      <c r="L1375" t="s">
        <v>2123</v>
      </c>
      <c r="M1375" s="5">
        <f t="shared" si="127"/>
        <v>3.75</v>
      </c>
      <c r="N1375" t="str">
        <f t="shared" si="128"/>
        <v>September</v>
      </c>
      <c r="O1375" t="str">
        <f t="shared" si="129"/>
        <v>Saturday</v>
      </c>
      <c r="P1375">
        <f t="shared" si="126"/>
        <v>11</v>
      </c>
      <c r="Q1375" s="2">
        <f t="shared" si="130"/>
        <v>6</v>
      </c>
      <c r="R1375" s="2">
        <f t="shared" si="131"/>
        <v>9</v>
      </c>
      <c r="S1375">
        <f>SUMIF(Table1[product_category],"Bakery",Table1[Total_bill])</f>
        <v>2951.25</v>
      </c>
    </row>
    <row r="1376" spans="1:19" x14ac:dyDescent="0.3">
      <c r="A1376" s="2">
        <v>11375</v>
      </c>
      <c r="B1376" s="4">
        <v>47006</v>
      </c>
      <c r="C1376" t="s">
        <v>1514</v>
      </c>
      <c r="D1376" t="s">
        <v>18</v>
      </c>
      <c r="E1376" t="s">
        <v>19</v>
      </c>
      <c r="F1376" t="s">
        <v>75</v>
      </c>
      <c r="G1376">
        <v>4</v>
      </c>
      <c r="H1376" s="5">
        <v>3.5</v>
      </c>
      <c r="I1376" t="s">
        <v>36</v>
      </c>
      <c r="J1376" t="s">
        <v>246</v>
      </c>
      <c r="K1376" t="s">
        <v>247</v>
      </c>
      <c r="L1376" t="s">
        <v>2123</v>
      </c>
      <c r="M1376" s="5">
        <f t="shared" si="127"/>
        <v>14</v>
      </c>
      <c r="N1376" t="str">
        <f t="shared" si="128"/>
        <v>September</v>
      </c>
      <c r="O1376" t="str">
        <f t="shared" si="129"/>
        <v>Sunday</v>
      </c>
      <c r="P1376">
        <f t="shared" si="126"/>
        <v>8</v>
      </c>
      <c r="Q1376" s="2">
        <f t="shared" si="130"/>
        <v>7</v>
      </c>
      <c r="R1376" s="2">
        <f t="shared" si="131"/>
        <v>9</v>
      </c>
      <c r="S1376">
        <f>SUMIF(Table1[product_category],"Bakery",Table1[Total_bill])</f>
        <v>2951.25</v>
      </c>
    </row>
    <row r="1377" spans="1:19" x14ac:dyDescent="0.3">
      <c r="A1377" s="2">
        <v>11376</v>
      </c>
      <c r="B1377" s="4">
        <v>47007</v>
      </c>
      <c r="C1377" t="s">
        <v>1515</v>
      </c>
      <c r="D1377" t="s">
        <v>40</v>
      </c>
      <c r="E1377" t="s">
        <v>41</v>
      </c>
      <c r="F1377" t="s">
        <v>78</v>
      </c>
      <c r="G1377">
        <v>2</v>
      </c>
      <c r="H1377" s="5">
        <v>4</v>
      </c>
      <c r="I1377" t="s">
        <v>32</v>
      </c>
      <c r="J1377" t="s">
        <v>55</v>
      </c>
      <c r="K1377" t="s">
        <v>55</v>
      </c>
      <c r="L1377" t="s">
        <v>2123</v>
      </c>
      <c r="M1377" s="5">
        <f t="shared" si="127"/>
        <v>8</v>
      </c>
      <c r="N1377" t="str">
        <f t="shared" si="128"/>
        <v>September</v>
      </c>
      <c r="O1377" t="str">
        <f t="shared" si="129"/>
        <v>Monday</v>
      </c>
      <c r="P1377">
        <f t="shared" si="126"/>
        <v>17</v>
      </c>
      <c r="Q1377" s="2">
        <f t="shared" si="130"/>
        <v>1</v>
      </c>
      <c r="R1377" s="2">
        <f t="shared" si="131"/>
        <v>9</v>
      </c>
      <c r="S1377">
        <f>SUMIF(Table1[product_category],"Bakery",Table1[Total_bill])</f>
        <v>2951.25</v>
      </c>
    </row>
    <row r="1378" spans="1:19" x14ac:dyDescent="0.3">
      <c r="A1378" s="2">
        <v>11377</v>
      </c>
      <c r="B1378" s="4">
        <v>47008</v>
      </c>
      <c r="C1378" t="s">
        <v>1516</v>
      </c>
      <c r="D1378" t="s">
        <v>40</v>
      </c>
      <c r="E1378" t="s">
        <v>41</v>
      </c>
      <c r="F1378" t="s">
        <v>80</v>
      </c>
      <c r="G1378">
        <v>1</v>
      </c>
      <c r="H1378" s="5">
        <v>4.5</v>
      </c>
      <c r="I1378" t="s">
        <v>36</v>
      </c>
      <c r="J1378" t="s">
        <v>110</v>
      </c>
      <c r="K1378" t="s">
        <v>110</v>
      </c>
      <c r="L1378" t="s">
        <v>2124</v>
      </c>
      <c r="M1378" s="5">
        <f t="shared" si="127"/>
        <v>4.5</v>
      </c>
      <c r="N1378" t="str">
        <f t="shared" si="128"/>
        <v>September</v>
      </c>
      <c r="O1378" t="str">
        <f t="shared" si="129"/>
        <v>Tuesday</v>
      </c>
      <c r="P1378">
        <f t="shared" si="126"/>
        <v>11</v>
      </c>
      <c r="Q1378" s="2">
        <f t="shared" si="130"/>
        <v>2</v>
      </c>
      <c r="R1378" s="2">
        <f t="shared" si="131"/>
        <v>9</v>
      </c>
      <c r="S1378">
        <f>SUMIF(Table1[product_category],"Bakery",Table1[Total_bill])</f>
        <v>2951.25</v>
      </c>
    </row>
    <row r="1379" spans="1:19" x14ac:dyDescent="0.3">
      <c r="A1379" s="2">
        <v>11378</v>
      </c>
      <c r="B1379" s="4">
        <v>47009</v>
      </c>
      <c r="C1379" t="s">
        <v>1517</v>
      </c>
      <c r="D1379" t="s">
        <v>25</v>
      </c>
      <c r="E1379" t="s">
        <v>26</v>
      </c>
      <c r="F1379" t="s">
        <v>84</v>
      </c>
      <c r="G1379">
        <v>3</v>
      </c>
      <c r="H1379" s="5">
        <v>14</v>
      </c>
      <c r="I1379" t="s">
        <v>98</v>
      </c>
      <c r="J1379" t="s">
        <v>98</v>
      </c>
      <c r="K1379" t="s">
        <v>129</v>
      </c>
      <c r="L1379" t="s">
        <v>2125</v>
      </c>
      <c r="M1379" s="5">
        <f t="shared" si="127"/>
        <v>42</v>
      </c>
      <c r="N1379" t="str">
        <f t="shared" si="128"/>
        <v>September</v>
      </c>
      <c r="O1379" t="str">
        <f t="shared" si="129"/>
        <v>Wednesday</v>
      </c>
      <c r="P1379">
        <f t="shared" si="126"/>
        <v>12</v>
      </c>
      <c r="Q1379" s="2">
        <f t="shared" si="130"/>
        <v>3</v>
      </c>
      <c r="R1379" s="2">
        <f t="shared" si="131"/>
        <v>9</v>
      </c>
      <c r="S1379">
        <f>SUMIF(Table1[product_category],"Bakery",Table1[Total_bill])</f>
        <v>2951.25</v>
      </c>
    </row>
    <row r="1380" spans="1:19" x14ac:dyDescent="0.3">
      <c r="A1380" s="2">
        <v>11379</v>
      </c>
      <c r="B1380" s="4">
        <v>47010</v>
      </c>
      <c r="C1380" t="s">
        <v>1518</v>
      </c>
      <c r="D1380" t="s">
        <v>25</v>
      </c>
      <c r="E1380" t="s">
        <v>26</v>
      </c>
      <c r="F1380" t="s">
        <v>86</v>
      </c>
      <c r="G1380">
        <v>1</v>
      </c>
      <c r="H1380" s="5">
        <v>2.75</v>
      </c>
      <c r="I1380" t="s">
        <v>21</v>
      </c>
      <c r="J1380" t="s">
        <v>22</v>
      </c>
      <c r="K1380" t="s">
        <v>23</v>
      </c>
      <c r="L1380" t="s">
        <v>2125</v>
      </c>
      <c r="M1380" s="5">
        <f t="shared" si="127"/>
        <v>2.75</v>
      </c>
      <c r="N1380" t="str">
        <f t="shared" si="128"/>
        <v>September</v>
      </c>
      <c r="O1380" t="str">
        <f t="shared" si="129"/>
        <v>Thursday</v>
      </c>
      <c r="P1380">
        <f t="shared" si="126"/>
        <v>10</v>
      </c>
      <c r="Q1380" s="2">
        <f t="shared" si="130"/>
        <v>4</v>
      </c>
      <c r="R1380" s="2">
        <f t="shared" si="131"/>
        <v>9</v>
      </c>
      <c r="S1380">
        <f>SUMIF(Table1[product_category],"Bakery",Table1[Total_bill])</f>
        <v>2951.25</v>
      </c>
    </row>
    <row r="1381" spans="1:19" x14ac:dyDescent="0.3">
      <c r="A1381" s="2">
        <v>11380</v>
      </c>
      <c r="B1381" s="4">
        <v>47011</v>
      </c>
      <c r="C1381" t="s">
        <v>1519</v>
      </c>
      <c r="D1381" t="s">
        <v>40</v>
      </c>
      <c r="E1381" t="s">
        <v>41</v>
      </c>
      <c r="F1381" t="s">
        <v>88</v>
      </c>
      <c r="G1381">
        <v>4</v>
      </c>
      <c r="H1381" s="5">
        <v>2.5</v>
      </c>
      <c r="I1381" t="s">
        <v>21</v>
      </c>
      <c r="J1381" t="s">
        <v>47</v>
      </c>
      <c r="K1381" t="s">
        <v>48</v>
      </c>
      <c r="L1381" t="s">
        <v>2125</v>
      </c>
      <c r="M1381" s="5">
        <f t="shared" si="127"/>
        <v>10</v>
      </c>
      <c r="N1381" t="str">
        <f t="shared" si="128"/>
        <v>September</v>
      </c>
      <c r="O1381" t="str">
        <f t="shared" si="129"/>
        <v>Friday</v>
      </c>
      <c r="P1381">
        <f t="shared" si="126"/>
        <v>13</v>
      </c>
      <c r="Q1381" s="2">
        <f t="shared" si="130"/>
        <v>5</v>
      </c>
      <c r="R1381" s="2">
        <f t="shared" si="131"/>
        <v>9</v>
      </c>
      <c r="S1381">
        <f>SUMIF(Table1[product_category],"Bakery",Table1[Total_bill])</f>
        <v>2951.25</v>
      </c>
    </row>
    <row r="1382" spans="1:19" x14ac:dyDescent="0.3">
      <c r="A1382" s="2">
        <v>11381</v>
      </c>
      <c r="B1382" s="4">
        <v>47012</v>
      </c>
      <c r="C1382" t="s">
        <v>1520</v>
      </c>
      <c r="D1382" t="s">
        <v>18</v>
      </c>
      <c r="E1382" t="s">
        <v>19</v>
      </c>
      <c r="F1382" t="s">
        <v>93</v>
      </c>
      <c r="G1382">
        <v>1</v>
      </c>
      <c r="H1382" s="5">
        <v>5</v>
      </c>
      <c r="I1382" t="s">
        <v>36</v>
      </c>
      <c r="J1382" t="s">
        <v>110</v>
      </c>
      <c r="K1382" t="s">
        <v>110</v>
      </c>
      <c r="L1382" t="s">
        <v>2123</v>
      </c>
      <c r="M1382" s="5">
        <f t="shared" si="127"/>
        <v>5</v>
      </c>
      <c r="N1382" t="str">
        <f t="shared" si="128"/>
        <v>September</v>
      </c>
      <c r="O1382" t="str">
        <f t="shared" si="129"/>
        <v>Saturday</v>
      </c>
      <c r="P1382">
        <f t="shared" si="126"/>
        <v>8</v>
      </c>
      <c r="Q1382" s="2">
        <f t="shared" si="130"/>
        <v>6</v>
      </c>
      <c r="R1382" s="2">
        <f t="shared" si="131"/>
        <v>9</v>
      </c>
      <c r="S1382">
        <f>SUMIF(Table1[product_category],"Bakery",Table1[Total_bill])</f>
        <v>2951.25</v>
      </c>
    </row>
    <row r="1383" spans="1:19" x14ac:dyDescent="0.3">
      <c r="A1383" s="2">
        <v>11382</v>
      </c>
      <c r="B1383" s="4">
        <v>47013</v>
      </c>
      <c r="C1383" t="s">
        <v>1521</v>
      </c>
      <c r="D1383" t="s">
        <v>18</v>
      </c>
      <c r="E1383" t="s">
        <v>19</v>
      </c>
      <c r="F1383" t="s">
        <v>97</v>
      </c>
      <c r="G1383">
        <v>3</v>
      </c>
      <c r="H1383" s="5">
        <v>8</v>
      </c>
      <c r="I1383" t="s">
        <v>28</v>
      </c>
      <c r="J1383" t="s">
        <v>28</v>
      </c>
      <c r="K1383" t="s">
        <v>76</v>
      </c>
      <c r="L1383" t="s">
        <v>2125</v>
      </c>
      <c r="M1383" s="5">
        <f t="shared" si="127"/>
        <v>24</v>
      </c>
      <c r="N1383" t="str">
        <f t="shared" si="128"/>
        <v>September</v>
      </c>
      <c r="O1383" t="str">
        <f t="shared" si="129"/>
        <v>Sunday</v>
      </c>
      <c r="P1383">
        <f t="shared" si="126"/>
        <v>10</v>
      </c>
      <c r="Q1383" s="2">
        <f t="shared" si="130"/>
        <v>7</v>
      </c>
      <c r="R1383" s="2">
        <f t="shared" si="131"/>
        <v>9</v>
      </c>
      <c r="S1383">
        <f>SUMIF(Table1[product_category],"Bakery",Table1[Total_bill])</f>
        <v>2951.25</v>
      </c>
    </row>
    <row r="1384" spans="1:19" x14ac:dyDescent="0.3">
      <c r="A1384" s="2">
        <v>11383</v>
      </c>
      <c r="B1384" s="4">
        <v>47014</v>
      </c>
      <c r="C1384" t="s">
        <v>1522</v>
      </c>
      <c r="D1384" t="s">
        <v>25</v>
      </c>
      <c r="E1384" t="s">
        <v>26</v>
      </c>
      <c r="F1384" t="s">
        <v>100</v>
      </c>
      <c r="G1384">
        <v>4</v>
      </c>
      <c r="H1384" s="5">
        <v>4.25</v>
      </c>
      <c r="I1384" t="s">
        <v>36</v>
      </c>
      <c r="J1384" t="s">
        <v>211</v>
      </c>
      <c r="K1384" t="s">
        <v>239</v>
      </c>
      <c r="L1384" t="s">
        <v>2123</v>
      </c>
      <c r="M1384" s="5">
        <f t="shared" si="127"/>
        <v>17</v>
      </c>
      <c r="N1384" t="str">
        <f t="shared" si="128"/>
        <v>September</v>
      </c>
      <c r="O1384" t="str">
        <f t="shared" si="129"/>
        <v>Monday</v>
      </c>
      <c r="P1384">
        <f t="shared" si="126"/>
        <v>20</v>
      </c>
      <c r="Q1384" s="2">
        <f t="shared" si="130"/>
        <v>1</v>
      </c>
      <c r="R1384" s="2">
        <f t="shared" si="131"/>
        <v>9</v>
      </c>
      <c r="S1384">
        <f>SUMIF(Table1[product_category],"Bakery",Table1[Total_bill])</f>
        <v>2951.25</v>
      </c>
    </row>
    <row r="1385" spans="1:19" x14ac:dyDescent="0.3">
      <c r="A1385" s="2">
        <v>11384</v>
      </c>
      <c r="B1385" s="4">
        <v>47015</v>
      </c>
      <c r="C1385" t="s">
        <v>1523</v>
      </c>
      <c r="D1385" t="s">
        <v>40</v>
      </c>
      <c r="E1385" t="s">
        <v>41</v>
      </c>
      <c r="F1385" t="s">
        <v>105</v>
      </c>
      <c r="G1385">
        <v>3</v>
      </c>
      <c r="H1385" s="5">
        <v>3.5</v>
      </c>
      <c r="I1385" t="s">
        <v>36</v>
      </c>
      <c r="J1385" t="s">
        <v>37</v>
      </c>
      <c r="K1385" t="s">
        <v>38</v>
      </c>
      <c r="L1385" t="s">
        <v>2123</v>
      </c>
      <c r="M1385" s="5">
        <f t="shared" si="127"/>
        <v>10.5</v>
      </c>
      <c r="N1385" t="str">
        <f t="shared" si="128"/>
        <v>September</v>
      </c>
      <c r="O1385" t="str">
        <f t="shared" si="129"/>
        <v>Tuesday</v>
      </c>
      <c r="P1385">
        <f t="shared" si="126"/>
        <v>8</v>
      </c>
      <c r="Q1385" s="2">
        <f t="shared" si="130"/>
        <v>2</v>
      </c>
      <c r="R1385" s="2">
        <f t="shared" si="131"/>
        <v>9</v>
      </c>
      <c r="S1385">
        <f>SUMIF(Table1[product_category],"Bakery",Table1[Total_bill])</f>
        <v>2951.25</v>
      </c>
    </row>
    <row r="1386" spans="1:19" x14ac:dyDescent="0.3">
      <c r="A1386" s="2">
        <v>11385</v>
      </c>
      <c r="B1386" s="4">
        <v>47016</v>
      </c>
      <c r="C1386" t="s">
        <v>1524</v>
      </c>
      <c r="D1386" t="s">
        <v>25</v>
      </c>
      <c r="E1386" t="s">
        <v>26</v>
      </c>
      <c r="F1386" t="s">
        <v>107</v>
      </c>
      <c r="G1386">
        <v>2</v>
      </c>
      <c r="H1386" s="5">
        <v>3.25</v>
      </c>
      <c r="I1386" t="s">
        <v>36</v>
      </c>
      <c r="J1386" t="s">
        <v>211</v>
      </c>
      <c r="K1386" t="s">
        <v>212</v>
      </c>
      <c r="L1386" t="s">
        <v>2122</v>
      </c>
      <c r="M1386" s="5">
        <f t="shared" si="127"/>
        <v>6.5</v>
      </c>
      <c r="N1386" t="str">
        <f t="shared" si="128"/>
        <v>September</v>
      </c>
      <c r="O1386" t="str">
        <f t="shared" si="129"/>
        <v>Wednesday</v>
      </c>
      <c r="P1386">
        <f t="shared" si="126"/>
        <v>14</v>
      </c>
      <c r="Q1386" s="2">
        <f t="shared" si="130"/>
        <v>3</v>
      </c>
      <c r="R1386" s="2">
        <f t="shared" si="131"/>
        <v>9</v>
      </c>
      <c r="S1386">
        <f>SUMIF(Table1[product_category],"Bakery",Table1[Total_bill])</f>
        <v>2951.25</v>
      </c>
    </row>
    <row r="1387" spans="1:19" x14ac:dyDescent="0.3">
      <c r="A1387" s="2">
        <v>11386</v>
      </c>
      <c r="B1387" s="4">
        <v>47017</v>
      </c>
      <c r="C1387" t="s">
        <v>1525</v>
      </c>
      <c r="D1387" t="s">
        <v>40</v>
      </c>
      <c r="E1387" t="s">
        <v>41</v>
      </c>
      <c r="F1387" t="s">
        <v>109</v>
      </c>
      <c r="G1387">
        <v>4</v>
      </c>
      <c r="H1387" s="5">
        <v>14</v>
      </c>
      <c r="I1387" t="s">
        <v>98</v>
      </c>
      <c r="J1387" t="s">
        <v>98</v>
      </c>
      <c r="K1387" t="s">
        <v>129</v>
      </c>
      <c r="L1387" t="s">
        <v>2125</v>
      </c>
      <c r="M1387" s="5">
        <f t="shared" si="127"/>
        <v>56</v>
      </c>
      <c r="N1387" t="str">
        <f t="shared" si="128"/>
        <v>September</v>
      </c>
      <c r="O1387" t="str">
        <f t="shared" si="129"/>
        <v>Thursday</v>
      </c>
      <c r="P1387">
        <f t="shared" si="126"/>
        <v>9</v>
      </c>
      <c r="Q1387" s="2">
        <f t="shared" si="130"/>
        <v>4</v>
      </c>
      <c r="R1387" s="2">
        <f t="shared" si="131"/>
        <v>9</v>
      </c>
      <c r="S1387">
        <f>SUMIF(Table1[product_category],"Bakery",Table1[Total_bill])</f>
        <v>2951.25</v>
      </c>
    </row>
    <row r="1388" spans="1:19" x14ac:dyDescent="0.3">
      <c r="A1388" s="2">
        <v>11387</v>
      </c>
      <c r="B1388" s="4">
        <v>47018</v>
      </c>
      <c r="C1388" t="s">
        <v>1526</v>
      </c>
      <c r="D1388" t="s">
        <v>18</v>
      </c>
      <c r="E1388" t="s">
        <v>19</v>
      </c>
      <c r="F1388" t="s">
        <v>112</v>
      </c>
      <c r="G1388">
        <v>3</v>
      </c>
      <c r="H1388" s="5">
        <v>3.25</v>
      </c>
      <c r="I1388" t="s">
        <v>21</v>
      </c>
      <c r="J1388" t="s">
        <v>81</v>
      </c>
      <c r="K1388" t="s">
        <v>82</v>
      </c>
      <c r="L1388" t="s">
        <v>2125</v>
      </c>
      <c r="M1388" s="5">
        <f t="shared" si="127"/>
        <v>9.75</v>
      </c>
      <c r="N1388" t="str">
        <f t="shared" si="128"/>
        <v>September</v>
      </c>
      <c r="O1388" t="str">
        <f t="shared" si="129"/>
        <v>Friday</v>
      </c>
      <c r="P1388">
        <f t="shared" si="126"/>
        <v>15</v>
      </c>
      <c r="Q1388" s="2">
        <f t="shared" si="130"/>
        <v>5</v>
      </c>
      <c r="R1388" s="2">
        <f t="shared" si="131"/>
        <v>9</v>
      </c>
      <c r="S1388">
        <f>SUMIF(Table1[product_category],"Bakery",Table1[Total_bill])</f>
        <v>2951.25</v>
      </c>
    </row>
    <row r="1389" spans="1:19" x14ac:dyDescent="0.3">
      <c r="A1389" s="2">
        <v>11388</v>
      </c>
      <c r="B1389" s="4">
        <v>47019</v>
      </c>
      <c r="C1389" t="s">
        <v>1527</v>
      </c>
      <c r="D1389" t="s">
        <v>40</v>
      </c>
      <c r="E1389" t="s">
        <v>41</v>
      </c>
      <c r="F1389" t="s">
        <v>115</v>
      </c>
      <c r="G1389">
        <v>4</v>
      </c>
      <c r="H1389" s="5">
        <v>3.75</v>
      </c>
      <c r="I1389" t="s">
        <v>36</v>
      </c>
      <c r="J1389" t="s">
        <v>211</v>
      </c>
      <c r="K1389" t="s">
        <v>239</v>
      </c>
      <c r="L1389" t="s">
        <v>2124</v>
      </c>
      <c r="M1389" s="5">
        <f t="shared" si="127"/>
        <v>15</v>
      </c>
      <c r="N1389" t="str">
        <f t="shared" si="128"/>
        <v>September</v>
      </c>
      <c r="O1389" t="str">
        <f t="shared" si="129"/>
        <v>Saturday</v>
      </c>
      <c r="P1389">
        <f t="shared" si="126"/>
        <v>7</v>
      </c>
      <c r="Q1389" s="2">
        <f t="shared" si="130"/>
        <v>6</v>
      </c>
      <c r="R1389" s="2">
        <f t="shared" si="131"/>
        <v>9</v>
      </c>
      <c r="S1389">
        <f>SUMIF(Table1[product_category],"Bakery",Table1[Total_bill])</f>
        <v>2951.25</v>
      </c>
    </row>
    <row r="1390" spans="1:19" x14ac:dyDescent="0.3">
      <c r="A1390" s="2">
        <v>11389</v>
      </c>
      <c r="B1390" s="4">
        <v>47020</v>
      </c>
      <c r="C1390" t="s">
        <v>1528</v>
      </c>
      <c r="D1390" t="s">
        <v>25</v>
      </c>
      <c r="E1390" t="s">
        <v>26</v>
      </c>
      <c r="F1390" t="s">
        <v>117</v>
      </c>
      <c r="G1390">
        <v>2</v>
      </c>
      <c r="H1390" s="5">
        <v>8</v>
      </c>
      <c r="I1390" t="s">
        <v>28</v>
      </c>
      <c r="J1390" t="s">
        <v>28</v>
      </c>
      <c r="K1390" t="s">
        <v>76</v>
      </c>
      <c r="L1390" t="s">
        <v>2125</v>
      </c>
      <c r="M1390" s="5">
        <f t="shared" si="127"/>
        <v>16</v>
      </c>
      <c r="N1390" t="str">
        <f t="shared" si="128"/>
        <v>September</v>
      </c>
      <c r="O1390" t="str">
        <f t="shared" si="129"/>
        <v>Sunday</v>
      </c>
      <c r="P1390">
        <f t="shared" si="126"/>
        <v>20</v>
      </c>
      <c r="Q1390" s="2">
        <f t="shared" si="130"/>
        <v>7</v>
      </c>
      <c r="R1390" s="2">
        <f t="shared" si="131"/>
        <v>9</v>
      </c>
      <c r="S1390">
        <f>SUMIF(Table1[product_category],"Bakery",Table1[Total_bill])</f>
        <v>2951.25</v>
      </c>
    </row>
    <row r="1391" spans="1:19" x14ac:dyDescent="0.3">
      <c r="A1391" s="2">
        <v>11390</v>
      </c>
      <c r="B1391" s="4">
        <v>47021</v>
      </c>
      <c r="C1391" t="s">
        <v>1529</v>
      </c>
      <c r="D1391" t="s">
        <v>40</v>
      </c>
      <c r="E1391" t="s">
        <v>41</v>
      </c>
      <c r="F1391" t="s">
        <v>119</v>
      </c>
      <c r="G1391">
        <v>4</v>
      </c>
      <c r="H1391" s="5">
        <v>3.25</v>
      </c>
      <c r="I1391" t="s">
        <v>36</v>
      </c>
      <c r="J1391" t="s">
        <v>211</v>
      </c>
      <c r="K1391" t="s">
        <v>212</v>
      </c>
      <c r="L1391" t="s">
        <v>2122</v>
      </c>
      <c r="M1391" s="5">
        <f t="shared" si="127"/>
        <v>13</v>
      </c>
      <c r="N1391" t="str">
        <f t="shared" si="128"/>
        <v>September</v>
      </c>
      <c r="O1391" t="str">
        <f t="shared" si="129"/>
        <v>Monday</v>
      </c>
      <c r="P1391">
        <f t="shared" si="126"/>
        <v>11</v>
      </c>
      <c r="Q1391" s="2">
        <f t="shared" si="130"/>
        <v>1</v>
      </c>
      <c r="R1391" s="2">
        <f t="shared" si="131"/>
        <v>9</v>
      </c>
      <c r="S1391">
        <f>SUMIF(Table1[product_category],"Bakery",Table1[Total_bill])</f>
        <v>2951.25</v>
      </c>
    </row>
    <row r="1392" spans="1:19" x14ac:dyDescent="0.3">
      <c r="A1392" s="2">
        <v>11391</v>
      </c>
      <c r="B1392" s="4">
        <v>47022</v>
      </c>
      <c r="C1392" t="s">
        <v>1530</v>
      </c>
      <c r="D1392" t="s">
        <v>40</v>
      </c>
      <c r="E1392" t="s">
        <v>41</v>
      </c>
      <c r="F1392" t="s">
        <v>121</v>
      </c>
      <c r="G1392">
        <v>3</v>
      </c>
      <c r="H1392" s="5">
        <v>4.25</v>
      </c>
      <c r="I1392" t="s">
        <v>32</v>
      </c>
      <c r="J1392" t="s">
        <v>202</v>
      </c>
      <c r="K1392" t="s">
        <v>202</v>
      </c>
      <c r="L1392" t="s">
        <v>2124</v>
      </c>
      <c r="M1392" s="5">
        <f t="shared" si="127"/>
        <v>12.75</v>
      </c>
      <c r="N1392" t="str">
        <f t="shared" si="128"/>
        <v>September</v>
      </c>
      <c r="O1392" t="str">
        <f t="shared" si="129"/>
        <v>Tuesday</v>
      </c>
      <c r="P1392">
        <f t="shared" si="126"/>
        <v>8</v>
      </c>
      <c r="Q1392" s="2">
        <f t="shared" si="130"/>
        <v>2</v>
      </c>
      <c r="R1392" s="2">
        <f t="shared" si="131"/>
        <v>9</v>
      </c>
      <c r="S1392">
        <f>SUMIF(Table1[product_category],"Bakery",Table1[Total_bill])</f>
        <v>2951.25</v>
      </c>
    </row>
    <row r="1393" spans="1:19" x14ac:dyDescent="0.3">
      <c r="A1393" s="2">
        <v>11392</v>
      </c>
      <c r="B1393" s="4">
        <v>47023</v>
      </c>
      <c r="C1393" t="s">
        <v>1531</v>
      </c>
      <c r="D1393" t="s">
        <v>25</v>
      </c>
      <c r="E1393" t="s">
        <v>26</v>
      </c>
      <c r="F1393" t="s">
        <v>124</v>
      </c>
      <c r="G1393">
        <v>4</v>
      </c>
      <c r="H1393" s="5">
        <v>24</v>
      </c>
      <c r="I1393" t="s">
        <v>101</v>
      </c>
      <c r="J1393" t="s">
        <v>102</v>
      </c>
      <c r="K1393" t="s">
        <v>103</v>
      </c>
      <c r="L1393" t="s">
        <v>2125</v>
      </c>
      <c r="M1393" s="5">
        <f t="shared" si="127"/>
        <v>96</v>
      </c>
      <c r="N1393" t="str">
        <f t="shared" si="128"/>
        <v>September</v>
      </c>
      <c r="O1393" t="str">
        <f t="shared" si="129"/>
        <v>Wednesday</v>
      </c>
      <c r="P1393">
        <f t="shared" si="126"/>
        <v>7</v>
      </c>
      <c r="Q1393" s="2">
        <f t="shared" si="130"/>
        <v>3</v>
      </c>
      <c r="R1393" s="2">
        <f t="shared" si="131"/>
        <v>9</v>
      </c>
      <c r="S1393">
        <f>SUMIF(Table1[product_category],"Bakery",Table1[Total_bill])</f>
        <v>2951.25</v>
      </c>
    </row>
    <row r="1394" spans="1:19" x14ac:dyDescent="0.3">
      <c r="A1394" s="2">
        <v>11393</v>
      </c>
      <c r="B1394" s="4">
        <v>47024</v>
      </c>
      <c r="C1394" t="s">
        <v>1532</v>
      </c>
      <c r="D1394" t="s">
        <v>40</v>
      </c>
      <c r="E1394" t="s">
        <v>41</v>
      </c>
      <c r="F1394" t="s">
        <v>126</v>
      </c>
      <c r="G1394">
        <v>2</v>
      </c>
      <c r="H1394" s="5">
        <v>3</v>
      </c>
      <c r="I1394" t="s">
        <v>32</v>
      </c>
      <c r="J1394" t="s">
        <v>55</v>
      </c>
      <c r="K1394" t="s">
        <v>55</v>
      </c>
      <c r="L1394" t="s">
        <v>2122</v>
      </c>
      <c r="M1394" s="5">
        <f t="shared" si="127"/>
        <v>6</v>
      </c>
      <c r="N1394" t="str">
        <f t="shared" si="128"/>
        <v>September</v>
      </c>
      <c r="O1394" t="str">
        <f t="shared" si="129"/>
        <v>Thursday</v>
      </c>
      <c r="P1394">
        <f t="shared" si="126"/>
        <v>8</v>
      </c>
      <c r="Q1394" s="2">
        <f t="shared" si="130"/>
        <v>4</v>
      </c>
      <c r="R1394" s="2">
        <f t="shared" si="131"/>
        <v>9</v>
      </c>
      <c r="S1394">
        <f>SUMIF(Table1[product_category],"Bakery",Table1[Total_bill])</f>
        <v>2951.25</v>
      </c>
    </row>
    <row r="1395" spans="1:19" x14ac:dyDescent="0.3">
      <c r="A1395" s="2">
        <v>11394</v>
      </c>
      <c r="B1395" s="4">
        <v>47025</v>
      </c>
      <c r="C1395" t="s">
        <v>1533</v>
      </c>
      <c r="D1395" t="s">
        <v>40</v>
      </c>
      <c r="E1395" t="s">
        <v>41</v>
      </c>
      <c r="F1395" t="s">
        <v>128</v>
      </c>
      <c r="G1395">
        <v>4</v>
      </c>
      <c r="H1395" s="5">
        <v>3</v>
      </c>
      <c r="I1395" t="s">
        <v>21</v>
      </c>
      <c r="J1395" t="s">
        <v>181</v>
      </c>
      <c r="K1395" t="s">
        <v>182</v>
      </c>
      <c r="L1395" t="s">
        <v>2125</v>
      </c>
      <c r="M1395" s="5">
        <f t="shared" si="127"/>
        <v>12</v>
      </c>
      <c r="N1395" t="str">
        <f t="shared" si="128"/>
        <v>September</v>
      </c>
      <c r="O1395" t="str">
        <f t="shared" si="129"/>
        <v>Friday</v>
      </c>
      <c r="P1395">
        <f t="shared" si="126"/>
        <v>12</v>
      </c>
      <c r="Q1395" s="2">
        <f t="shared" si="130"/>
        <v>5</v>
      </c>
      <c r="R1395" s="2">
        <f t="shared" si="131"/>
        <v>9</v>
      </c>
      <c r="S1395">
        <f>SUMIF(Table1[product_category],"Bakery",Table1[Total_bill])</f>
        <v>2951.25</v>
      </c>
    </row>
    <row r="1396" spans="1:19" x14ac:dyDescent="0.3">
      <c r="A1396" s="2">
        <v>11395</v>
      </c>
      <c r="B1396" s="4">
        <v>47026</v>
      </c>
      <c r="C1396" t="s">
        <v>1534</v>
      </c>
      <c r="D1396" t="s">
        <v>25</v>
      </c>
      <c r="E1396" t="s">
        <v>26</v>
      </c>
      <c r="F1396" t="s">
        <v>131</v>
      </c>
      <c r="G1396">
        <v>2</v>
      </c>
      <c r="H1396" s="5">
        <v>3</v>
      </c>
      <c r="I1396" t="s">
        <v>36</v>
      </c>
      <c r="J1396" t="s">
        <v>37</v>
      </c>
      <c r="K1396" t="s">
        <v>276</v>
      </c>
      <c r="L1396" t="s">
        <v>2124</v>
      </c>
      <c r="M1396" s="5">
        <f t="shared" si="127"/>
        <v>6</v>
      </c>
      <c r="N1396" t="str">
        <f t="shared" si="128"/>
        <v>September</v>
      </c>
      <c r="O1396" t="str">
        <f t="shared" si="129"/>
        <v>Saturday</v>
      </c>
      <c r="P1396">
        <f t="shared" si="126"/>
        <v>9</v>
      </c>
      <c r="Q1396" s="2">
        <f t="shared" si="130"/>
        <v>6</v>
      </c>
      <c r="R1396" s="2">
        <f t="shared" si="131"/>
        <v>9</v>
      </c>
      <c r="S1396">
        <f>SUMIF(Table1[product_category],"Bakery",Table1[Total_bill])</f>
        <v>2951.25</v>
      </c>
    </row>
    <row r="1397" spans="1:19" x14ac:dyDescent="0.3">
      <c r="A1397" s="2">
        <v>11396</v>
      </c>
      <c r="B1397" s="4">
        <v>47027</v>
      </c>
      <c r="C1397" t="s">
        <v>1535</v>
      </c>
      <c r="D1397" t="s">
        <v>25</v>
      </c>
      <c r="E1397" t="s">
        <v>26</v>
      </c>
      <c r="F1397" t="s">
        <v>133</v>
      </c>
      <c r="G1397">
        <v>3</v>
      </c>
      <c r="H1397" s="5">
        <v>3</v>
      </c>
      <c r="I1397" t="s">
        <v>32</v>
      </c>
      <c r="J1397" t="s">
        <v>226</v>
      </c>
      <c r="K1397" t="s">
        <v>227</v>
      </c>
      <c r="L1397" t="s">
        <v>2124</v>
      </c>
      <c r="M1397" s="5">
        <f t="shared" si="127"/>
        <v>9</v>
      </c>
      <c r="N1397" t="str">
        <f t="shared" si="128"/>
        <v>October</v>
      </c>
      <c r="O1397" t="str">
        <f t="shared" si="129"/>
        <v>Sunday</v>
      </c>
      <c r="P1397">
        <f t="shared" si="126"/>
        <v>16</v>
      </c>
      <c r="Q1397" s="2">
        <f t="shared" si="130"/>
        <v>7</v>
      </c>
      <c r="R1397" s="2">
        <f t="shared" si="131"/>
        <v>10</v>
      </c>
      <c r="S1397">
        <f>SUMIF(Table1[product_category],"Bakery",Table1[Total_bill])</f>
        <v>2951.25</v>
      </c>
    </row>
    <row r="1398" spans="1:19" x14ac:dyDescent="0.3">
      <c r="A1398" s="2">
        <v>11397</v>
      </c>
      <c r="B1398" s="4">
        <v>47028</v>
      </c>
      <c r="C1398" t="s">
        <v>1536</v>
      </c>
      <c r="D1398" t="s">
        <v>25</v>
      </c>
      <c r="E1398" t="s">
        <v>26</v>
      </c>
      <c r="F1398" t="s">
        <v>135</v>
      </c>
      <c r="G1398">
        <v>4</v>
      </c>
      <c r="H1398" s="5">
        <v>2.25</v>
      </c>
      <c r="I1398" t="s">
        <v>21</v>
      </c>
      <c r="J1398" t="s">
        <v>58</v>
      </c>
      <c r="K1398" t="s">
        <v>59</v>
      </c>
      <c r="L1398" t="s">
        <v>2125</v>
      </c>
      <c r="M1398" s="5">
        <f t="shared" si="127"/>
        <v>9</v>
      </c>
      <c r="N1398" t="str">
        <f t="shared" si="128"/>
        <v>October</v>
      </c>
      <c r="O1398" t="str">
        <f t="shared" si="129"/>
        <v>Monday</v>
      </c>
      <c r="P1398">
        <f t="shared" si="126"/>
        <v>11</v>
      </c>
      <c r="Q1398" s="2">
        <f t="shared" si="130"/>
        <v>1</v>
      </c>
      <c r="R1398" s="2">
        <f t="shared" si="131"/>
        <v>10</v>
      </c>
      <c r="S1398">
        <f>SUMIF(Table1[product_category],"Bakery",Table1[Total_bill])</f>
        <v>2951.25</v>
      </c>
    </row>
    <row r="1399" spans="1:19" x14ac:dyDescent="0.3">
      <c r="A1399" s="2">
        <v>11398</v>
      </c>
      <c r="B1399" s="4">
        <v>47029</v>
      </c>
      <c r="C1399" t="s">
        <v>1537</v>
      </c>
      <c r="D1399" t="s">
        <v>25</v>
      </c>
      <c r="E1399" t="s">
        <v>26</v>
      </c>
      <c r="F1399" t="s">
        <v>137</v>
      </c>
      <c r="G1399">
        <v>4</v>
      </c>
      <c r="H1399" s="5">
        <v>3.25</v>
      </c>
      <c r="I1399" t="s">
        <v>21</v>
      </c>
      <c r="J1399" t="s">
        <v>81</v>
      </c>
      <c r="K1399" t="s">
        <v>82</v>
      </c>
      <c r="L1399" t="s">
        <v>2125</v>
      </c>
      <c r="M1399" s="5">
        <f t="shared" si="127"/>
        <v>13</v>
      </c>
      <c r="N1399" t="str">
        <f t="shared" si="128"/>
        <v>October</v>
      </c>
      <c r="O1399" t="str">
        <f t="shared" si="129"/>
        <v>Tuesday</v>
      </c>
      <c r="P1399">
        <f t="shared" si="126"/>
        <v>8</v>
      </c>
      <c r="Q1399" s="2">
        <f t="shared" si="130"/>
        <v>2</v>
      </c>
      <c r="R1399" s="2">
        <f t="shared" si="131"/>
        <v>10</v>
      </c>
      <c r="S1399">
        <f>SUMIF(Table1[product_category],"Bakery",Table1[Total_bill])</f>
        <v>2951.25</v>
      </c>
    </row>
    <row r="1400" spans="1:19" x14ac:dyDescent="0.3">
      <c r="A1400" s="2">
        <v>11399</v>
      </c>
      <c r="B1400" s="4">
        <v>47030</v>
      </c>
      <c r="C1400" t="s">
        <v>1538</v>
      </c>
      <c r="D1400" t="s">
        <v>40</v>
      </c>
      <c r="E1400" t="s">
        <v>41</v>
      </c>
      <c r="F1400" t="s">
        <v>140</v>
      </c>
      <c r="G1400">
        <v>3</v>
      </c>
      <c r="H1400" s="5">
        <v>13</v>
      </c>
      <c r="I1400" t="s">
        <v>98</v>
      </c>
      <c r="J1400" t="s">
        <v>98</v>
      </c>
      <c r="K1400" t="s">
        <v>95</v>
      </c>
      <c r="L1400" t="s">
        <v>2125</v>
      </c>
      <c r="M1400" s="5">
        <f t="shared" si="127"/>
        <v>39</v>
      </c>
      <c r="N1400" t="str">
        <f t="shared" si="128"/>
        <v>October</v>
      </c>
      <c r="O1400" t="str">
        <f t="shared" si="129"/>
        <v>Wednesday</v>
      </c>
      <c r="P1400">
        <f t="shared" si="126"/>
        <v>13</v>
      </c>
      <c r="Q1400" s="2">
        <f t="shared" si="130"/>
        <v>3</v>
      </c>
      <c r="R1400" s="2">
        <f t="shared" si="131"/>
        <v>10</v>
      </c>
      <c r="S1400">
        <f>SUMIF(Table1[product_category],"Bakery",Table1[Total_bill])</f>
        <v>2951.25</v>
      </c>
    </row>
    <row r="1401" spans="1:19" x14ac:dyDescent="0.3">
      <c r="A1401" s="2">
        <v>11400</v>
      </c>
      <c r="B1401" s="4">
        <v>47031</v>
      </c>
      <c r="C1401" t="s">
        <v>1539</v>
      </c>
      <c r="D1401" t="s">
        <v>25</v>
      </c>
      <c r="E1401" t="s">
        <v>26</v>
      </c>
      <c r="F1401" t="s">
        <v>143</v>
      </c>
      <c r="G1401">
        <v>2</v>
      </c>
      <c r="H1401" s="5">
        <v>4</v>
      </c>
      <c r="I1401" t="s">
        <v>32</v>
      </c>
      <c r="J1401" t="s">
        <v>94</v>
      </c>
      <c r="K1401" t="s">
        <v>95</v>
      </c>
      <c r="L1401" t="s">
        <v>2124</v>
      </c>
      <c r="M1401" s="5">
        <f t="shared" si="127"/>
        <v>8</v>
      </c>
      <c r="N1401" t="str">
        <f t="shared" si="128"/>
        <v>October</v>
      </c>
      <c r="O1401" t="str">
        <f t="shared" si="129"/>
        <v>Thursday</v>
      </c>
      <c r="P1401">
        <f t="shared" si="126"/>
        <v>14</v>
      </c>
      <c r="Q1401" s="2">
        <f t="shared" si="130"/>
        <v>4</v>
      </c>
      <c r="R1401" s="2">
        <f t="shared" si="131"/>
        <v>10</v>
      </c>
      <c r="S1401">
        <f>SUMIF(Table1[product_category],"Bakery",Table1[Total_bill])</f>
        <v>2951.25</v>
      </c>
    </row>
    <row r="1402" spans="1:19" x14ac:dyDescent="0.3">
      <c r="A1402" s="2">
        <v>11401</v>
      </c>
      <c r="B1402" s="4">
        <v>47032</v>
      </c>
      <c r="C1402" t="s">
        <v>1540</v>
      </c>
      <c r="D1402" t="s">
        <v>18</v>
      </c>
      <c r="E1402" t="s">
        <v>19</v>
      </c>
      <c r="F1402" t="s">
        <v>146</v>
      </c>
      <c r="G1402">
        <v>3</v>
      </c>
      <c r="H1402" s="5">
        <v>2.75</v>
      </c>
      <c r="I1402" t="s">
        <v>32</v>
      </c>
      <c r="J1402" t="s">
        <v>226</v>
      </c>
      <c r="K1402" t="s">
        <v>273</v>
      </c>
      <c r="L1402" t="s">
        <v>2122</v>
      </c>
      <c r="M1402" s="5">
        <f t="shared" si="127"/>
        <v>8.25</v>
      </c>
      <c r="N1402" t="str">
        <f t="shared" si="128"/>
        <v>October</v>
      </c>
      <c r="O1402" t="str">
        <f t="shared" si="129"/>
        <v>Friday</v>
      </c>
      <c r="P1402">
        <f t="shared" si="126"/>
        <v>8</v>
      </c>
      <c r="Q1402" s="2">
        <f t="shared" si="130"/>
        <v>5</v>
      </c>
      <c r="R1402" s="2">
        <f t="shared" si="131"/>
        <v>10</v>
      </c>
      <c r="S1402">
        <f>SUMIF(Table1[product_category],"Bakery",Table1[Total_bill])</f>
        <v>2951.25</v>
      </c>
    </row>
    <row r="1403" spans="1:19" x14ac:dyDescent="0.3">
      <c r="A1403" s="2">
        <v>11402</v>
      </c>
      <c r="B1403" s="4">
        <v>47033</v>
      </c>
      <c r="C1403" t="s">
        <v>1541</v>
      </c>
      <c r="D1403" t="s">
        <v>40</v>
      </c>
      <c r="E1403" t="s">
        <v>41</v>
      </c>
      <c r="F1403" t="s">
        <v>148</v>
      </c>
      <c r="G1403">
        <v>3</v>
      </c>
      <c r="H1403" s="5">
        <v>5</v>
      </c>
      <c r="I1403" t="s">
        <v>89</v>
      </c>
      <c r="J1403" t="s">
        <v>90</v>
      </c>
      <c r="K1403" t="s">
        <v>91</v>
      </c>
      <c r="L1403" t="s">
        <v>2123</v>
      </c>
      <c r="M1403" s="5">
        <f t="shared" si="127"/>
        <v>15</v>
      </c>
      <c r="N1403" t="str">
        <f t="shared" si="128"/>
        <v>October</v>
      </c>
      <c r="O1403" t="str">
        <f t="shared" si="129"/>
        <v>Saturday</v>
      </c>
      <c r="P1403">
        <f t="shared" si="126"/>
        <v>8</v>
      </c>
      <c r="Q1403" s="2">
        <f t="shared" si="130"/>
        <v>6</v>
      </c>
      <c r="R1403" s="2">
        <f t="shared" si="131"/>
        <v>10</v>
      </c>
      <c r="S1403">
        <f>SUMIF(Table1[product_category],"Bakery",Table1[Total_bill])</f>
        <v>2951.25</v>
      </c>
    </row>
    <row r="1404" spans="1:19" x14ac:dyDescent="0.3">
      <c r="A1404" s="2">
        <v>11403</v>
      </c>
      <c r="B1404" s="4">
        <v>47034</v>
      </c>
      <c r="C1404" t="s">
        <v>1542</v>
      </c>
      <c r="D1404" t="s">
        <v>25</v>
      </c>
      <c r="E1404" t="s">
        <v>26</v>
      </c>
      <c r="F1404" t="s">
        <v>150</v>
      </c>
      <c r="G1404">
        <v>2</v>
      </c>
      <c r="H1404" s="5">
        <v>3.75</v>
      </c>
      <c r="I1404" t="s">
        <v>36</v>
      </c>
      <c r="J1404" t="s">
        <v>211</v>
      </c>
      <c r="K1404" t="s">
        <v>239</v>
      </c>
      <c r="L1404" t="s">
        <v>2124</v>
      </c>
      <c r="M1404" s="5">
        <f t="shared" si="127"/>
        <v>7.5</v>
      </c>
      <c r="N1404" t="str">
        <f t="shared" si="128"/>
        <v>October</v>
      </c>
      <c r="O1404" t="str">
        <f t="shared" si="129"/>
        <v>Sunday</v>
      </c>
      <c r="P1404">
        <f t="shared" si="126"/>
        <v>6</v>
      </c>
      <c r="Q1404" s="2">
        <f t="shared" si="130"/>
        <v>7</v>
      </c>
      <c r="R1404" s="2">
        <f t="shared" si="131"/>
        <v>10</v>
      </c>
      <c r="S1404">
        <f>SUMIF(Table1[product_category],"Bakery",Table1[Total_bill])</f>
        <v>2951.25</v>
      </c>
    </row>
    <row r="1405" spans="1:19" x14ac:dyDescent="0.3">
      <c r="A1405" s="2">
        <v>11404</v>
      </c>
      <c r="B1405" s="4">
        <v>47035</v>
      </c>
      <c r="C1405" t="s">
        <v>1123</v>
      </c>
      <c r="D1405" t="s">
        <v>40</v>
      </c>
      <c r="E1405" t="s">
        <v>41</v>
      </c>
      <c r="F1405" t="s">
        <v>152</v>
      </c>
      <c r="G1405">
        <v>2</v>
      </c>
      <c r="H1405" s="5">
        <v>5.5</v>
      </c>
      <c r="I1405" t="s">
        <v>72</v>
      </c>
      <c r="J1405" t="s">
        <v>72</v>
      </c>
      <c r="K1405" t="s">
        <v>73</v>
      </c>
      <c r="L1405" t="s">
        <v>2125</v>
      </c>
      <c r="M1405" s="5">
        <f t="shared" si="127"/>
        <v>11</v>
      </c>
      <c r="N1405" t="str">
        <f t="shared" si="128"/>
        <v>October</v>
      </c>
      <c r="O1405" t="str">
        <f t="shared" si="129"/>
        <v>Monday</v>
      </c>
      <c r="P1405">
        <f t="shared" si="126"/>
        <v>15</v>
      </c>
      <c r="Q1405" s="2">
        <f t="shared" si="130"/>
        <v>1</v>
      </c>
      <c r="R1405" s="2">
        <f t="shared" si="131"/>
        <v>10</v>
      </c>
      <c r="S1405">
        <f>SUMIF(Table1[product_category],"Bakery",Table1[Total_bill])</f>
        <v>2951.25</v>
      </c>
    </row>
    <row r="1406" spans="1:19" x14ac:dyDescent="0.3">
      <c r="A1406" s="2">
        <v>11405</v>
      </c>
      <c r="B1406" s="4">
        <v>47036</v>
      </c>
      <c r="C1406" t="s">
        <v>1543</v>
      </c>
      <c r="D1406" t="s">
        <v>18</v>
      </c>
      <c r="E1406" t="s">
        <v>19</v>
      </c>
      <c r="F1406" t="s">
        <v>154</v>
      </c>
      <c r="G1406">
        <v>2</v>
      </c>
      <c r="H1406" s="5">
        <v>13</v>
      </c>
      <c r="I1406" t="s">
        <v>98</v>
      </c>
      <c r="J1406" t="s">
        <v>98</v>
      </c>
      <c r="K1406" t="s">
        <v>95</v>
      </c>
      <c r="L1406" t="s">
        <v>2125</v>
      </c>
      <c r="M1406" s="5">
        <f t="shared" si="127"/>
        <v>26</v>
      </c>
      <c r="N1406" t="str">
        <f t="shared" si="128"/>
        <v>October</v>
      </c>
      <c r="O1406" t="str">
        <f t="shared" si="129"/>
        <v>Tuesday</v>
      </c>
      <c r="P1406">
        <f t="shared" si="126"/>
        <v>14</v>
      </c>
      <c r="Q1406" s="2">
        <f t="shared" si="130"/>
        <v>2</v>
      </c>
      <c r="R1406" s="2">
        <f t="shared" si="131"/>
        <v>10</v>
      </c>
      <c r="S1406">
        <f>SUMIF(Table1[product_category],"Bakery",Table1[Total_bill])</f>
        <v>2951.25</v>
      </c>
    </row>
    <row r="1407" spans="1:19" x14ac:dyDescent="0.3">
      <c r="A1407" s="2">
        <v>11406</v>
      </c>
      <c r="B1407" s="4">
        <v>47037</v>
      </c>
      <c r="C1407" t="s">
        <v>1544</v>
      </c>
      <c r="D1407" t="s">
        <v>25</v>
      </c>
      <c r="E1407" t="s">
        <v>26</v>
      </c>
      <c r="F1407" t="s">
        <v>156</v>
      </c>
      <c r="G1407">
        <v>3</v>
      </c>
      <c r="H1407" s="5">
        <v>4.75</v>
      </c>
      <c r="I1407" t="s">
        <v>32</v>
      </c>
      <c r="J1407" t="s">
        <v>122</v>
      </c>
      <c r="K1407" t="s">
        <v>122</v>
      </c>
      <c r="L1407" t="s">
        <v>2123</v>
      </c>
      <c r="M1407" s="5">
        <f t="shared" si="127"/>
        <v>14.25</v>
      </c>
      <c r="N1407" t="str">
        <f t="shared" si="128"/>
        <v>October</v>
      </c>
      <c r="O1407" t="str">
        <f t="shared" si="129"/>
        <v>Wednesday</v>
      </c>
      <c r="P1407">
        <f t="shared" si="126"/>
        <v>11</v>
      </c>
      <c r="Q1407" s="2">
        <f t="shared" si="130"/>
        <v>3</v>
      </c>
      <c r="R1407" s="2">
        <f t="shared" si="131"/>
        <v>10</v>
      </c>
      <c r="S1407">
        <f>SUMIF(Table1[product_category],"Bakery",Table1[Total_bill])</f>
        <v>2951.25</v>
      </c>
    </row>
    <row r="1408" spans="1:19" x14ac:dyDescent="0.3">
      <c r="A1408" s="2">
        <v>11407</v>
      </c>
      <c r="B1408" s="4">
        <v>47038</v>
      </c>
      <c r="C1408" t="s">
        <v>1545</v>
      </c>
      <c r="D1408" t="s">
        <v>40</v>
      </c>
      <c r="E1408" t="s">
        <v>41</v>
      </c>
      <c r="F1408" t="s">
        <v>158</v>
      </c>
      <c r="G1408">
        <v>3</v>
      </c>
      <c r="H1408" s="5">
        <v>5</v>
      </c>
      <c r="I1408" t="s">
        <v>36</v>
      </c>
      <c r="J1408" t="s">
        <v>110</v>
      </c>
      <c r="K1408" t="s">
        <v>110</v>
      </c>
      <c r="L1408" t="s">
        <v>2123</v>
      </c>
      <c r="M1408" s="5">
        <f t="shared" si="127"/>
        <v>15</v>
      </c>
      <c r="N1408" t="str">
        <f t="shared" si="128"/>
        <v>October</v>
      </c>
      <c r="O1408" t="str">
        <f t="shared" si="129"/>
        <v>Thursday</v>
      </c>
      <c r="P1408">
        <f t="shared" si="126"/>
        <v>17</v>
      </c>
      <c r="Q1408" s="2">
        <f t="shared" si="130"/>
        <v>4</v>
      </c>
      <c r="R1408" s="2">
        <f t="shared" si="131"/>
        <v>10</v>
      </c>
      <c r="S1408">
        <f>SUMIF(Table1[product_category],"Bakery",Table1[Total_bill])</f>
        <v>2951.25</v>
      </c>
    </row>
    <row r="1409" spans="1:19" x14ac:dyDescent="0.3">
      <c r="A1409" s="2">
        <v>11408</v>
      </c>
      <c r="B1409" s="4">
        <v>47039</v>
      </c>
      <c r="C1409" t="s">
        <v>1546</v>
      </c>
      <c r="D1409" t="s">
        <v>25</v>
      </c>
      <c r="E1409" t="s">
        <v>26</v>
      </c>
      <c r="F1409" t="s">
        <v>160</v>
      </c>
      <c r="G1409">
        <v>4</v>
      </c>
      <c r="H1409" s="5">
        <v>3.25</v>
      </c>
      <c r="I1409" t="s">
        <v>21</v>
      </c>
      <c r="J1409" t="s">
        <v>81</v>
      </c>
      <c r="K1409" t="s">
        <v>82</v>
      </c>
      <c r="L1409" t="s">
        <v>2125</v>
      </c>
      <c r="M1409" s="5">
        <f t="shared" si="127"/>
        <v>13</v>
      </c>
      <c r="N1409" t="str">
        <f t="shared" si="128"/>
        <v>October</v>
      </c>
      <c r="O1409" t="str">
        <f t="shared" si="129"/>
        <v>Friday</v>
      </c>
      <c r="P1409">
        <f t="shared" si="126"/>
        <v>16</v>
      </c>
      <c r="Q1409" s="2">
        <f t="shared" si="130"/>
        <v>5</v>
      </c>
      <c r="R1409" s="2">
        <f t="shared" si="131"/>
        <v>10</v>
      </c>
      <c r="S1409">
        <f>SUMIF(Table1[product_category],"Bakery",Table1[Total_bill])</f>
        <v>2951.25</v>
      </c>
    </row>
    <row r="1410" spans="1:19" x14ac:dyDescent="0.3">
      <c r="A1410" s="2">
        <v>11409</v>
      </c>
      <c r="B1410" s="4">
        <v>47040</v>
      </c>
      <c r="C1410" t="s">
        <v>1547</v>
      </c>
      <c r="D1410" t="s">
        <v>18</v>
      </c>
      <c r="E1410" t="s">
        <v>19</v>
      </c>
      <c r="F1410" t="s">
        <v>162</v>
      </c>
      <c r="G1410">
        <v>1</v>
      </c>
      <c r="H1410" s="5">
        <v>14</v>
      </c>
      <c r="I1410" t="s">
        <v>98</v>
      </c>
      <c r="J1410" t="s">
        <v>98</v>
      </c>
      <c r="K1410" t="s">
        <v>129</v>
      </c>
      <c r="L1410" t="s">
        <v>2125</v>
      </c>
      <c r="M1410" s="5">
        <f t="shared" si="127"/>
        <v>14</v>
      </c>
      <c r="N1410" t="str">
        <f t="shared" si="128"/>
        <v>October</v>
      </c>
      <c r="O1410" t="str">
        <f t="shared" si="129"/>
        <v>Saturday</v>
      </c>
      <c r="P1410">
        <f t="shared" ref="P1410:P1473" si="132">HOUR(TIMEVALUE(C1410))</f>
        <v>13</v>
      </c>
      <c r="Q1410" s="2">
        <f t="shared" si="130"/>
        <v>6</v>
      </c>
      <c r="R1410" s="2">
        <f t="shared" si="131"/>
        <v>10</v>
      </c>
      <c r="S1410">
        <f>SUMIF(Table1[product_category],"Bakery",Table1[Total_bill])</f>
        <v>2951.25</v>
      </c>
    </row>
    <row r="1411" spans="1:19" x14ac:dyDescent="0.3">
      <c r="A1411" s="2">
        <v>11410</v>
      </c>
      <c r="B1411" s="4">
        <v>47041</v>
      </c>
      <c r="C1411" t="s">
        <v>1548</v>
      </c>
      <c r="D1411" t="s">
        <v>25</v>
      </c>
      <c r="E1411" t="s">
        <v>26</v>
      </c>
      <c r="F1411" t="s">
        <v>164</v>
      </c>
      <c r="G1411">
        <v>4</v>
      </c>
      <c r="H1411" s="5">
        <v>3.25</v>
      </c>
      <c r="I1411" t="s">
        <v>36</v>
      </c>
      <c r="J1411" t="s">
        <v>211</v>
      </c>
      <c r="K1411" t="s">
        <v>239</v>
      </c>
      <c r="L1411" t="s">
        <v>2122</v>
      </c>
      <c r="M1411" s="5">
        <f t="shared" ref="M1411:M1474" si="133">G1411*H1411</f>
        <v>13</v>
      </c>
      <c r="N1411" t="str">
        <f t="shared" ref="N1411:N1474" si="134">TEXT(B1411,"mmmm")</f>
        <v>October</v>
      </c>
      <c r="O1411" t="str">
        <f t="shared" ref="O1411:O1474" si="135">TEXT(B1411,"dddd")</f>
        <v>Sunday</v>
      </c>
      <c r="P1411">
        <f t="shared" si="132"/>
        <v>17</v>
      </c>
      <c r="Q1411" s="2">
        <f t="shared" ref="Q1411:Q1474" si="136">WEEKDAY(B1411,2)</f>
        <v>7</v>
      </c>
      <c r="R1411" s="2">
        <f t="shared" ref="R1411:R1474" si="137">MONTH(B1411)</f>
        <v>10</v>
      </c>
      <c r="S1411">
        <f>SUMIF(Table1[product_category],"Bakery",Table1[Total_bill])</f>
        <v>2951.25</v>
      </c>
    </row>
    <row r="1412" spans="1:19" x14ac:dyDescent="0.3">
      <c r="A1412" s="2">
        <v>11411</v>
      </c>
      <c r="B1412" s="4">
        <v>47042</v>
      </c>
      <c r="C1412" t="s">
        <v>1549</v>
      </c>
      <c r="D1412" t="s">
        <v>40</v>
      </c>
      <c r="E1412" t="s">
        <v>41</v>
      </c>
      <c r="F1412" t="s">
        <v>166</v>
      </c>
      <c r="G1412">
        <v>1</v>
      </c>
      <c r="H1412" s="5">
        <v>13</v>
      </c>
      <c r="I1412" t="s">
        <v>98</v>
      </c>
      <c r="J1412" t="s">
        <v>98</v>
      </c>
      <c r="K1412" t="s">
        <v>95</v>
      </c>
      <c r="L1412" t="s">
        <v>2125</v>
      </c>
      <c r="M1412" s="5">
        <f t="shared" si="133"/>
        <v>13</v>
      </c>
      <c r="N1412" t="str">
        <f t="shared" si="134"/>
        <v>October</v>
      </c>
      <c r="O1412" t="str">
        <f t="shared" si="135"/>
        <v>Monday</v>
      </c>
      <c r="P1412">
        <f t="shared" si="132"/>
        <v>8</v>
      </c>
      <c r="Q1412" s="2">
        <f t="shared" si="136"/>
        <v>1</v>
      </c>
      <c r="R1412" s="2">
        <f t="shared" si="137"/>
        <v>10</v>
      </c>
      <c r="S1412">
        <f>SUMIF(Table1[product_category],"Bakery",Table1[Total_bill])</f>
        <v>2951.25</v>
      </c>
    </row>
    <row r="1413" spans="1:19" x14ac:dyDescent="0.3">
      <c r="A1413" s="2">
        <v>11412</v>
      </c>
      <c r="B1413" s="4">
        <v>47043</v>
      </c>
      <c r="C1413" t="s">
        <v>1550</v>
      </c>
      <c r="D1413" t="s">
        <v>40</v>
      </c>
      <c r="E1413" t="s">
        <v>41</v>
      </c>
      <c r="F1413" t="s">
        <v>168</v>
      </c>
      <c r="G1413">
        <v>4</v>
      </c>
      <c r="H1413" s="5">
        <v>8</v>
      </c>
      <c r="I1413" t="s">
        <v>28</v>
      </c>
      <c r="J1413" t="s">
        <v>28</v>
      </c>
      <c r="K1413" t="s">
        <v>76</v>
      </c>
      <c r="L1413" t="s">
        <v>2125</v>
      </c>
      <c r="M1413" s="5">
        <f t="shared" si="133"/>
        <v>32</v>
      </c>
      <c r="N1413" t="str">
        <f t="shared" si="134"/>
        <v>October</v>
      </c>
      <c r="O1413" t="str">
        <f t="shared" si="135"/>
        <v>Tuesday</v>
      </c>
      <c r="P1413">
        <f t="shared" si="132"/>
        <v>7</v>
      </c>
      <c r="Q1413" s="2">
        <f t="shared" si="136"/>
        <v>2</v>
      </c>
      <c r="R1413" s="2">
        <f t="shared" si="137"/>
        <v>10</v>
      </c>
      <c r="S1413">
        <f>SUMIF(Table1[product_category],"Bakery",Table1[Total_bill])</f>
        <v>2951.25</v>
      </c>
    </row>
    <row r="1414" spans="1:19" x14ac:dyDescent="0.3">
      <c r="A1414" s="2">
        <v>11413</v>
      </c>
      <c r="B1414" s="4">
        <v>47044</v>
      </c>
      <c r="C1414" t="s">
        <v>1551</v>
      </c>
      <c r="D1414" t="s">
        <v>18</v>
      </c>
      <c r="E1414" t="s">
        <v>19</v>
      </c>
      <c r="F1414" t="s">
        <v>170</v>
      </c>
      <c r="G1414">
        <v>3</v>
      </c>
      <c r="H1414" s="5">
        <v>4.25</v>
      </c>
      <c r="I1414" t="s">
        <v>32</v>
      </c>
      <c r="J1414" t="s">
        <v>202</v>
      </c>
      <c r="K1414" t="s">
        <v>202</v>
      </c>
      <c r="L1414" t="s">
        <v>2124</v>
      </c>
      <c r="M1414" s="5">
        <f t="shared" si="133"/>
        <v>12.75</v>
      </c>
      <c r="N1414" t="str">
        <f t="shared" si="134"/>
        <v>October</v>
      </c>
      <c r="O1414" t="str">
        <f t="shared" si="135"/>
        <v>Wednesday</v>
      </c>
      <c r="P1414">
        <f t="shared" si="132"/>
        <v>9</v>
      </c>
      <c r="Q1414" s="2">
        <f t="shared" si="136"/>
        <v>3</v>
      </c>
      <c r="R1414" s="2">
        <f t="shared" si="137"/>
        <v>10</v>
      </c>
      <c r="S1414">
        <f>SUMIF(Table1[product_category],"Bakery",Table1[Total_bill])</f>
        <v>2951.25</v>
      </c>
    </row>
    <row r="1415" spans="1:19" x14ac:dyDescent="0.3">
      <c r="A1415" s="2">
        <v>11414</v>
      </c>
      <c r="B1415" s="4">
        <v>47045</v>
      </c>
      <c r="C1415" t="s">
        <v>1552</v>
      </c>
      <c r="D1415" t="s">
        <v>40</v>
      </c>
      <c r="E1415" t="s">
        <v>41</v>
      </c>
      <c r="F1415" t="s">
        <v>172</v>
      </c>
      <c r="G1415">
        <v>3</v>
      </c>
      <c r="H1415" s="5">
        <v>3.25</v>
      </c>
      <c r="I1415" t="s">
        <v>36</v>
      </c>
      <c r="J1415" t="s">
        <v>211</v>
      </c>
      <c r="K1415" t="s">
        <v>239</v>
      </c>
      <c r="L1415" t="s">
        <v>2122</v>
      </c>
      <c r="M1415" s="5">
        <f t="shared" si="133"/>
        <v>9.75</v>
      </c>
      <c r="N1415" t="str">
        <f t="shared" si="134"/>
        <v>October</v>
      </c>
      <c r="O1415" t="str">
        <f t="shared" si="135"/>
        <v>Thursday</v>
      </c>
      <c r="P1415">
        <f t="shared" si="132"/>
        <v>6</v>
      </c>
      <c r="Q1415" s="2">
        <f t="shared" si="136"/>
        <v>4</v>
      </c>
      <c r="R1415" s="2">
        <f t="shared" si="137"/>
        <v>10</v>
      </c>
      <c r="S1415">
        <f>SUMIF(Table1[product_category],"Bakery",Table1[Total_bill])</f>
        <v>2951.25</v>
      </c>
    </row>
    <row r="1416" spans="1:19" x14ac:dyDescent="0.3">
      <c r="A1416" s="2">
        <v>11415</v>
      </c>
      <c r="B1416" s="4">
        <v>47046</v>
      </c>
      <c r="C1416" t="s">
        <v>1553</v>
      </c>
      <c r="D1416" t="s">
        <v>18</v>
      </c>
      <c r="E1416" t="s">
        <v>19</v>
      </c>
      <c r="F1416" t="s">
        <v>174</v>
      </c>
      <c r="G1416">
        <v>1</v>
      </c>
      <c r="H1416" s="5">
        <v>3.5</v>
      </c>
      <c r="I1416" t="s">
        <v>36</v>
      </c>
      <c r="J1416" t="s">
        <v>37</v>
      </c>
      <c r="K1416" t="s">
        <v>276</v>
      </c>
      <c r="L1416" t="s">
        <v>2123</v>
      </c>
      <c r="M1416" s="5">
        <f t="shared" si="133"/>
        <v>3.5</v>
      </c>
      <c r="N1416" t="str">
        <f t="shared" si="134"/>
        <v>October</v>
      </c>
      <c r="O1416" t="str">
        <f t="shared" si="135"/>
        <v>Friday</v>
      </c>
      <c r="P1416">
        <f t="shared" si="132"/>
        <v>12</v>
      </c>
      <c r="Q1416" s="2">
        <f t="shared" si="136"/>
        <v>5</v>
      </c>
      <c r="R1416" s="2">
        <f t="shared" si="137"/>
        <v>10</v>
      </c>
      <c r="S1416">
        <f>SUMIF(Table1[product_category],"Bakery",Table1[Total_bill])</f>
        <v>2951.25</v>
      </c>
    </row>
    <row r="1417" spans="1:19" x14ac:dyDescent="0.3">
      <c r="A1417" s="2">
        <v>11416</v>
      </c>
      <c r="B1417" s="4">
        <v>47047</v>
      </c>
      <c r="C1417" t="s">
        <v>1554</v>
      </c>
      <c r="D1417" t="s">
        <v>25</v>
      </c>
      <c r="E1417" t="s">
        <v>26</v>
      </c>
      <c r="F1417" t="s">
        <v>176</v>
      </c>
      <c r="G1417">
        <v>1</v>
      </c>
      <c r="H1417" s="5">
        <v>11</v>
      </c>
      <c r="I1417" t="s">
        <v>98</v>
      </c>
      <c r="J1417" t="s">
        <v>98</v>
      </c>
      <c r="K1417" t="s">
        <v>215</v>
      </c>
      <c r="L1417" t="s">
        <v>2125</v>
      </c>
      <c r="M1417" s="5">
        <f t="shared" si="133"/>
        <v>11</v>
      </c>
      <c r="N1417" t="str">
        <f t="shared" si="134"/>
        <v>October</v>
      </c>
      <c r="O1417" t="str">
        <f t="shared" si="135"/>
        <v>Saturday</v>
      </c>
      <c r="P1417">
        <f t="shared" si="132"/>
        <v>19</v>
      </c>
      <c r="Q1417" s="2">
        <f t="shared" si="136"/>
        <v>6</v>
      </c>
      <c r="R1417" s="2">
        <f t="shared" si="137"/>
        <v>10</v>
      </c>
      <c r="S1417">
        <f>SUMIF(Table1[product_category],"Bakery",Table1[Total_bill])</f>
        <v>2951.25</v>
      </c>
    </row>
    <row r="1418" spans="1:19" x14ac:dyDescent="0.3">
      <c r="A1418" s="2">
        <v>11417</v>
      </c>
      <c r="B1418" s="4">
        <v>47048</v>
      </c>
      <c r="C1418" t="s">
        <v>1555</v>
      </c>
      <c r="D1418" t="s">
        <v>18</v>
      </c>
      <c r="E1418" t="s">
        <v>19</v>
      </c>
      <c r="F1418" t="s">
        <v>178</v>
      </c>
      <c r="G1418">
        <v>1</v>
      </c>
      <c r="H1418" s="5">
        <v>3.25</v>
      </c>
      <c r="I1418" t="s">
        <v>32</v>
      </c>
      <c r="J1418" t="s">
        <v>144</v>
      </c>
      <c r="K1418" t="s">
        <v>144</v>
      </c>
      <c r="L1418" t="s">
        <v>2124</v>
      </c>
      <c r="M1418" s="5">
        <f t="shared" si="133"/>
        <v>3.25</v>
      </c>
      <c r="N1418" t="str">
        <f t="shared" si="134"/>
        <v>October</v>
      </c>
      <c r="O1418" t="str">
        <f t="shared" si="135"/>
        <v>Sunday</v>
      </c>
      <c r="P1418">
        <f t="shared" si="132"/>
        <v>6</v>
      </c>
      <c r="Q1418" s="2">
        <f t="shared" si="136"/>
        <v>7</v>
      </c>
      <c r="R1418" s="2">
        <f t="shared" si="137"/>
        <v>10</v>
      </c>
      <c r="S1418">
        <f>SUMIF(Table1[product_category],"Bakery",Table1[Total_bill])</f>
        <v>2951.25</v>
      </c>
    </row>
    <row r="1419" spans="1:19" x14ac:dyDescent="0.3">
      <c r="A1419" s="2">
        <v>11418</v>
      </c>
      <c r="B1419" s="4">
        <v>47049</v>
      </c>
      <c r="C1419" t="s">
        <v>1556</v>
      </c>
      <c r="D1419" t="s">
        <v>25</v>
      </c>
      <c r="E1419" t="s">
        <v>26</v>
      </c>
      <c r="F1419" t="s">
        <v>180</v>
      </c>
      <c r="G1419">
        <v>1</v>
      </c>
      <c r="H1419" s="5">
        <v>4.5</v>
      </c>
      <c r="I1419" t="s">
        <v>89</v>
      </c>
      <c r="J1419" t="s">
        <v>90</v>
      </c>
      <c r="K1419" t="s">
        <v>91</v>
      </c>
      <c r="L1419" t="s">
        <v>2124</v>
      </c>
      <c r="M1419" s="5">
        <f t="shared" si="133"/>
        <v>4.5</v>
      </c>
      <c r="N1419" t="str">
        <f t="shared" si="134"/>
        <v>October</v>
      </c>
      <c r="O1419" t="str">
        <f t="shared" si="135"/>
        <v>Monday</v>
      </c>
      <c r="P1419">
        <f t="shared" si="132"/>
        <v>7</v>
      </c>
      <c r="Q1419" s="2">
        <f t="shared" si="136"/>
        <v>1</v>
      </c>
      <c r="R1419" s="2">
        <f t="shared" si="137"/>
        <v>10</v>
      </c>
      <c r="S1419">
        <f>SUMIF(Table1[product_category],"Bakery",Table1[Total_bill])</f>
        <v>2951.25</v>
      </c>
    </row>
    <row r="1420" spans="1:19" x14ac:dyDescent="0.3">
      <c r="A1420" s="2">
        <v>11419</v>
      </c>
      <c r="B1420" s="4">
        <v>47050</v>
      </c>
      <c r="C1420" t="s">
        <v>1557</v>
      </c>
      <c r="D1420" t="s">
        <v>25</v>
      </c>
      <c r="E1420" t="s">
        <v>26</v>
      </c>
      <c r="F1420" t="s">
        <v>184</v>
      </c>
      <c r="G1420">
        <v>4</v>
      </c>
      <c r="H1420" s="5">
        <v>5.5</v>
      </c>
      <c r="I1420" t="s">
        <v>72</v>
      </c>
      <c r="J1420" t="s">
        <v>72</v>
      </c>
      <c r="K1420" t="s">
        <v>73</v>
      </c>
      <c r="L1420" t="s">
        <v>2125</v>
      </c>
      <c r="M1420" s="5">
        <f t="shared" si="133"/>
        <v>22</v>
      </c>
      <c r="N1420" t="str">
        <f t="shared" si="134"/>
        <v>October</v>
      </c>
      <c r="O1420" t="str">
        <f t="shared" si="135"/>
        <v>Tuesday</v>
      </c>
      <c r="P1420">
        <f t="shared" si="132"/>
        <v>11</v>
      </c>
      <c r="Q1420" s="2">
        <f t="shared" si="136"/>
        <v>2</v>
      </c>
      <c r="R1420" s="2">
        <f t="shared" si="137"/>
        <v>10</v>
      </c>
      <c r="S1420">
        <f>SUMIF(Table1[product_category],"Bakery",Table1[Total_bill])</f>
        <v>2951.25</v>
      </c>
    </row>
    <row r="1421" spans="1:19" x14ac:dyDescent="0.3">
      <c r="A1421" s="2">
        <v>11420</v>
      </c>
      <c r="B1421" s="4">
        <v>47051</v>
      </c>
      <c r="C1421" t="s">
        <v>1558</v>
      </c>
      <c r="D1421" t="s">
        <v>18</v>
      </c>
      <c r="E1421" t="s">
        <v>19</v>
      </c>
      <c r="F1421" t="s">
        <v>186</v>
      </c>
      <c r="G1421">
        <v>1</v>
      </c>
      <c r="H1421" s="5">
        <v>2.25</v>
      </c>
      <c r="I1421" t="s">
        <v>32</v>
      </c>
      <c r="J1421" t="s">
        <v>43</v>
      </c>
      <c r="K1421" t="s">
        <v>44</v>
      </c>
      <c r="L1421" t="s">
        <v>2124</v>
      </c>
      <c r="M1421" s="5">
        <f t="shared" si="133"/>
        <v>2.25</v>
      </c>
      <c r="N1421" t="str">
        <f t="shared" si="134"/>
        <v>October</v>
      </c>
      <c r="O1421" t="str">
        <f t="shared" si="135"/>
        <v>Wednesday</v>
      </c>
      <c r="P1421">
        <f t="shared" si="132"/>
        <v>19</v>
      </c>
      <c r="Q1421" s="2">
        <f t="shared" si="136"/>
        <v>3</v>
      </c>
      <c r="R1421" s="2">
        <f t="shared" si="137"/>
        <v>10</v>
      </c>
      <c r="S1421">
        <f>SUMIF(Table1[product_category],"Bakery",Table1[Total_bill])</f>
        <v>2951.25</v>
      </c>
    </row>
    <row r="1422" spans="1:19" x14ac:dyDescent="0.3">
      <c r="A1422" s="2">
        <v>11421</v>
      </c>
      <c r="B1422" s="4">
        <v>47052</v>
      </c>
      <c r="C1422" t="s">
        <v>1559</v>
      </c>
      <c r="D1422" t="s">
        <v>40</v>
      </c>
      <c r="E1422" t="s">
        <v>41</v>
      </c>
      <c r="F1422" t="s">
        <v>188</v>
      </c>
      <c r="G1422">
        <v>1</v>
      </c>
      <c r="H1422" s="5">
        <v>4</v>
      </c>
      <c r="I1422" t="s">
        <v>32</v>
      </c>
      <c r="J1422" t="s">
        <v>122</v>
      </c>
      <c r="K1422" t="s">
        <v>122</v>
      </c>
      <c r="L1422" t="s">
        <v>2124</v>
      </c>
      <c r="M1422" s="5">
        <f t="shared" si="133"/>
        <v>4</v>
      </c>
      <c r="N1422" t="str">
        <f t="shared" si="134"/>
        <v>October</v>
      </c>
      <c r="O1422" t="str">
        <f t="shared" si="135"/>
        <v>Thursday</v>
      </c>
      <c r="P1422">
        <f t="shared" si="132"/>
        <v>9</v>
      </c>
      <c r="Q1422" s="2">
        <f t="shared" si="136"/>
        <v>4</v>
      </c>
      <c r="R1422" s="2">
        <f t="shared" si="137"/>
        <v>10</v>
      </c>
      <c r="S1422">
        <f>SUMIF(Table1[product_category],"Bakery",Table1[Total_bill])</f>
        <v>2951.25</v>
      </c>
    </row>
    <row r="1423" spans="1:19" x14ac:dyDescent="0.3">
      <c r="A1423" s="2">
        <v>11422</v>
      </c>
      <c r="B1423" s="4">
        <v>47053</v>
      </c>
      <c r="C1423" t="s">
        <v>1560</v>
      </c>
      <c r="D1423" t="s">
        <v>25</v>
      </c>
      <c r="E1423" t="s">
        <v>26</v>
      </c>
      <c r="F1423" t="s">
        <v>190</v>
      </c>
      <c r="G1423">
        <v>4</v>
      </c>
      <c r="H1423" s="5">
        <v>4.75</v>
      </c>
      <c r="I1423" t="s">
        <v>32</v>
      </c>
      <c r="J1423" t="s">
        <v>69</v>
      </c>
      <c r="K1423" t="s">
        <v>69</v>
      </c>
      <c r="L1423" t="s">
        <v>2123</v>
      </c>
      <c r="M1423" s="5">
        <f t="shared" si="133"/>
        <v>19</v>
      </c>
      <c r="N1423" t="str">
        <f t="shared" si="134"/>
        <v>October</v>
      </c>
      <c r="O1423" t="str">
        <f t="shared" si="135"/>
        <v>Friday</v>
      </c>
      <c r="P1423">
        <f t="shared" si="132"/>
        <v>12</v>
      </c>
      <c r="Q1423" s="2">
        <f t="shared" si="136"/>
        <v>5</v>
      </c>
      <c r="R1423" s="2">
        <f t="shared" si="137"/>
        <v>10</v>
      </c>
      <c r="S1423">
        <f>SUMIF(Table1[product_category],"Bakery",Table1[Total_bill])</f>
        <v>2951.25</v>
      </c>
    </row>
    <row r="1424" spans="1:19" x14ac:dyDescent="0.3">
      <c r="A1424" s="2">
        <v>11423</v>
      </c>
      <c r="B1424" s="4">
        <v>47054</v>
      </c>
      <c r="C1424" t="s">
        <v>1561</v>
      </c>
      <c r="D1424" t="s">
        <v>25</v>
      </c>
      <c r="E1424" t="s">
        <v>26</v>
      </c>
      <c r="F1424" t="s">
        <v>192</v>
      </c>
      <c r="G1424">
        <v>1</v>
      </c>
      <c r="H1424" s="5">
        <v>3.5</v>
      </c>
      <c r="I1424" t="s">
        <v>36</v>
      </c>
      <c r="J1424" t="s">
        <v>246</v>
      </c>
      <c r="K1424" t="s">
        <v>247</v>
      </c>
      <c r="L1424" t="s">
        <v>2123</v>
      </c>
      <c r="M1424" s="5">
        <f t="shared" si="133"/>
        <v>3.5</v>
      </c>
      <c r="N1424" t="str">
        <f t="shared" si="134"/>
        <v>October</v>
      </c>
      <c r="O1424" t="str">
        <f t="shared" si="135"/>
        <v>Saturday</v>
      </c>
      <c r="P1424">
        <f t="shared" si="132"/>
        <v>6</v>
      </c>
      <c r="Q1424" s="2">
        <f t="shared" si="136"/>
        <v>6</v>
      </c>
      <c r="R1424" s="2">
        <f t="shared" si="137"/>
        <v>10</v>
      </c>
      <c r="S1424">
        <f>SUMIF(Table1[product_category],"Bakery",Table1[Total_bill])</f>
        <v>2951.25</v>
      </c>
    </row>
    <row r="1425" spans="1:19" x14ac:dyDescent="0.3">
      <c r="A1425" s="2">
        <v>11424</v>
      </c>
      <c r="B1425" s="4">
        <v>47055</v>
      </c>
      <c r="C1425" t="s">
        <v>1562</v>
      </c>
      <c r="D1425" t="s">
        <v>25</v>
      </c>
      <c r="E1425" t="s">
        <v>26</v>
      </c>
      <c r="F1425" t="s">
        <v>195</v>
      </c>
      <c r="G1425">
        <v>3</v>
      </c>
      <c r="H1425" s="5">
        <v>4</v>
      </c>
      <c r="I1425" t="s">
        <v>89</v>
      </c>
      <c r="J1425" t="s">
        <v>261</v>
      </c>
      <c r="K1425" t="s">
        <v>261</v>
      </c>
      <c r="L1425" t="s">
        <v>2124</v>
      </c>
      <c r="M1425" s="5">
        <f t="shared" si="133"/>
        <v>12</v>
      </c>
      <c r="N1425" t="str">
        <f t="shared" si="134"/>
        <v>October</v>
      </c>
      <c r="O1425" t="str">
        <f t="shared" si="135"/>
        <v>Sunday</v>
      </c>
      <c r="P1425">
        <f t="shared" si="132"/>
        <v>7</v>
      </c>
      <c r="Q1425" s="2">
        <f t="shared" si="136"/>
        <v>7</v>
      </c>
      <c r="R1425" s="2">
        <f t="shared" si="137"/>
        <v>10</v>
      </c>
      <c r="S1425">
        <f>SUMIF(Table1[product_category],"Bakery",Table1[Total_bill])</f>
        <v>2951.25</v>
      </c>
    </row>
    <row r="1426" spans="1:19" x14ac:dyDescent="0.3">
      <c r="A1426" s="2">
        <v>11425</v>
      </c>
      <c r="B1426" s="4">
        <v>47056</v>
      </c>
      <c r="C1426" t="s">
        <v>1563</v>
      </c>
      <c r="D1426" t="s">
        <v>25</v>
      </c>
      <c r="E1426" t="s">
        <v>26</v>
      </c>
      <c r="F1426" t="s">
        <v>197</v>
      </c>
      <c r="G1426">
        <v>4</v>
      </c>
      <c r="H1426" s="5">
        <v>3.5</v>
      </c>
      <c r="I1426" t="s">
        <v>32</v>
      </c>
      <c r="J1426" t="s">
        <v>55</v>
      </c>
      <c r="K1426" t="s">
        <v>55</v>
      </c>
      <c r="L1426" t="s">
        <v>2124</v>
      </c>
      <c r="M1426" s="5">
        <f t="shared" si="133"/>
        <v>14</v>
      </c>
      <c r="N1426" t="str">
        <f t="shared" si="134"/>
        <v>October</v>
      </c>
      <c r="O1426" t="str">
        <f t="shared" si="135"/>
        <v>Monday</v>
      </c>
      <c r="P1426">
        <f t="shared" si="132"/>
        <v>20</v>
      </c>
      <c r="Q1426" s="2">
        <f t="shared" si="136"/>
        <v>1</v>
      </c>
      <c r="R1426" s="2">
        <f t="shared" si="137"/>
        <v>10</v>
      </c>
      <c r="S1426">
        <f>SUMIF(Table1[product_category],"Bakery",Table1[Total_bill])</f>
        <v>2951.25</v>
      </c>
    </row>
    <row r="1427" spans="1:19" x14ac:dyDescent="0.3">
      <c r="A1427" s="2">
        <v>11426</v>
      </c>
      <c r="B1427" s="4">
        <v>47057</v>
      </c>
      <c r="C1427" t="s">
        <v>1564</v>
      </c>
      <c r="D1427" t="s">
        <v>40</v>
      </c>
      <c r="E1427" t="s">
        <v>41</v>
      </c>
      <c r="F1427" t="s">
        <v>199</v>
      </c>
      <c r="G1427">
        <v>1</v>
      </c>
      <c r="H1427" s="5">
        <v>4.75</v>
      </c>
      <c r="I1427" t="s">
        <v>32</v>
      </c>
      <c r="J1427" t="s">
        <v>122</v>
      </c>
      <c r="K1427" t="s">
        <v>122</v>
      </c>
      <c r="L1427" t="s">
        <v>2123</v>
      </c>
      <c r="M1427" s="5">
        <f t="shared" si="133"/>
        <v>4.75</v>
      </c>
      <c r="N1427" t="str">
        <f t="shared" si="134"/>
        <v>October</v>
      </c>
      <c r="O1427" t="str">
        <f t="shared" si="135"/>
        <v>Tuesday</v>
      </c>
      <c r="P1427">
        <f t="shared" si="132"/>
        <v>20</v>
      </c>
      <c r="Q1427" s="2">
        <f t="shared" si="136"/>
        <v>2</v>
      </c>
      <c r="R1427" s="2">
        <f t="shared" si="137"/>
        <v>10</v>
      </c>
      <c r="S1427">
        <f>SUMIF(Table1[product_category],"Bakery",Table1[Total_bill])</f>
        <v>2951.25</v>
      </c>
    </row>
    <row r="1428" spans="1:19" x14ac:dyDescent="0.3">
      <c r="A1428" s="2">
        <v>11427</v>
      </c>
      <c r="B1428" s="4">
        <v>47058</v>
      </c>
      <c r="C1428" t="s">
        <v>1565</v>
      </c>
      <c r="D1428" t="s">
        <v>40</v>
      </c>
      <c r="E1428" t="s">
        <v>41</v>
      </c>
      <c r="F1428" t="s">
        <v>201</v>
      </c>
      <c r="G1428">
        <v>4</v>
      </c>
      <c r="H1428" s="5">
        <v>14</v>
      </c>
      <c r="I1428" t="s">
        <v>98</v>
      </c>
      <c r="J1428" t="s">
        <v>98</v>
      </c>
      <c r="K1428" t="s">
        <v>129</v>
      </c>
      <c r="L1428" t="s">
        <v>2125</v>
      </c>
      <c r="M1428" s="5">
        <f t="shared" si="133"/>
        <v>56</v>
      </c>
      <c r="N1428" t="str">
        <f t="shared" si="134"/>
        <v>November</v>
      </c>
      <c r="O1428" t="str">
        <f t="shared" si="135"/>
        <v>Wednesday</v>
      </c>
      <c r="P1428">
        <f t="shared" si="132"/>
        <v>6</v>
      </c>
      <c r="Q1428" s="2">
        <f t="shared" si="136"/>
        <v>3</v>
      </c>
      <c r="R1428" s="2">
        <f t="shared" si="137"/>
        <v>11</v>
      </c>
      <c r="S1428">
        <f>SUMIF(Table1[product_category],"Bakery",Table1[Total_bill])</f>
        <v>2951.25</v>
      </c>
    </row>
    <row r="1429" spans="1:19" x14ac:dyDescent="0.3">
      <c r="A1429" s="2">
        <v>11428</v>
      </c>
      <c r="B1429" s="4">
        <v>47059</v>
      </c>
      <c r="C1429" t="s">
        <v>1566</v>
      </c>
      <c r="D1429" t="s">
        <v>18</v>
      </c>
      <c r="E1429" t="s">
        <v>19</v>
      </c>
      <c r="F1429" t="s">
        <v>204</v>
      </c>
      <c r="G1429">
        <v>1</v>
      </c>
      <c r="H1429" s="5">
        <v>13</v>
      </c>
      <c r="I1429" t="s">
        <v>98</v>
      </c>
      <c r="J1429" t="s">
        <v>98</v>
      </c>
      <c r="K1429" t="s">
        <v>95</v>
      </c>
      <c r="L1429" t="s">
        <v>2125</v>
      </c>
      <c r="M1429" s="5">
        <f t="shared" si="133"/>
        <v>13</v>
      </c>
      <c r="N1429" t="str">
        <f t="shared" si="134"/>
        <v>November</v>
      </c>
      <c r="O1429" t="str">
        <f t="shared" si="135"/>
        <v>Thursday</v>
      </c>
      <c r="P1429">
        <f t="shared" si="132"/>
        <v>20</v>
      </c>
      <c r="Q1429" s="2">
        <f t="shared" si="136"/>
        <v>4</v>
      </c>
      <c r="R1429" s="2">
        <f t="shared" si="137"/>
        <v>11</v>
      </c>
      <c r="S1429">
        <f>SUMIF(Table1[product_category],"Bakery",Table1[Total_bill])</f>
        <v>2951.25</v>
      </c>
    </row>
    <row r="1430" spans="1:19" x14ac:dyDescent="0.3">
      <c r="A1430" s="2">
        <v>11429</v>
      </c>
      <c r="B1430" s="4">
        <v>47060</v>
      </c>
      <c r="C1430" t="s">
        <v>1567</v>
      </c>
      <c r="D1430" t="s">
        <v>18</v>
      </c>
      <c r="E1430" t="s">
        <v>19</v>
      </c>
      <c r="F1430" t="s">
        <v>206</v>
      </c>
      <c r="G1430">
        <v>4</v>
      </c>
      <c r="H1430" s="5">
        <v>3.75</v>
      </c>
      <c r="I1430" t="s">
        <v>36</v>
      </c>
      <c r="J1430" t="s">
        <v>211</v>
      </c>
      <c r="K1430" t="s">
        <v>239</v>
      </c>
      <c r="L1430" t="s">
        <v>2124</v>
      </c>
      <c r="M1430" s="5">
        <f t="shared" si="133"/>
        <v>15</v>
      </c>
      <c r="N1430" t="str">
        <f t="shared" si="134"/>
        <v>November</v>
      </c>
      <c r="O1430" t="str">
        <f t="shared" si="135"/>
        <v>Friday</v>
      </c>
      <c r="P1430">
        <f t="shared" si="132"/>
        <v>13</v>
      </c>
      <c r="Q1430" s="2">
        <f t="shared" si="136"/>
        <v>5</v>
      </c>
      <c r="R1430" s="2">
        <f t="shared" si="137"/>
        <v>11</v>
      </c>
      <c r="S1430">
        <f>SUMIF(Table1[product_category],"Bakery",Table1[Total_bill])</f>
        <v>2951.25</v>
      </c>
    </row>
    <row r="1431" spans="1:19" x14ac:dyDescent="0.3">
      <c r="A1431" s="2">
        <v>11430</v>
      </c>
      <c r="B1431" s="4">
        <v>47061</v>
      </c>
      <c r="C1431" t="s">
        <v>1568</v>
      </c>
      <c r="D1431" t="s">
        <v>40</v>
      </c>
      <c r="E1431" t="s">
        <v>41</v>
      </c>
      <c r="F1431" t="s">
        <v>208</v>
      </c>
      <c r="G1431">
        <v>2</v>
      </c>
      <c r="H1431" s="5">
        <v>5.5</v>
      </c>
      <c r="I1431" t="s">
        <v>72</v>
      </c>
      <c r="J1431" t="s">
        <v>72</v>
      </c>
      <c r="K1431" t="s">
        <v>73</v>
      </c>
      <c r="L1431" t="s">
        <v>2125</v>
      </c>
      <c r="M1431" s="5">
        <f t="shared" si="133"/>
        <v>11</v>
      </c>
      <c r="N1431" t="str">
        <f t="shared" si="134"/>
        <v>November</v>
      </c>
      <c r="O1431" t="str">
        <f t="shared" si="135"/>
        <v>Saturday</v>
      </c>
      <c r="P1431">
        <f t="shared" si="132"/>
        <v>17</v>
      </c>
      <c r="Q1431" s="2">
        <f t="shared" si="136"/>
        <v>6</v>
      </c>
      <c r="R1431" s="2">
        <f t="shared" si="137"/>
        <v>11</v>
      </c>
      <c r="S1431">
        <f>SUMIF(Table1[product_category],"Bakery",Table1[Total_bill])</f>
        <v>2951.25</v>
      </c>
    </row>
    <row r="1432" spans="1:19" x14ac:dyDescent="0.3">
      <c r="A1432" s="2">
        <v>11431</v>
      </c>
      <c r="B1432" s="4">
        <v>47062</v>
      </c>
      <c r="C1432" t="s">
        <v>1569</v>
      </c>
      <c r="D1432" t="s">
        <v>25</v>
      </c>
      <c r="E1432" t="s">
        <v>26</v>
      </c>
      <c r="F1432" t="s">
        <v>210</v>
      </c>
      <c r="G1432">
        <v>1</v>
      </c>
      <c r="H1432" s="5">
        <v>6</v>
      </c>
      <c r="I1432" t="s">
        <v>72</v>
      </c>
      <c r="J1432" t="s">
        <v>72</v>
      </c>
      <c r="K1432" t="s">
        <v>138</v>
      </c>
      <c r="L1432" t="s">
        <v>2125</v>
      </c>
      <c r="M1432" s="5">
        <f t="shared" si="133"/>
        <v>6</v>
      </c>
      <c r="N1432" t="str">
        <f t="shared" si="134"/>
        <v>November</v>
      </c>
      <c r="O1432" t="str">
        <f t="shared" si="135"/>
        <v>Sunday</v>
      </c>
      <c r="P1432">
        <f t="shared" si="132"/>
        <v>11</v>
      </c>
      <c r="Q1432" s="2">
        <f t="shared" si="136"/>
        <v>7</v>
      </c>
      <c r="R1432" s="2">
        <f t="shared" si="137"/>
        <v>11</v>
      </c>
      <c r="S1432">
        <f>SUMIF(Table1[product_category],"Bakery",Table1[Total_bill])</f>
        <v>2951.25</v>
      </c>
    </row>
    <row r="1433" spans="1:19" x14ac:dyDescent="0.3">
      <c r="A1433" s="2">
        <v>11432</v>
      </c>
      <c r="B1433" s="4">
        <v>47063</v>
      </c>
      <c r="C1433" t="s">
        <v>1570</v>
      </c>
      <c r="D1433" t="s">
        <v>25</v>
      </c>
      <c r="E1433" t="s">
        <v>26</v>
      </c>
      <c r="F1433" t="s">
        <v>214</v>
      </c>
      <c r="G1433">
        <v>3</v>
      </c>
      <c r="H1433" s="5">
        <v>5.5</v>
      </c>
      <c r="I1433" t="s">
        <v>72</v>
      </c>
      <c r="J1433" t="s">
        <v>72</v>
      </c>
      <c r="K1433" t="s">
        <v>141</v>
      </c>
      <c r="L1433" t="s">
        <v>2125</v>
      </c>
      <c r="M1433" s="5">
        <f t="shared" si="133"/>
        <v>16.5</v>
      </c>
      <c r="N1433" t="str">
        <f t="shared" si="134"/>
        <v>November</v>
      </c>
      <c r="O1433" t="str">
        <f t="shared" si="135"/>
        <v>Monday</v>
      </c>
      <c r="P1433">
        <f t="shared" si="132"/>
        <v>12</v>
      </c>
      <c r="Q1433" s="2">
        <f t="shared" si="136"/>
        <v>1</v>
      </c>
      <c r="R1433" s="2">
        <f t="shared" si="137"/>
        <v>11</v>
      </c>
      <c r="S1433">
        <f>SUMIF(Table1[product_category],"Bakery",Table1[Total_bill])</f>
        <v>2951.25</v>
      </c>
    </row>
    <row r="1434" spans="1:19" x14ac:dyDescent="0.3">
      <c r="A1434" s="2">
        <v>11433</v>
      </c>
      <c r="B1434" s="4">
        <v>47064</v>
      </c>
      <c r="C1434" t="s">
        <v>1571</v>
      </c>
      <c r="D1434" t="s">
        <v>40</v>
      </c>
      <c r="E1434" t="s">
        <v>41</v>
      </c>
      <c r="F1434" t="s">
        <v>217</v>
      </c>
      <c r="G1434">
        <v>3</v>
      </c>
      <c r="H1434" s="5">
        <v>3.5</v>
      </c>
      <c r="I1434" t="s">
        <v>36</v>
      </c>
      <c r="J1434" t="s">
        <v>246</v>
      </c>
      <c r="K1434" t="s">
        <v>247</v>
      </c>
      <c r="L1434" t="s">
        <v>2123</v>
      </c>
      <c r="M1434" s="5">
        <f t="shared" si="133"/>
        <v>10.5</v>
      </c>
      <c r="N1434" t="str">
        <f t="shared" si="134"/>
        <v>November</v>
      </c>
      <c r="O1434" t="str">
        <f t="shared" si="135"/>
        <v>Tuesday</v>
      </c>
      <c r="P1434">
        <f t="shared" si="132"/>
        <v>11</v>
      </c>
      <c r="Q1434" s="2">
        <f t="shared" si="136"/>
        <v>2</v>
      </c>
      <c r="R1434" s="2">
        <f t="shared" si="137"/>
        <v>11</v>
      </c>
      <c r="S1434">
        <f>SUMIF(Table1[product_category],"Bakery",Table1[Total_bill])</f>
        <v>2951.25</v>
      </c>
    </row>
    <row r="1435" spans="1:19" x14ac:dyDescent="0.3">
      <c r="A1435" s="2">
        <v>11434</v>
      </c>
      <c r="B1435" s="4">
        <v>47065</v>
      </c>
      <c r="C1435" t="s">
        <v>1572</v>
      </c>
      <c r="D1435" t="s">
        <v>25</v>
      </c>
      <c r="E1435" t="s">
        <v>26</v>
      </c>
      <c r="F1435" t="s">
        <v>219</v>
      </c>
      <c r="G1435">
        <v>1</v>
      </c>
      <c r="H1435" s="5">
        <v>3.75</v>
      </c>
      <c r="I1435" t="s">
        <v>32</v>
      </c>
      <c r="J1435" t="s">
        <v>226</v>
      </c>
      <c r="K1435" t="s">
        <v>273</v>
      </c>
      <c r="L1435" t="s">
        <v>2123</v>
      </c>
      <c r="M1435" s="5">
        <f t="shared" si="133"/>
        <v>3.75</v>
      </c>
      <c r="N1435" t="str">
        <f t="shared" si="134"/>
        <v>November</v>
      </c>
      <c r="O1435" t="str">
        <f t="shared" si="135"/>
        <v>Wednesday</v>
      </c>
      <c r="P1435">
        <f t="shared" si="132"/>
        <v>14</v>
      </c>
      <c r="Q1435" s="2">
        <f t="shared" si="136"/>
        <v>3</v>
      </c>
      <c r="R1435" s="2">
        <f t="shared" si="137"/>
        <v>11</v>
      </c>
      <c r="S1435">
        <f>SUMIF(Table1[product_category],"Bakery",Table1[Total_bill])</f>
        <v>2951.25</v>
      </c>
    </row>
    <row r="1436" spans="1:19" x14ac:dyDescent="0.3">
      <c r="A1436" s="2">
        <v>11435</v>
      </c>
      <c r="B1436" s="4">
        <v>47066</v>
      </c>
      <c r="C1436" t="s">
        <v>145</v>
      </c>
      <c r="D1436" t="s">
        <v>25</v>
      </c>
      <c r="E1436" t="s">
        <v>26</v>
      </c>
      <c r="F1436" t="s">
        <v>221</v>
      </c>
      <c r="G1436">
        <v>3</v>
      </c>
      <c r="H1436" s="5">
        <v>5.5</v>
      </c>
      <c r="I1436" t="s">
        <v>72</v>
      </c>
      <c r="J1436" t="s">
        <v>72</v>
      </c>
      <c r="K1436" t="s">
        <v>73</v>
      </c>
      <c r="L1436" t="s">
        <v>2125</v>
      </c>
      <c r="M1436" s="5">
        <f t="shared" si="133"/>
        <v>16.5</v>
      </c>
      <c r="N1436" t="str">
        <f t="shared" si="134"/>
        <v>November</v>
      </c>
      <c r="O1436" t="str">
        <f t="shared" si="135"/>
        <v>Thursday</v>
      </c>
      <c r="P1436">
        <f t="shared" si="132"/>
        <v>7</v>
      </c>
      <c r="Q1436" s="2">
        <f t="shared" si="136"/>
        <v>4</v>
      </c>
      <c r="R1436" s="2">
        <f t="shared" si="137"/>
        <v>11</v>
      </c>
      <c r="S1436">
        <f>SUMIF(Table1[product_category],"Bakery",Table1[Total_bill])</f>
        <v>2951.25</v>
      </c>
    </row>
    <row r="1437" spans="1:19" x14ac:dyDescent="0.3">
      <c r="A1437" s="2">
        <v>11436</v>
      </c>
      <c r="B1437" s="4">
        <v>47067</v>
      </c>
      <c r="C1437" t="s">
        <v>1573</v>
      </c>
      <c r="D1437" t="s">
        <v>25</v>
      </c>
      <c r="E1437" t="s">
        <v>26</v>
      </c>
      <c r="F1437" t="s">
        <v>223</v>
      </c>
      <c r="G1437">
        <v>1</v>
      </c>
      <c r="H1437" s="5">
        <v>14</v>
      </c>
      <c r="I1437" t="s">
        <v>101</v>
      </c>
      <c r="J1437" t="s">
        <v>102</v>
      </c>
      <c r="K1437" t="s">
        <v>193</v>
      </c>
      <c r="L1437" t="s">
        <v>2125</v>
      </c>
      <c r="M1437" s="5">
        <f t="shared" si="133"/>
        <v>14</v>
      </c>
      <c r="N1437" t="str">
        <f t="shared" si="134"/>
        <v>November</v>
      </c>
      <c r="O1437" t="str">
        <f t="shared" si="135"/>
        <v>Friday</v>
      </c>
      <c r="P1437">
        <f t="shared" si="132"/>
        <v>6</v>
      </c>
      <c r="Q1437" s="2">
        <f t="shared" si="136"/>
        <v>5</v>
      </c>
      <c r="R1437" s="2">
        <f t="shared" si="137"/>
        <v>11</v>
      </c>
      <c r="S1437">
        <f>SUMIF(Table1[product_category],"Bakery",Table1[Total_bill])</f>
        <v>2951.25</v>
      </c>
    </row>
    <row r="1438" spans="1:19" x14ac:dyDescent="0.3">
      <c r="A1438" s="2">
        <v>11437</v>
      </c>
      <c r="B1438" s="4">
        <v>47068</v>
      </c>
      <c r="C1438" t="s">
        <v>1574</v>
      </c>
      <c r="D1438" t="s">
        <v>40</v>
      </c>
      <c r="E1438" t="s">
        <v>41</v>
      </c>
      <c r="F1438" t="s">
        <v>225</v>
      </c>
      <c r="G1438">
        <v>4</v>
      </c>
      <c r="H1438" s="5">
        <v>3.25</v>
      </c>
      <c r="I1438" t="s">
        <v>36</v>
      </c>
      <c r="J1438" t="s">
        <v>211</v>
      </c>
      <c r="K1438" t="s">
        <v>239</v>
      </c>
      <c r="L1438" t="s">
        <v>2122</v>
      </c>
      <c r="M1438" s="5">
        <f t="shared" si="133"/>
        <v>13</v>
      </c>
      <c r="N1438" t="str">
        <f t="shared" si="134"/>
        <v>November</v>
      </c>
      <c r="O1438" t="str">
        <f t="shared" si="135"/>
        <v>Saturday</v>
      </c>
      <c r="P1438">
        <f t="shared" si="132"/>
        <v>9</v>
      </c>
      <c r="Q1438" s="2">
        <f t="shared" si="136"/>
        <v>6</v>
      </c>
      <c r="R1438" s="2">
        <f t="shared" si="137"/>
        <v>11</v>
      </c>
      <c r="S1438">
        <f>SUMIF(Table1[product_category],"Bakery",Table1[Total_bill])</f>
        <v>2951.25</v>
      </c>
    </row>
    <row r="1439" spans="1:19" x14ac:dyDescent="0.3">
      <c r="A1439" s="2">
        <v>11438</v>
      </c>
      <c r="B1439" s="4">
        <v>47069</v>
      </c>
      <c r="C1439" t="s">
        <v>1575</v>
      </c>
      <c r="D1439" t="s">
        <v>18</v>
      </c>
      <c r="E1439" t="s">
        <v>19</v>
      </c>
      <c r="F1439" t="s">
        <v>229</v>
      </c>
      <c r="G1439">
        <v>3</v>
      </c>
      <c r="H1439" s="5">
        <v>3.25</v>
      </c>
      <c r="I1439" t="s">
        <v>21</v>
      </c>
      <c r="J1439" t="s">
        <v>81</v>
      </c>
      <c r="K1439" t="s">
        <v>113</v>
      </c>
      <c r="L1439" t="s">
        <v>2125</v>
      </c>
      <c r="M1439" s="5">
        <f t="shared" si="133"/>
        <v>9.75</v>
      </c>
      <c r="N1439" t="str">
        <f t="shared" si="134"/>
        <v>November</v>
      </c>
      <c r="O1439" t="str">
        <f t="shared" si="135"/>
        <v>Sunday</v>
      </c>
      <c r="P1439">
        <f t="shared" si="132"/>
        <v>14</v>
      </c>
      <c r="Q1439" s="2">
        <f t="shared" si="136"/>
        <v>7</v>
      </c>
      <c r="R1439" s="2">
        <f t="shared" si="137"/>
        <v>11</v>
      </c>
      <c r="S1439">
        <f>SUMIF(Table1[product_category],"Bakery",Table1[Total_bill])</f>
        <v>2951.25</v>
      </c>
    </row>
    <row r="1440" spans="1:19" x14ac:dyDescent="0.3">
      <c r="A1440" s="2">
        <v>11439</v>
      </c>
      <c r="B1440" s="4">
        <v>47070</v>
      </c>
      <c r="C1440" t="s">
        <v>1576</v>
      </c>
      <c r="D1440" t="s">
        <v>18</v>
      </c>
      <c r="E1440" t="s">
        <v>19</v>
      </c>
      <c r="F1440" t="s">
        <v>231</v>
      </c>
      <c r="G1440">
        <v>3</v>
      </c>
      <c r="H1440" s="5">
        <v>14</v>
      </c>
      <c r="I1440" t="s">
        <v>98</v>
      </c>
      <c r="J1440" t="s">
        <v>98</v>
      </c>
      <c r="K1440" t="s">
        <v>129</v>
      </c>
      <c r="L1440" t="s">
        <v>2125</v>
      </c>
      <c r="M1440" s="5">
        <f t="shared" si="133"/>
        <v>42</v>
      </c>
      <c r="N1440" t="str">
        <f t="shared" si="134"/>
        <v>November</v>
      </c>
      <c r="O1440" t="str">
        <f t="shared" si="135"/>
        <v>Monday</v>
      </c>
      <c r="P1440">
        <f t="shared" si="132"/>
        <v>8</v>
      </c>
      <c r="Q1440" s="2">
        <f t="shared" si="136"/>
        <v>1</v>
      </c>
      <c r="R1440" s="2">
        <f t="shared" si="137"/>
        <v>11</v>
      </c>
      <c r="S1440">
        <f>SUMIF(Table1[product_category],"Bakery",Table1[Total_bill])</f>
        <v>2951.25</v>
      </c>
    </row>
    <row r="1441" spans="1:19" x14ac:dyDescent="0.3">
      <c r="A1441" s="2">
        <v>11440</v>
      </c>
      <c r="B1441" s="4">
        <v>47071</v>
      </c>
      <c r="C1441" t="s">
        <v>1577</v>
      </c>
      <c r="D1441" t="s">
        <v>25</v>
      </c>
      <c r="E1441" t="s">
        <v>26</v>
      </c>
      <c r="F1441" t="s">
        <v>233</v>
      </c>
      <c r="G1441">
        <v>1</v>
      </c>
      <c r="H1441" s="5">
        <v>2.5</v>
      </c>
      <c r="I1441" t="s">
        <v>36</v>
      </c>
      <c r="J1441" t="s">
        <v>37</v>
      </c>
      <c r="K1441" t="s">
        <v>276</v>
      </c>
      <c r="L1441" t="s">
        <v>2122</v>
      </c>
      <c r="M1441" s="5">
        <f t="shared" si="133"/>
        <v>2.5</v>
      </c>
      <c r="N1441" t="str">
        <f t="shared" si="134"/>
        <v>November</v>
      </c>
      <c r="O1441" t="str">
        <f t="shared" si="135"/>
        <v>Tuesday</v>
      </c>
      <c r="P1441">
        <f t="shared" si="132"/>
        <v>14</v>
      </c>
      <c r="Q1441" s="2">
        <f t="shared" si="136"/>
        <v>2</v>
      </c>
      <c r="R1441" s="2">
        <f t="shared" si="137"/>
        <v>11</v>
      </c>
      <c r="S1441">
        <f>SUMIF(Table1[product_category],"Bakery",Table1[Total_bill])</f>
        <v>2951.25</v>
      </c>
    </row>
    <row r="1442" spans="1:19" x14ac:dyDescent="0.3">
      <c r="A1442" s="2">
        <v>11441</v>
      </c>
      <c r="B1442" s="4">
        <v>47072</v>
      </c>
      <c r="C1442" t="s">
        <v>1510</v>
      </c>
      <c r="D1442" t="s">
        <v>18</v>
      </c>
      <c r="E1442" t="s">
        <v>19</v>
      </c>
      <c r="F1442" t="s">
        <v>20</v>
      </c>
      <c r="G1442">
        <v>1</v>
      </c>
      <c r="H1442" s="5">
        <v>3.25</v>
      </c>
      <c r="I1442" t="s">
        <v>32</v>
      </c>
      <c r="J1442" t="s">
        <v>144</v>
      </c>
      <c r="K1442" t="s">
        <v>144</v>
      </c>
      <c r="L1442" t="s">
        <v>2124</v>
      </c>
      <c r="M1442" s="5">
        <f t="shared" si="133"/>
        <v>3.25</v>
      </c>
      <c r="N1442" t="str">
        <f t="shared" si="134"/>
        <v>November</v>
      </c>
      <c r="O1442" t="str">
        <f t="shared" si="135"/>
        <v>Wednesday</v>
      </c>
      <c r="P1442">
        <f t="shared" si="132"/>
        <v>20</v>
      </c>
      <c r="Q1442" s="2">
        <f t="shared" si="136"/>
        <v>3</v>
      </c>
      <c r="R1442" s="2">
        <f t="shared" si="137"/>
        <v>11</v>
      </c>
      <c r="S1442">
        <f>SUMIF(Table1[product_category],"Bakery",Table1[Total_bill])</f>
        <v>2951.25</v>
      </c>
    </row>
    <row r="1443" spans="1:19" x14ac:dyDescent="0.3">
      <c r="A1443" s="2">
        <v>11442</v>
      </c>
      <c r="B1443" s="4">
        <v>47073</v>
      </c>
      <c r="C1443" t="s">
        <v>1578</v>
      </c>
      <c r="D1443" t="s">
        <v>25</v>
      </c>
      <c r="E1443" t="s">
        <v>26</v>
      </c>
      <c r="F1443" t="s">
        <v>27</v>
      </c>
      <c r="G1443">
        <v>4</v>
      </c>
      <c r="H1443" s="5">
        <v>4.25</v>
      </c>
      <c r="I1443" t="s">
        <v>36</v>
      </c>
      <c r="J1443" t="s">
        <v>211</v>
      </c>
      <c r="K1443" t="s">
        <v>212</v>
      </c>
      <c r="L1443" t="s">
        <v>2123</v>
      </c>
      <c r="M1443" s="5">
        <f t="shared" si="133"/>
        <v>17</v>
      </c>
      <c r="N1443" t="str">
        <f t="shared" si="134"/>
        <v>November</v>
      </c>
      <c r="O1443" t="str">
        <f t="shared" si="135"/>
        <v>Thursday</v>
      </c>
      <c r="P1443">
        <f t="shared" si="132"/>
        <v>7</v>
      </c>
      <c r="Q1443" s="2">
        <f t="shared" si="136"/>
        <v>4</v>
      </c>
      <c r="R1443" s="2">
        <f t="shared" si="137"/>
        <v>11</v>
      </c>
      <c r="S1443">
        <f>SUMIF(Table1[product_category],"Bakery",Table1[Total_bill])</f>
        <v>2951.25</v>
      </c>
    </row>
    <row r="1444" spans="1:19" x14ac:dyDescent="0.3">
      <c r="A1444" s="2">
        <v>11443</v>
      </c>
      <c r="B1444" s="4">
        <v>47074</v>
      </c>
      <c r="C1444" t="s">
        <v>1579</v>
      </c>
      <c r="D1444" t="s">
        <v>18</v>
      </c>
      <c r="E1444" t="s">
        <v>19</v>
      </c>
      <c r="F1444" t="s">
        <v>31</v>
      </c>
      <c r="G1444">
        <v>3</v>
      </c>
      <c r="H1444" s="5">
        <v>6</v>
      </c>
      <c r="I1444" t="s">
        <v>72</v>
      </c>
      <c r="J1444" t="s">
        <v>72</v>
      </c>
      <c r="K1444" t="s">
        <v>138</v>
      </c>
      <c r="L1444" t="s">
        <v>2125</v>
      </c>
      <c r="M1444" s="5">
        <f t="shared" si="133"/>
        <v>18</v>
      </c>
      <c r="N1444" t="str">
        <f t="shared" si="134"/>
        <v>November</v>
      </c>
      <c r="O1444" t="str">
        <f t="shared" si="135"/>
        <v>Friday</v>
      </c>
      <c r="P1444">
        <f t="shared" si="132"/>
        <v>14</v>
      </c>
      <c r="Q1444" s="2">
        <f t="shared" si="136"/>
        <v>5</v>
      </c>
      <c r="R1444" s="2">
        <f t="shared" si="137"/>
        <v>11</v>
      </c>
      <c r="S1444">
        <f>SUMIF(Table1[product_category],"Bakery",Table1[Total_bill])</f>
        <v>2951.25</v>
      </c>
    </row>
    <row r="1445" spans="1:19" x14ac:dyDescent="0.3">
      <c r="A1445" s="2">
        <v>11444</v>
      </c>
      <c r="B1445" s="4">
        <v>47075</v>
      </c>
      <c r="C1445" t="s">
        <v>1580</v>
      </c>
      <c r="D1445" t="s">
        <v>40</v>
      </c>
      <c r="E1445" t="s">
        <v>41</v>
      </c>
      <c r="F1445" t="s">
        <v>35</v>
      </c>
      <c r="G1445">
        <v>1</v>
      </c>
      <c r="H1445" s="5">
        <v>4.5</v>
      </c>
      <c r="I1445" t="s">
        <v>89</v>
      </c>
      <c r="J1445" t="s">
        <v>90</v>
      </c>
      <c r="K1445" t="s">
        <v>91</v>
      </c>
      <c r="L1445" t="s">
        <v>2124</v>
      </c>
      <c r="M1445" s="5">
        <f t="shared" si="133"/>
        <v>4.5</v>
      </c>
      <c r="N1445" t="str">
        <f t="shared" si="134"/>
        <v>November</v>
      </c>
      <c r="O1445" t="str">
        <f t="shared" si="135"/>
        <v>Saturday</v>
      </c>
      <c r="P1445">
        <f t="shared" si="132"/>
        <v>11</v>
      </c>
      <c r="Q1445" s="2">
        <f t="shared" si="136"/>
        <v>6</v>
      </c>
      <c r="R1445" s="2">
        <f t="shared" si="137"/>
        <v>11</v>
      </c>
      <c r="S1445">
        <f>SUMIF(Table1[product_category],"Bakery",Table1[Total_bill])</f>
        <v>2951.25</v>
      </c>
    </row>
    <row r="1446" spans="1:19" x14ac:dyDescent="0.3">
      <c r="A1446" s="2">
        <v>11445</v>
      </c>
      <c r="B1446" s="4">
        <v>47076</v>
      </c>
      <c r="C1446" t="s">
        <v>1581</v>
      </c>
      <c r="D1446" t="s">
        <v>25</v>
      </c>
      <c r="E1446" t="s">
        <v>26</v>
      </c>
      <c r="F1446" t="s">
        <v>42</v>
      </c>
      <c r="G1446">
        <v>2</v>
      </c>
      <c r="H1446" s="5">
        <v>3</v>
      </c>
      <c r="I1446" t="s">
        <v>32</v>
      </c>
      <c r="J1446" t="s">
        <v>55</v>
      </c>
      <c r="K1446" t="s">
        <v>55</v>
      </c>
      <c r="L1446" t="s">
        <v>2122</v>
      </c>
      <c r="M1446" s="5">
        <f t="shared" si="133"/>
        <v>6</v>
      </c>
      <c r="N1446" t="str">
        <f t="shared" si="134"/>
        <v>November</v>
      </c>
      <c r="O1446" t="str">
        <f t="shared" si="135"/>
        <v>Sunday</v>
      </c>
      <c r="P1446">
        <f t="shared" si="132"/>
        <v>17</v>
      </c>
      <c r="Q1446" s="2">
        <f t="shared" si="136"/>
        <v>7</v>
      </c>
      <c r="R1446" s="2">
        <f t="shared" si="137"/>
        <v>11</v>
      </c>
      <c r="S1446">
        <f>SUMIF(Table1[product_category],"Bakery",Table1[Total_bill])</f>
        <v>2951.25</v>
      </c>
    </row>
    <row r="1447" spans="1:19" x14ac:dyDescent="0.3">
      <c r="A1447" s="2">
        <v>11446</v>
      </c>
      <c r="B1447" s="4">
        <v>47077</v>
      </c>
      <c r="C1447" t="s">
        <v>1582</v>
      </c>
      <c r="D1447" t="s">
        <v>18</v>
      </c>
      <c r="E1447" t="s">
        <v>19</v>
      </c>
      <c r="F1447" t="s">
        <v>46</v>
      </c>
      <c r="G1447">
        <v>4</v>
      </c>
      <c r="H1447" s="5">
        <v>4.25</v>
      </c>
      <c r="I1447" t="s">
        <v>32</v>
      </c>
      <c r="J1447" t="s">
        <v>202</v>
      </c>
      <c r="K1447" t="s">
        <v>202</v>
      </c>
      <c r="L1447" t="s">
        <v>2124</v>
      </c>
      <c r="M1447" s="5">
        <f t="shared" si="133"/>
        <v>17</v>
      </c>
      <c r="N1447" t="str">
        <f t="shared" si="134"/>
        <v>November</v>
      </c>
      <c r="O1447" t="str">
        <f t="shared" si="135"/>
        <v>Monday</v>
      </c>
      <c r="P1447">
        <f t="shared" si="132"/>
        <v>8</v>
      </c>
      <c r="Q1447" s="2">
        <f t="shared" si="136"/>
        <v>1</v>
      </c>
      <c r="R1447" s="2">
        <f t="shared" si="137"/>
        <v>11</v>
      </c>
      <c r="S1447">
        <f>SUMIF(Table1[product_category],"Bakery",Table1[Total_bill])</f>
        <v>2951.25</v>
      </c>
    </row>
    <row r="1448" spans="1:19" x14ac:dyDescent="0.3">
      <c r="A1448" s="2">
        <v>11447</v>
      </c>
      <c r="B1448" s="4">
        <v>47078</v>
      </c>
      <c r="C1448" t="s">
        <v>1583</v>
      </c>
      <c r="D1448" t="s">
        <v>18</v>
      </c>
      <c r="E1448" t="s">
        <v>19</v>
      </c>
      <c r="F1448" t="s">
        <v>50</v>
      </c>
      <c r="G1448">
        <v>3</v>
      </c>
      <c r="H1448" s="5">
        <v>2.5</v>
      </c>
      <c r="I1448" t="s">
        <v>36</v>
      </c>
      <c r="J1448" t="s">
        <v>37</v>
      </c>
      <c r="K1448" t="s">
        <v>38</v>
      </c>
      <c r="L1448" t="s">
        <v>2122</v>
      </c>
      <c r="M1448" s="5">
        <f t="shared" si="133"/>
        <v>7.5</v>
      </c>
      <c r="N1448" t="str">
        <f t="shared" si="134"/>
        <v>November</v>
      </c>
      <c r="O1448" t="str">
        <f t="shared" si="135"/>
        <v>Tuesday</v>
      </c>
      <c r="P1448">
        <f t="shared" si="132"/>
        <v>14</v>
      </c>
      <c r="Q1448" s="2">
        <f t="shared" si="136"/>
        <v>2</v>
      </c>
      <c r="R1448" s="2">
        <f t="shared" si="137"/>
        <v>11</v>
      </c>
      <c r="S1448">
        <f>SUMIF(Table1[product_category],"Bakery",Table1[Total_bill])</f>
        <v>2951.25</v>
      </c>
    </row>
    <row r="1449" spans="1:19" x14ac:dyDescent="0.3">
      <c r="A1449" s="2">
        <v>11448</v>
      </c>
      <c r="B1449" s="4">
        <v>47079</v>
      </c>
      <c r="C1449" t="s">
        <v>1584</v>
      </c>
      <c r="D1449" t="s">
        <v>40</v>
      </c>
      <c r="E1449" t="s">
        <v>41</v>
      </c>
      <c r="F1449" t="s">
        <v>54</v>
      </c>
      <c r="G1449">
        <v>2</v>
      </c>
      <c r="H1449" s="5">
        <v>2.5</v>
      </c>
      <c r="I1449" t="s">
        <v>32</v>
      </c>
      <c r="J1449" t="s">
        <v>226</v>
      </c>
      <c r="K1449" t="s">
        <v>227</v>
      </c>
      <c r="L1449" t="s">
        <v>2122</v>
      </c>
      <c r="M1449" s="5">
        <f t="shared" si="133"/>
        <v>5</v>
      </c>
      <c r="N1449" t="str">
        <f t="shared" si="134"/>
        <v>November</v>
      </c>
      <c r="O1449" t="str">
        <f t="shared" si="135"/>
        <v>Wednesday</v>
      </c>
      <c r="P1449">
        <f t="shared" si="132"/>
        <v>16</v>
      </c>
      <c r="Q1449" s="2">
        <f t="shared" si="136"/>
        <v>3</v>
      </c>
      <c r="R1449" s="2">
        <f t="shared" si="137"/>
        <v>11</v>
      </c>
      <c r="S1449">
        <f>SUMIF(Table1[product_category],"Bakery",Table1[Total_bill])</f>
        <v>2951.25</v>
      </c>
    </row>
    <row r="1450" spans="1:19" x14ac:dyDescent="0.3">
      <c r="A1450" s="2">
        <v>11449</v>
      </c>
      <c r="B1450" s="4">
        <v>47080</v>
      </c>
      <c r="C1450" t="s">
        <v>1585</v>
      </c>
      <c r="D1450" t="s">
        <v>40</v>
      </c>
      <c r="E1450" t="s">
        <v>41</v>
      </c>
      <c r="F1450" t="s">
        <v>57</v>
      </c>
      <c r="G1450">
        <v>4</v>
      </c>
      <c r="H1450" s="5">
        <v>6</v>
      </c>
      <c r="I1450" t="s">
        <v>72</v>
      </c>
      <c r="J1450" t="s">
        <v>72</v>
      </c>
      <c r="K1450" t="s">
        <v>138</v>
      </c>
      <c r="L1450" t="s">
        <v>2125</v>
      </c>
      <c r="M1450" s="5">
        <f t="shared" si="133"/>
        <v>24</v>
      </c>
      <c r="N1450" t="str">
        <f t="shared" si="134"/>
        <v>November</v>
      </c>
      <c r="O1450" t="str">
        <f t="shared" si="135"/>
        <v>Thursday</v>
      </c>
      <c r="P1450">
        <f t="shared" si="132"/>
        <v>19</v>
      </c>
      <c r="Q1450" s="2">
        <f t="shared" si="136"/>
        <v>4</v>
      </c>
      <c r="R1450" s="2">
        <f t="shared" si="137"/>
        <v>11</v>
      </c>
      <c r="S1450">
        <f>SUMIF(Table1[product_category],"Bakery",Table1[Total_bill])</f>
        <v>2951.25</v>
      </c>
    </row>
    <row r="1451" spans="1:19" x14ac:dyDescent="0.3">
      <c r="A1451" s="2">
        <v>11450</v>
      </c>
      <c r="B1451" s="4">
        <v>47081</v>
      </c>
      <c r="C1451" t="s">
        <v>1586</v>
      </c>
      <c r="D1451" t="s">
        <v>18</v>
      </c>
      <c r="E1451" t="s">
        <v>19</v>
      </c>
      <c r="F1451" t="s">
        <v>61</v>
      </c>
      <c r="G1451">
        <v>3</v>
      </c>
      <c r="H1451" s="5">
        <v>3</v>
      </c>
      <c r="I1451" t="s">
        <v>36</v>
      </c>
      <c r="J1451" t="s">
        <v>246</v>
      </c>
      <c r="K1451" t="s">
        <v>247</v>
      </c>
      <c r="L1451" t="s">
        <v>2124</v>
      </c>
      <c r="M1451" s="5">
        <f t="shared" si="133"/>
        <v>9</v>
      </c>
      <c r="N1451" t="str">
        <f t="shared" si="134"/>
        <v>November</v>
      </c>
      <c r="O1451" t="str">
        <f t="shared" si="135"/>
        <v>Friday</v>
      </c>
      <c r="P1451">
        <f t="shared" si="132"/>
        <v>14</v>
      </c>
      <c r="Q1451" s="2">
        <f t="shared" si="136"/>
        <v>5</v>
      </c>
      <c r="R1451" s="2">
        <f t="shared" si="137"/>
        <v>11</v>
      </c>
      <c r="S1451">
        <f>SUMIF(Table1[product_category],"Bakery",Table1[Total_bill])</f>
        <v>2951.25</v>
      </c>
    </row>
    <row r="1452" spans="1:19" x14ac:dyDescent="0.3">
      <c r="A1452" s="2">
        <v>11451</v>
      </c>
      <c r="B1452" s="4">
        <v>47082</v>
      </c>
      <c r="C1452" t="s">
        <v>1587</v>
      </c>
      <c r="D1452" t="s">
        <v>40</v>
      </c>
      <c r="E1452" t="s">
        <v>41</v>
      </c>
      <c r="F1452" t="s">
        <v>64</v>
      </c>
      <c r="G1452">
        <v>1</v>
      </c>
      <c r="H1452" s="5">
        <v>4</v>
      </c>
      <c r="I1452" t="s">
        <v>32</v>
      </c>
      <c r="J1452" t="s">
        <v>94</v>
      </c>
      <c r="K1452" t="s">
        <v>95</v>
      </c>
      <c r="L1452" t="s">
        <v>2124</v>
      </c>
      <c r="M1452" s="5">
        <f t="shared" si="133"/>
        <v>4</v>
      </c>
      <c r="N1452" t="str">
        <f t="shared" si="134"/>
        <v>November</v>
      </c>
      <c r="O1452" t="str">
        <f t="shared" si="135"/>
        <v>Saturday</v>
      </c>
      <c r="P1452">
        <f t="shared" si="132"/>
        <v>11</v>
      </c>
      <c r="Q1452" s="2">
        <f t="shared" si="136"/>
        <v>6</v>
      </c>
      <c r="R1452" s="2">
        <f t="shared" si="137"/>
        <v>11</v>
      </c>
      <c r="S1452">
        <f>SUMIF(Table1[product_category],"Bakery",Table1[Total_bill])</f>
        <v>2951.25</v>
      </c>
    </row>
    <row r="1453" spans="1:19" x14ac:dyDescent="0.3">
      <c r="A1453" s="2">
        <v>11452</v>
      </c>
      <c r="B1453" s="4">
        <v>47083</v>
      </c>
      <c r="C1453" t="s">
        <v>1588</v>
      </c>
      <c r="D1453" t="s">
        <v>18</v>
      </c>
      <c r="E1453" t="s">
        <v>19</v>
      </c>
      <c r="F1453" t="s">
        <v>66</v>
      </c>
      <c r="G1453">
        <v>4</v>
      </c>
      <c r="H1453" s="5">
        <v>13</v>
      </c>
      <c r="I1453" t="s">
        <v>98</v>
      </c>
      <c r="J1453" t="s">
        <v>98</v>
      </c>
      <c r="K1453" t="s">
        <v>95</v>
      </c>
      <c r="L1453" t="s">
        <v>2125</v>
      </c>
      <c r="M1453" s="5">
        <f t="shared" si="133"/>
        <v>52</v>
      </c>
      <c r="N1453" t="str">
        <f t="shared" si="134"/>
        <v>November</v>
      </c>
      <c r="O1453" t="str">
        <f t="shared" si="135"/>
        <v>Sunday</v>
      </c>
      <c r="P1453">
        <f t="shared" si="132"/>
        <v>13</v>
      </c>
      <c r="Q1453" s="2">
        <f t="shared" si="136"/>
        <v>7</v>
      </c>
      <c r="R1453" s="2">
        <f t="shared" si="137"/>
        <v>11</v>
      </c>
      <c r="S1453">
        <f>SUMIF(Table1[product_category],"Bakery",Table1[Total_bill])</f>
        <v>2951.25</v>
      </c>
    </row>
    <row r="1454" spans="1:19" x14ac:dyDescent="0.3">
      <c r="A1454" s="2">
        <v>11453</v>
      </c>
      <c r="B1454" s="4">
        <v>47084</v>
      </c>
      <c r="C1454" t="s">
        <v>1589</v>
      </c>
      <c r="D1454" t="s">
        <v>18</v>
      </c>
      <c r="E1454" t="s">
        <v>19</v>
      </c>
      <c r="F1454" t="s">
        <v>68</v>
      </c>
      <c r="G1454">
        <v>3</v>
      </c>
      <c r="H1454" s="5">
        <v>8</v>
      </c>
      <c r="I1454" t="s">
        <v>28</v>
      </c>
      <c r="J1454" t="s">
        <v>28</v>
      </c>
      <c r="K1454" t="s">
        <v>76</v>
      </c>
      <c r="L1454" t="s">
        <v>2125</v>
      </c>
      <c r="M1454" s="5">
        <f t="shared" si="133"/>
        <v>24</v>
      </c>
      <c r="N1454" t="str">
        <f t="shared" si="134"/>
        <v>November</v>
      </c>
      <c r="O1454" t="str">
        <f t="shared" si="135"/>
        <v>Monday</v>
      </c>
      <c r="P1454">
        <f t="shared" si="132"/>
        <v>17</v>
      </c>
      <c r="Q1454" s="2">
        <f t="shared" si="136"/>
        <v>1</v>
      </c>
      <c r="R1454" s="2">
        <f t="shared" si="137"/>
        <v>11</v>
      </c>
      <c r="S1454">
        <f>SUMIF(Table1[product_category],"Bakery",Table1[Total_bill])</f>
        <v>2951.25</v>
      </c>
    </row>
    <row r="1455" spans="1:19" x14ac:dyDescent="0.3">
      <c r="A1455" s="2">
        <v>11454</v>
      </c>
      <c r="B1455" s="4">
        <v>47085</v>
      </c>
      <c r="C1455" t="s">
        <v>1590</v>
      </c>
      <c r="D1455" t="s">
        <v>40</v>
      </c>
      <c r="E1455" t="s">
        <v>41</v>
      </c>
      <c r="F1455" t="s">
        <v>71</v>
      </c>
      <c r="G1455">
        <v>4</v>
      </c>
      <c r="H1455" s="5">
        <v>14</v>
      </c>
      <c r="I1455" t="s">
        <v>101</v>
      </c>
      <c r="J1455" t="s">
        <v>102</v>
      </c>
      <c r="K1455" t="s">
        <v>193</v>
      </c>
      <c r="L1455" t="s">
        <v>2125</v>
      </c>
      <c r="M1455" s="5">
        <f t="shared" si="133"/>
        <v>56</v>
      </c>
      <c r="N1455" t="str">
        <f t="shared" si="134"/>
        <v>November</v>
      </c>
      <c r="O1455" t="str">
        <f t="shared" si="135"/>
        <v>Tuesday</v>
      </c>
      <c r="P1455">
        <f t="shared" si="132"/>
        <v>13</v>
      </c>
      <c r="Q1455" s="2">
        <f t="shared" si="136"/>
        <v>2</v>
      </c>
      <c r="R1455" s="2">
        <f t="shared" si="137"/>
        <v>11</v>
      </c>
      <c r="S1455">
        <f>SUMIF(Table1[product_category],"Bakery",Table1[Total_bill])</f>
        <v>2951.25</v>
      </c>
    </row>
    <row r="1456" spans="1:19" x14ac:dyDescent="0.3">
      <c r="A1456" s="2">
        <v>11455</v>
      </c>
      <c r="B1456" s="4">
        <v>47086</v>
      </c>
      <c r="C1456" t="s">
        <v>1591</v>
      </c>
      <c r="D1456" t="s">
        <v>18</v>
      </c>
      <c r="E1456" t="s">
        <v>19</v>
      </c>
      <c r="F1456" t="s">
        <v>75</v>
      </c>
      <c r="G1456">
        <v>3</v>
      </c>
      <c r="H1456" s="5">
        <v>3</v>
      </c>
      <c r="I1456" t="s">
        <v>32</v>
      </c>
      <c r="J1456" t="s">
        <v>226</v>
      </c>
      <c r="K1456" t="s">
        <v>227</v>
      </c>
      <c r="L1456" t="s">
        <v>2124</v>
      </c>
      <c r="M1456" s="5">
        <f t="shared" si="133"/>
        <v>9</v>
      </c>
      <c r="N1456" t="str">
        <f t="shared" si="134"/>
        <v>November</v>
      </c>
      <c r="O1456" t="str">
        <f t="shared" si="135"/>
        <v>Wednesday</v>
      </c>
      <c r="P1456">
        <f t="shared" si="132"/>
        <v>6</v>
      </c>
      <c r="Q1456" s="2">
        <f t="shared" si="136"/>
        <v>3</v>
      </c>
      <c r="R1456" s="2">
        <f t="shared" si="137"/>
        <v>11</v>
      </c>
      <c r="S1456">
        <f>SUMIF(Table1[product_category],"Bakery",Table1[Total_bill])</f>
        <v>2951.25</v>
      </c>
    </row>
    <row r="1457" spans="1:19" x14ac:dyDescent="0.3">
      <c r="A1457" s="2">
        <v>11456</v>
      </c>
      <c r="B1457" s="4">
        <v>47087</v>
      </c>
      <c r="C1457" t="s">
        <v>1592</v>
      </c>
      <c r="D1457" t="s">
        <v>18</v>
      </c>
      <c r="E1457" t="s">
        <v>19</v>
      </c>
      <c r="F1457" t="s">
        <v>78</v>
      </c>
      <c r="G1457">
        <v>4</v>
      </c>
      <c r="H1457" s="5">
        <v>11</v>
      </c>
      <c r="I1457" t="s">
        <v>98</v>
      </c>
      <c r="J1457" t="s">
        <v>98</v>
      </c>
      <c r="K1457" t="s">
        <v>215</v>
      </c>
      <c r="L1457" t="s">
        <v>2125</v>
      </c>
      <c r="M1457" s="5">
        <f t="shared" si="133"/>
        <v>44</v>
      </c>
      <c r="N1457" t="str">
        <f t="shared" si="134"/>
        <v>November</v>
      </c>
      <c r="O1457" t="str">
        <f t="shared" si="135"/>
        <v>Thursday</v>
      </c>
      <c r="P1457">
        <f t="shared" si="132"/>
        <v>19</v>
      </c>
      <c r="Q1457" s="2">
        <f t="shared" si="136"/>
        <v>4</v>
      </c>
      <c r="R1457" s="2">
        <f t="shared" si="137"/>
        <v>11</v>
      </c>
      <c r="S1457">
        <f>SUMIF(Table1[product_category],"Bakery",Table1[Total_bill])</f>
        <v>2951.25</v>
      </c>
    </row>
    <row r="1458" spans="1:19" x14ac:dyDescent="0.3">
      <c r="A1458" s="2">
        <v>11457</v>
      </c>
      <c r="B1458" s="4">
        <v>47088</v>
      </c>
      <c r="C1458" t="s">
        <v>1593</v>
      </c>
      <c r="D1458" t="s">
        <v>18</v>
      </c>
      <c r="E1458" t="s">
        <v>19</v>
      </c>
      <c r="F1458" t="s">
        <v>80</v>
      </c>
      <c r="G1458">
        <v>4</v>
      </c>
      <c r="H1458" s="5">
        <v>3.5</v>
      </c>
      <c r="I1458" t="s">
        <v>21</v>
      </c>
      <c r="J1458" t="s">
        <v>51</v>
      </c>
      <c r="K1458" t="s">
        <v>52</v>
      </c>
      <c r="L1458" t="s">
        <v>2125</v>
      </c>
      <c r="M1458" s="5">
        <f t="shared" si="133"/>
        <v>14</v>
      </c>
      <c r="N1458" t="str">
        <f t="shared" si="134"/>
        <v>December</v>
      </c>
      <c r="O1458" t="str">
        <f t="shared" si="135"/>
        <v>Friday</v>
      </c>
      <c r="P1458">
        <f t="shared" si="132"/>
        <v>14</v>
      </c>
      <c r="Q1458" s="2">
        <f t="shared" si="136"/>
        <v>5</v>
      </c>
      <c r="R1458" s="2">
        <f t="shared" si="137"/>
        <v>12</v>
      </c>
      <c r="S1458">
        <f>SUMIF(Table1[product_category],"Bakery",Table1[Total_bill])</f>
        <v>2951.25</v>
      </c>
    </row>
    <row r="1459" spans="1:19" x14ac:dyDescent="0.3">
      <c r="A1459" s="2">
        <v>11458</v>
      </c>
      <c r="B1459" s="4">
        <v>47089</v>
      </c>
      <c r="C1459" t="s">
        <v>1594</v>
      </c>
      <c r="D1459" t="s">
        <v>25</v>
      </c>
      <c r="E1459" t="s">
        <v>26</v>
      </c>
      <c r="F1459" t="s">
        <v>84</v>
      </c>
      <c r="G1459">
        <v>2</v>
      </c>
      <c r="H1459" s="5">
        <v>3</v>
      </c>
      <c r="I1459" t="s">
        <v>21</v>
      </c>
      <c r="J1459" t="s">
        <v>181</v>
      </c>
      <c r="K1459" t="s">
        <v>182</v>
      </c>
      <c r="L1459" t="s">
        <v>2125</v>
      </c>
      <c r="M1459" s="5">
        <f t="shared" si="133"/>
        <v>6</v>
      </c>
      <c r="N1459" t="str">
        <f t="shared" si="134"/>
        <v>December</v>
      </c>
      <c r="O1459" t="str">
        <f t="shared" si="135"/>
        <v>Saturday</v>
      </c>
      <c r="P1459">
        <f t="shared" si="132"/>
        <v>14</v>
      </c>
      <c r="Q1459" s="2">
        <f t="shared" si="136"/>
        <v>6</v>
      </c>
      <c r="R1459" s="2">
        <f t="shared" si="137"/>
        <v>12</v>
      </c>
      <c r="S1459">
        <f>SUMIF(Table1[product_category],"Bakery",Table1[Total_bill])</f>
        <v>2951.25</v>
      </c>
    </row>
    <row r="1460" spans="1:19" x14ac:dyDescent="0.3">
      <c r="A1460" s="2">
        <v>11459</v>
      </c>
      <c r="B1460" s="4">
        <v>47090</v>
      </c>
      <c r="C1460" t="s">
        <v>1595</v>
      </c>
      <c r="D1460" t="s">
        <v>25</v>
      </c>
      <c r="E1460" t="s">
        <v>26</v>
      </c>
      <c r="F1460" t="s">
        <v>86</v>
      </c>
      <c r="G1460">
        <v>2</v>
      </c>
      <c r="H1460" s="5">
        <v>14</v>
      </c>
      <c r="I1460" t="s">
        <v>101</v>
      </c>
      <c r="J1460" t="s">
        <v>102</v>
      </c>
      <c r="K1460" t="s">
        <v>193</v>
      </c>
      <c r="L1460" t="s">
        <v>2125</v>
      </c>
      <c r="M1460" s="5">
        <f t="shared" si="133"/>
        <v>28</v>
      </c>
      <c r="N1460" t="str">
        <f t="shared" si="134"/>
        <v>December</v>
      </c>
      <c r="O1460" t="str">
        <f t="shared" si="135"/>
        <v>Sunday</v>
      </c>
      <c r="P1460">
        <f t="shared" si="132"/>
        <v>8</v>
      </c>
      <c r="Q1460" s="2">
        <f t="shared" si="136"/>
        <v>7</v>
      </c>
      <c r="R1460" s="2">
        <f t="shared" si="137"/>
        <v>12</v>
      </c>
      <c r="S1460">
        <f>SUMIF(Table1[product_category],"Bakery",Table1[Total_bill])</f>
        <v>2951.25</v>
      </c>
    </row>
    <row r="1461" spans="1:19" x14ac:dyDescent="0.3">
      <c r="A1461" s="2">
        <v>11460</v>
      </c>
      <c r="B1461" s="4">
        <v>47091</v>
      </c>
      <c r="C1461" t="s">
        <v>1596</v>
      </c>
      <c r="D1461" t="s">
        <v>40</v>
      </c>
      <c r="E1461" t="s">
        <v>41</v>
      </c>
      <c r="F1461" t="s">
        <v>88</v>
      </c>
      <c r="G1461">
        <v>2</v>
      </c>
      <c r="H1461" s="5">
        <v>5.5</v>
      </c>
      <c r="I1461" t="s">
        <v>72</v>
      </c>
      <c r="J1461" t="s">
        <v>72</v>
      </c>
      <c r="K1461" t="s">
        <v>73</v>
      </c>
      <c r="L1461" t="s">
        <v>2125</v>
      </c>
      <c r="M1461" s="5">
        <f t="shared" si="133"/>
        <v>11</v>
      </c>
      <c r="N1461" t="str">
        <f t="shared" si="134"/>
        <v>December</v>
      </c>
      <c r="O1461" t="str">
        <f t="shared" si="135"/>
        <v>Monday</v>
      </c>
      <c r="P1461">
        <f t="shared" si="132"/>
        <v>14</v>
      </c>
      <c r="Q1461" s="2">
        <f t="shared" si="136"/>
        <v>1</v>
      </c>
      <c r="R1461" s="2">
        <f t="shared" si="137"/>
        <v>12</v>
      </c>
      <c r="S1461">
        <f>SUMIF(Table1[product_category],"Bakery",Table1[Total_bill])</f>
        <v>2951.25</v>
      </c>
    </row>
    <row r="1462" spans="1:19" x14ac:dyDescent="0.3">
      <c r="A1462" s="2">
        <v>11461</v>
      </c>
      <c r="B1462" s="4">
        <v>47092</v>
      </c>
      <c r="C1462" t="s">
        <v>1597</v>
      </c>
      <c r="D1462" t="s">
        <v>40</v>
      </c>
      <c r="E1462" t="s">
        <v>41</v>
      </c>
      <c r="F1462" t="s">
        <v>93</v>
      </c>
      <c r="G1462">
        <v>3</v>
      </c>
      <c r="H1462" s="5">
        <v>11</v>
      </c>
      <c r="I1462" t="s">
        <v>98</v>
      </c>
      <c r="J1462" t="s">
        <v>98</v>
      </c>
      <c r="K1462" t="s">
        <v>215</v>
      </c>
      <c r="L1462" t="s">
        <v>2125</v>
      </c>
      <c r="M1462" s="5">
        <f t="shared" si="133"/>
        <v>33</v>
      </c>
      <c r="N1462" t="str">
        <f t="shared" si="134"/>
        <v>December</v>
      </c>
      <c r="O1462" t="str">
        <f t="shared" si="135"/>
        <v>Tuesday</v>
      </c>
      <c r="P1462">
        <f t="shared" si="132"/>
        <v>10</v>
      </c>
      <c r="Q1462" s="2">
        <f t="shared" si="136"/>
        <v>2</v>
      </c>
      <c r="R1462" s="2">
        <f t="shared" si="137"/>
        <v>12</v>
      </c>
      <c r="S1462">
        <f>SUMIF(Table1[product_category],"Bakery",Table1[Total_bill])</f>
        <v>2951.25</v>
      </c>
    </row>
    <row r="1463" spans="1:19" x14ac:dyDescent="0.3">
      <c r="A1463" s="2">
        <v>11462</v>
      </c>
      <c r="B1463" s="4">
        <v>47093</v>
      </c>
      <c r="C1463" t="s">
        <v>1598</v>
      </c>
      <c r="D1463" t="s">
        <v>25</v>
      </c>
      <c r="E1463" t="s">
        <v>26</v>
      </c>
      <c r="F1463" t="s">
        <v>97</v>
      </c>
      <c r="G1463">
        <v>1</v>
      </c>
      <c r="H1463" s="5">
        <v>3</v>
      </c>
      <c r="I1463" t="s">
        <v>36</v>
      </c>
      <c r="J1463" t="s">
        <v>37</v>
      </c>
      <c r="K1463" t="s">
        <v>276</v>
      </c>
      <c r="L1463" t="s">
        <v>2124</v>
      </c>
      <c r="M1463" s="5">
        <f t="shared" si="133"/>
        <v>3</v>
      </c>
      <c r="N1463" t="str">
        <f t="shared" si="134"/>
        <v>December</v>
      </c>
      <c r="O1463" t="str">
        <f t="shared" si="135"/>
        <v>Wednesday</v>
      </c>
      <c r="P1463">
        <f t="shared" si="132"/>
        <v>14</v>
      </c>
      <c r="Q1463" s="2">
        <f t="shared" si="136"/>
        <v>3</v>
      </c>
      <c r="R1463" s="2">
        <f t="shared" si="137"/>
        <v>12</v>
      </c>
      <c r="S1463">
        <f>SUMIF(Table1[product_category],"Bakery",Table1[Total_bill])</f>
        <v>2951.25</v>
      </c>
    </row>
    <row r="1464" spans="1:19" x14ac:dyDescent="0.3">
      <c r="A1464" s="2">
        <v>11463</v>
      </c>
      <c r="B1464" s="4">
        <v>47094</v>
      </c>
      <c r="C1464" t="s">
        <v>1599</v>
      </c>
      <c r="D1464" t="s">
        <v>25</v>
      </c>
      <c r="E1464" t="s">
        <v>26</v>
      </c>
      <c r="F1464" t="s">
        <v>100</v>
      </c>
      <c r="G1464">
        <v>4</v>
      </c>
      <c r="H1464" s="5">
        <v>2.5</v>
      </c>
      <c r="I1464" t="s">
        <v>36</v>
      </c>
      <c r="J1464" t="s">
        <v>37</v>
      </c>
      <c r="K1464" t="s">
        <v>38</v>
      </c>
      <c r="L1464" t="s">
        <v>2122</v>
      </c>
      <c r="M1464" s="5">
        <f t="shared" si="133"/>
        <v>10</v>
      </c>
      <c r="N1464" t="str">
        <f t="shared" si="134"/>
        <v>December</v>
      </c>
      <c r="O1464" t="str">
        <f t="shared" si="135"/>
        <v>Thursday</v>
      </c>
      <c r="P1464">
        <f t="shared" si="132"/>
        <v>7</v>
      </c>
      <c r="Q1464" s="2">
        <f t="shared" si="136"/>
        <v>4</v>
      </c>
      <c r="R1464" s="2">
        <f t="shared" si="137"/>
        <v>12</v>
      </c>
      <c r="S1464">
        <f>SUMIF(Table1[product_category],"Bakery",Table1[Total_bill])</f>
        <v>2951.25</v>
      </c>
    </row>
    <row r="1465" spans="1:19" x14ac:dyDescent="0.3">
      <c r="A1465" s="2">
        <v>11464</v>
      </c>
      <c r="B1465" s="4">
        <v>47095</v>
      </c>
      <c r="C1465" t="s">
        <v>1600</v>
      </c>
      <c r="D1465" t="s">
        <v>40</v>
      </c>
      <c r="E1465" t="s">
        <v>41</v>
      </c>
      <c r="F1465" t="s">
        <v>105</v>
      </c>
      <c r="G1465">
        <v>2</v>
      </c>
      <c r="H1465" s="5">
        <v>3.25</v>
      </c>
      <c r="I1465" t="s">
        <v>21</v>
      </c>
      <c r="J1465" t="s">
        <v>81</v>
      </c>
      <c r="K1465" t="s">
        <v>113</v>
      </c>
      <c r="L1465" t="s">
        <v>2125</v>
      </c>
      <c r="M1465" s="5">
        <f t="shared" si="133"/>
        <v>6.5</v>
      </c>
      <c r="N1465" t="str">
        <f t="shared" si="134"/>
        <v>December</v>
      </c>
      <c r="O1465" t="str">
        <f t="shared" si="135"/>
        <v>Friday</v>
      </c>
      <c r="P1465">
        <f t="shared" si="132"/>
        <v>14</v>
      </c>
      <c r="Q1465" s="2">
        <f t="shared" si="136"/>
        <v>5</v>
      </c>
      <c r="R1465" s="2">
        <f t="shared" si="137"/>
        <v>12</v>
      </c>
      <c r="S1465">
        <f>SUMIF(Table1[product_category],"Bakery",Table1[Total_bill])</f>
        <v>2951.25</v>
      </c>
    </row>
    <row r="1466" spans="1:19" x14ac:dyDescent="0.3">
      <c r="A1466" s="2">
        <v>11465</v>
      </c>
      <c r="B1466" s="4">
        <v>47096</v>
      </c>
      <c r="C1466" t="s">
        <v>1601</v>
      </c>
      <c r="D1466" t="s">
        <v>25</v>
      </c>
      <c r="E1466" t="s">
        <v>26</v>
      </c>
      <c r="F1466" t="s">
        <v>107</v>
      </c>
      <c r="G1466">
        <v>3</v>
      </c>
      <c r="H1466" s="5">
        <v>3.5</v>
      </c>
      <c r="I1466" t="s">
        <v>21</v>
      </c>
      <c r="J1466" t="s">
        <v>51</v>
      </c>
      <c r="K1466" t="s">
        <v>52</v>
      </c>
      <c r="L1466" t="s">
        <v>2125</v>
      </c>
      <c r="M1466" s="5">
        <f t="shared" si="133"/>
        <v>10.5</v>
      </c>
      <c r="N1466" t="str">
        <f t="shared" si="134"/>
        <v>December</v>
      </c>
      <c r="O1466" t="str">
        <f t="shared" si="135"/>
        <v>Saturday</v>
      </c>
      <c r="P1466">
        <f t="shared" si="132"/>
        <v>20</v>
      </c>
      <c r="Q1466" s="2">
        <f t="shared" si="136"/>
        <v>6</v>
      </c>
      <c r="R1466" s="2">
        <f t="shared" si="137"/>
        <v>12</v>
      </c>
      <c r="S1466">
        <f>SUMIF(Table1[product_category],"Bakery",Table1[Total_bill])</f>
        <v>2951.25</v>
      </c>
    </row>
    <row r="1467" spans="1:19" x14ac:dyDescent="0.3">
      <c r="A1467" s="2">
        <v>11466</v>
      </c>
      <c r="B1467" s="4">
        <v>47097</v>
      </c>
      <c r="C1467" t="s">
        <v>1602</v>
      </c>
      <c r="D1467" t="s">
        <v>25</v>
      </c>
      <c r="E1467" t="s">
        <v>26</v>
      </c>
      <c r="F1467" t="s">
        <v>109</v>
      </c>
      <c r="G1467">
        <v>1</v>
      </c>
      <c r="H1467" s="5">
        <v>14</v>
      </c>
      <c r="I1467" t="s">
        <v>101</v>
      </c>
      <c r="J1467" t="s">
        <v>102</v>
      </c>
      <c r="K1467" t="s">
        <v>193</v>
      </c>
      <c r="L1467" t="s">
        <v>2125</v>
      </c>
      <c r="M1467" s="5">
        <f t="shared" si="133"/>
        <v>14</v>
      </c>
      <c r="N1467" t="str">
        <f t="shared" si="134"/>
        <v>December</v>
      </c>
      <c r="O1467" t="str">
        <f t="shared" si="135"/>
        <v>Sunday</v>
      </c>
      <c r="P1467">
        <f t="shared" si="132"/>
        <v>6</v>
      </c>
      <c r="Q1467" s="2">
        <f t="shared" si="136"/>
        <v>7</v>
      </c>
      <c r="R1467" s="2">
        <f t="shared" si="137"/>
        <v>12</v>
      </c>
      <c r="S1467">
        <f>SUMIF(Table1[product_category],"Bakery",Table1[Total_bill])</f>
        <v>2951.25</v>
      </c>
    </row>
    <row r="1468" spans="1:19" x14ac:dyDescent="0.3">
      <c r="A1468" s="2">
        <v>11467</v>
      </c>
      <c r="B1468" s="4">
        <v>47098</v>
      </c>
      <c r="C1468" t="s">
        <v>1603</v>
      </c>
      <c r="D1468" t="s">
        <v>25</v>
      </c>
      <c r="E1468" t="s">
        <v>26</v>
      </c>
      <c r="F1468" t="s">
        <v>112</v>
      </c>
      <c r="G1468">
        <v>2</v>
      </c>
      <c r="H1468" s="5">
        <v>2.5</v>
      </c>
      <c r="I1468" t="s">
        <v>36</v>
      </c>
      <c r="J1468" t="s">
        <v>37</v>
      </c>
      <c r="K1468" t="s">
        <v>62</v>
      </c>
      <c r="L1468" t="s">
        <v>2122</v>
      </c>
      <c r="M1468" s="5">
        <f t="shared" si="133"/>
        <v>5</v>
      </c>
      <c r="N1468" t="str">
        <f t="shared" si="134"/>
        <v>December</v>
      </c>
      <c r="O1468" t="str">
        <f t="shared" si="135"/>
        <v>Monday</v>
      </c>
      <c r="P1468">
        <f t="shared" si="132"/>
        <v>20</v>
      </c>
      <c r="Q1468" s="2">
        <f t="shared" si="136"/>
        <v>1</v>
      </c>
      <c r="R1468" s="2">
        <f t="shared" si="137"/>
        <v>12</v>
      </c>
      <c r="S1468">
        <f>SUMIF(Table1[product_category],"Bakery",Table1[Total_bill])</f>
        <v>2951.25</v>
      </c>
    </row>
    <row r="1469" spans="1:19" x14ac:dyDescent="0.3">
      <c r="A1469" s="2">
        <v>11468</v>
      </c>
      <c r="B1469" s="4">
        <v>47099</v>
      </c>
      <c r="C1469" t="s">
        <v>1604</v>
      </c>
      <c r="D1469" t="s">
        <v>40</v>
      </c>
      <c r="E1469" t="s">
        <v>41</v>
      </c>
      <c r="F1469" t="s">
        <v>115</v>
      </c>
      <c r="G1469">
        <v>3</v>
      </c>
      <c r="H1469" s="5">
        <v>3.75</v>
      </c>
      <c r="I1469" t="s">
        <v>32</v>
      </c>
      <c r="J1469" t="s">
        <v>226</v>
      </c>
      <c r="K1469" t="s">
        <v>273</v>
      </c>
      <c r="L1469" t="s">
        <v>2123</v>
      </c>
      <c r="M1469" s="5">
        <f t="shared" si="133"/>
        <v>11.25</v>
      </c>
      <c r="N1469" t="str">
        <f t="shared" si="134"/>
        <v>December</v>
      </c>
      <c r="O1469" t="str">
        <f t="shared" si="135"/>
        <v>Tuesday</v>
      </c>
      <c r="P1469">
        <f t="shared" si="132"/>
        <v>10</v>
      </c>
      <c r="Q1469" s="2">
        <f t="shared" si="136"/>
        <v>2</v>
      </c>
      <c r="R1469" s="2">
        <f t="shared" si="137"/>
        <v>12</v>
      </c>
      <c r="S1469">
        <f>SUMIF(Table1[product_category],"Bakery",Table1[Total_bill])</f>
        <v>2951.25</v>
      </c>
    </row>
    <row r="1470" spans="1:19" x14ac:dyDescent="0.3">
      <c r="A1470" s="2">
        <v>11469</v>
      </c>
      <c r="B1470" s="4">
        <v>47100</v>
      </c>
      <c r="C1470" t="s">
        <v>1605</v>
      </c>
      <c r="D1470" t="s">
        <v>18</v>
      </c>
      <c r="E1470" t="s">
        <v>19</v>
      </c>
      <c r="F1470" t="s">
        <v>117</v>
      </c>
      <c r="G1470">
        <v>1</v>
      </c>
      <c r="H1470" s="5">
        <v>3.75</v>
      </c>
      <c r="I1470" t="s">
        <v>32</v>
      </c>
      <c r="J1470" t="s">
        <v>144</v>
      </c>
      <c r="K1470" t="s">
        <v>144</v>
      </c>
      <c r="L1470" t="s">
        <v>2123</v>
      </c>
      <c r="M1470" s="5">
        <f t="shared" si="133"/>
        <v>3.75</v>
      </c>
      <c r="N1470" t="str">
        <f t="shared" si="134"/>
        <v>December</v>
      </c>
      <c r="O1470" t="str">
        <f t="shared" si="135"/>
        <v>Wednesday</v>
      </c>
      <c r="P1470">
        <f t="shared" si="132"/>
        <v>17</v>
      </c>
      <c r="Q1470" s="2">
        <f t="shared" si="136"/>
        <v>3</v>
      </c>
      <c r="R1470" s="2">
        <f t="shared" si="137"/>
        <v>12</v>
      </c>
      <c r="S1470">
        <f>SUMIF(Table1[product_category],"Bakery",Table1[Total_bill])</f>
        <v>2951.25</v>
      </c>
    </row>
    <row r="1471" spans="1:19" x14ac:dyDescent="0.3">
      <c r="A1471" s="2">
        <v>11470</v>
      </c>
      <c r="B1471" s="4">
        <v>47101</v>
      </c>
      <c r="C1471" t="s">
        <v>1606</v>
      </c>
      <c r="D1471" t="s">
        <v>25</v>
      </c>
      <c r="E1471" t="s">
        <v>26</v>
      </c>
      <c r="F1471" t="s">
        <v>119</v>
      </c>
      <c r="G1471">
        <v>1</v>
      </c>
      <c r="H1471" s="5">
        <v>3.75</v>
      </c>
      <c r="I1471" t="s">
        <v>32</v>
      </c>
      <c r="J1471" t="s">
        <v>144</v>
      </c>
      <c r="K1471" t="s">
        <v>144</v>
      </c>
      <c r="L1471" t="s">
        <v>2123</v>
      </c>
      <c r="M1471" s="5">
        <f t="shared" si="133"/>
        <v>3.75</v>
      </c>
      <c r="N1471" t="str">
        <f t="shared" si="134"/>
        <v>December</v>
      </c>
      <c r="O1471" t="str">
        <f t="shared" si="135"/>
        <v>Thursday</v>
      </c>
      <c r="P1471">
        <f t="shared" si="132"/>
        <v>16</v>
      </c>
      <c r="Q1471" s="2">
        <f t="shared" si="136"/>
        <v>4</v>
      </c>
      <c r="R1471" s="2">
        <f t="shared" si="137"/>
        <v>12</v>
      </c>
      <c r="S1471">
        <f>SUMIF(Table1[product_category],"Bakery",Table1[Total_bill])</f>
        <v>2951.25</v>
      </c>
    </row>
    <row r="1472" spans="1:19" x14ac:dyDescent="0.3">
      <c r="A1472" s="2">
        <v>11471</v>
      </c>
      <c r="B1472" s="4">
        <v>47102</v>
      </c>
      <c r="C1472" t="s">
        <v>1607</v>
      </c>
      <c r="D1472" t="s">
        <v>25</v>
      </c>
      <c r="E1472" t="s">
        <v>26</v>
      </c>
      <c r="F1472" t="s">
        <v>121</v>
      </c>
      <c r="G1472">
        <v>1</v>
      </c>
      <c r="H1472" s="5">
        <v>4.25</v>
      </c>
      <c r="I1472" t="s">
        <v>36</v>
      </c>
      <c r="J1472" t="s">
        <v>211</v>
      </c>
      <c r="K1472" t="s">
        <v>212</v>
      </c>
      <c r="L1472" t="s">
        <v>2123</v>
      </c>
      <c r="M1472" s="5">
        <f t="shared" si="133"/>
        <v>4.25</v>
      </c>
      <c r="N1472" t="str">
        <f t="shared" si="134"/>
        <v>December</v>
      </c>
      <c r="O1472" t="str">
        <f t="shared" si="135"/>
        <v>Friday</v>
      </c>
      <c r="P1472">
        <f t="shared" si="132"/>
        <v>12</v>
      </c>
      <c r="Q1472" s="2">
        <f t="shared" si="136"/>
        <v>5</v>
      </c>
      <c r="R1472" s="2">
        <f t="shared" si="137"/>
        <v>12</v>
      </c>
      <c r="S1472">
        <f>SUMIF(Table1[product_category],"Bakery",Table1[Total_bill])</f>
        <v>2951.25</v>
      </c>
    </row>
    <row r="1473" spans="1:19" x14ac:dyDescent="0.3">
      <c r="A1473" s="2">
        <v>11472</v>
      </c>
      <c r="B1473" s="4">
        <v>47103</v>
      </c>
      <c r="C1473" t="s">
        <v>1608</v>
      </c>
      <c r="D1473" t="s">
        <v>25</v>
      </c>
      <c r="E1473" t="s">
        <v>26</v>
      </c>
      <c r="F1473" t="s">
        <v>124</v>
      </c>
      <c r="G1473">
        <v>4</v>
      </c>
      <c r="H1473" s="5">
        <v>3</v>
      </c>
      <c r="I1473" t="s">
        <v>21</v>
      </c>
      <c r="J1473" t="s">
        <v>181</v>
      </c>
      <c r="K1473" t="s">
        <v>182</v>
      </c>
      <c r="L1473" t="s">
        <v>2125</v>
      </c>
      <c r="M1473" s="5">
        <f t="shared" si="133"/>
        <v>12</v>
      </c>
      <c r="N1473" t="str">
        <f t="shared" si="134"/>
        <v>December</v>
      </c>
      <c r="O1473" t="str">
        <f t="shared" si="135"/>
        <v>Saturday</v>
      </c>
      <c r="P1473">
        <f t="shared" si="132"/>
        <v>15</v>
      </c>
      <c r="Q1473" s="2">
        <f t="shared" si="136"/>
        <v>6</v>
      </c>
      <c r="R1473" s="2">
        <f t="shared" si="137"/>
        <v>12</v>
      </c>
      <c r="S1473">
        <f>SUMIF(Table1[product_category],"Bakery",Table1[Total_bill])</f>
        <v>2951.25</v>
      </c>
    </row>
    <row r="1474" spans="1:19" x14ac:dyDescent="0.3">
      <c r="A1474" s="2">
        <v>11473</v>
      </c>
      <c r="B1474" s="4">
        <v>47104</v>
      </c>
      <c r="C1474" t="s">
        <v>1609</v>
      </c>
      <c r="D1474" t="s">
        <v>25</v>
      </c>
      <c r="E1474" t="s">
        <v>26</v>
      </c>
      <c r="F1474" t="s">
        <v>126</v>
      </c>
      <c r="G1474">
        <v>3</v>
      </c>
      <c r="H1474" s="5">
        <v>4.75</v>
      </c>
      <c r="I1474" t="s">
        <v>32</v>
      </c>
      <c r="J1474" t="s">
        <v>202</v>
      </c>
      <c r="K1474" t="s">
        <v>202</v>
      </c>
      <c r="L1474" t="s">
        <v>2123</v>
      </c>
      <c r="M1474" s="5">
        <f t="shared" si="133"/>
        <v>14.25</v>
      </c>
      <c r="N1474" t="str">
        <f t="shared" si="134"/>
        <v>December</v>
      </c>
      <c r="O1474" t="str">
        <f t="shared" si="135"/>
        <v>Sunday</v>
      </c>
      <c r="P1474">
        <f t="shared" ref="P1474:P1537" si="138">HOUR(TIMEVALUE(C1474))</f>
        <v>17</v>
      </c>
      <c r="Q1474" s="2">
        <f t="shared" si="136"/>
        <v>7</v>
      </c>
      <c r="R1474" s="2">
        <f t="shared" si="137"/>
        <v>12</v>
      </c>
      <c r="S1474">
        <f>SUMIF(Table1[product_category],"Bakery",Table1[Total_bill])</f>
        <v>2951.25</v>
      </c>
    </row>
    <row r="1475" spans="1:19" x14ac:dyDescent="0.3">
      <c r="A1475" s="2">
        <v>11474</v>
      </c>
      <c r="B1475" s="4">
        <v>47105</v>
      </c>
      <c r="C1475" t="s">
        <v>1610</v>
      </c>
      <c r="D1475" t="s">
        <v>25</v>
      </c>
      <c r="E1475" t="s">
        <v>26</v>
      </c>
      <c r="F1475" t="s">
        <v>128</v>
      </c>
      <c r="G1475">
        <v>4</v>
      </c>
      <c r="H1475" s="5">
        <v>14</v>
      </c>
      <c r="I1475" t="s">
        <v>98</v>
      </c>
      <c r="J1475" t="s">
        <v>98</v>
      </c>
      <c r="K1475" t="s">
        <v>129</v>
      </c>
      <c r="L1475" t="s">
        <v>2125</v>
      </c>
      <c r="M1475" s="5">
        <f t="shared" ref="M1475:M1538" si="139">G1475*H1475</f>
        <v>56</v>
      </c>
      <c r="N1475" t="str">
        <f t="shared" ref="N1475:N1538" si="140">TEXT(B1475,"mmmm")</f>
        <v>December</v>
      </c>
      <c r="O1475" t="str">
        <f t="shared" ref="O1475:O1538" si="141">TEXT(B1475,"dddd")</f>
        <v>Monday</v>
      </c>
      <c r="P1475">
        <f t="shared" si="138"/>
        <v>10</v>
      </c>
      <c r="Q1475" s="2">
        <f t="shared" ref="Q1475:Q1538" si="142">WEEKDAY(B1475,2)</f>
        <v>1</v>
      </c>
      <c r="R1475" s="2">
        <f t="shared" ref="R1475:R1538" si="143">MONTH(B1475)</f>
        <v>12</v>
      </c>
      <c r="S1475">
        <f>SUMIF(Table1[product_category],"Bakery",Table1[Total_bill])</f>
        <v>2951.25</v>
      </c>
    </row>
    <row r="1476" spans="1:19" x14ac:dyDescent="0.3">
      <c r="A1476" s="2">
        <v>11475</v>
      </c>
      <c r="B1476" s="4">
        <v>47106</v>
      </c>
      <c r="C1476" t="s">
        <v>1611</v>
      </c>
      <c r="D1476" t="s">
        <v>40</v>
      </c>
      <c r="E1476" t="s">
        <v>41</v>
      </c>
      <c r="F1476" t="s">
        <v>131</v>
      </c>
      <c r="G1476">
        <v>3</v>
      </c>
      <c r="H1476" s="5">
        <v>2.5</v>
      </c>
      <c r="I1476" t="s">
        <v>21</v>
      </c>
      <c r="J1476" t="s">
        <v>47</v>
      </c>
      <c r="K1476" t="s">
        <v>48</v>
      </c>
      <c r="L1476" t="s">
        <v>2125</v>
      </c>
      <c r="M1476" s="5">
        <f t="shared" si="139"/>
        <v>7.5</v>
      </c>
      <c r="N1476" t="str">
        <f t="shared" si="140"/>
        <v>December</v>
      </c>
      <c r="O1476" t="str">
        <f t="shared" si="141"/>
        <v>Tuesday</v>
      </c>
      <c r="P1476">
        <f t="shared" si="138"/>
        <v>9</v>
      </c>
      <c r="Q1476" s="2">
        <f t="shared" si="142"/>
        <v>2</v>
      </c>
      <c r="R1476" s="2">
        <f t="shared" si="143"/>
        <v>12</v>
      </c>
      <c r="S1476">
        <f>SUMIF(Table1[product_category],"Bakery",Table1[Total_bill])</f>
        <v>2951.25</v>
      </c>
    </row>
    <row r="1477" spans="1:19" x14ac:dyDescent="0.3">
      <c r="A1477" s="2">
        <v>11476</v>
      </c>
      <c r="B1477" s="4">
        <v>47107</v>
      </c>
      <c r="C1477" t="s">
        <v>1612</v>
      </c>
      <c r="D1477" t="s">
        <v>40</v>
      </c>
      <c r="E1477" t="s">
        <v>41</v>
      </c>
      <c r="F1477" t="s">
        <v>133</v>
      </c>
      <c r="G1477">
        <v>4</v>
      </c>
      <c r="H1477" s="5">
        <v>2.25</v>
      </c>
      <c r="I1477" t="s">
        <v>21</v>
      </c>
      <c r="J1477" t="s">
        <v>58</v>
      </c>
      <c r="K1477" t="s">
        <v>59</v>
      </c>
      <c r="L1477" t="s">
        <v>2125</v>
      </c>
      <c r="M1477" s="5">
        <f t="shared" si="139"/>
        <v>9</v>
      </c>
      <c r="N1477" t="str">
        <f t="shared" si="140"/>
        <v>December</v>
      </c>
      <c r="O1477" t="str">
        <f t="shared" si="141"/>
        <v>Wednesday</v>
      </c>
      <c r="P1477">
        <f t="shared" si="138"/>
        <v>14</v>
      </c>
      <c r="Q1477" s="2">
        <f t="shared" si="142"/>
        <v>3</v>
      </c>
      <c r="R1477" s="2">
        <f t="shared" si="143"/>
        <v>12</v>
      </c>
      <c r="S1477">
        <f>SUMIF(Table1[product_category],"Bakery",Table1[Total_bill])</f>
        <v>2951.25</v>
      </c>
    </row>
    <row r="1478" spans="1:19" x14ac:dyDescent="0.3">
      <c r="A1478" s="2">
        <v>11477</v>
      </c>
      <c r="B1478" s="4">
        <v>47108</v>
      </c>
      <c r="C1478" t="s">
        <v>1613</v>
      </c>
      <c r="D1478" t="s">
        <v>25</v>
      </c>
      <c r="E1478" t="s">
        <v>26</v>
      </c>
      <c r="F1478" t="s">
        <v>135</v>
      </c>
      <c r="G1478">
        <v>2</v>
      </c>
      <c r="H1478" s="5">
        <v>4.75</v>
      </c>
      <c r="I1478" t="s">
        <v>32</v>
      </c>
      <c r="J1478" t="s">
        <v>202</v>
      </c>
      <c r="K1478" t="s">
        <v>202</v>
      </c>
      <c r="L1478" t="s">
        <v>2123</v>
      </c>
      <c r="M1478" s="5">
        <f t="shared" si="139"/>
        <v>9.5</v>
      </c>
      <c r="N1478" t="str">
        <f t="shared" si="140"/>
        <v>December</v>
      </c>
      <c r="O1478" t="str">
        <f t="shared" si="141"/>
        <v>Thursday</v>
      </c>
      <c r="P1478">
        <f t="shared" si="138"/>
        <v>16</v>
      </c>
      <c r="Q1478" s="2">
        <f t="shared" si="142"/>
        <v>4</v>
      </c>
      <c r="R1478" s="2">
        <f t="shared" si="143"/>
        <v>12</v>
      </c>
      <c r="S1478">
        <f>SUMIF(Table1[product_category],"Bakery",Table1[Total_bill])</f>
        <v>2951.25</v>
      </c>
    </row>
    <row r="1479" spans="1:19" x14ac:dyDescent="0.3">
      <c r="A1479" s="2">
        <v>11478</v>
      </c>
      <c r="B1479" s="4">
        <v>47109</v>
      </c>
      <c r="C1479" t="s">
        <v>1614</v>
      </c>
      <c r="D1479" t="s">
        <v>40</v>
      </c>
      <c r="E1479" t="s">
        <v>41</v>
      </c>
      <c r="F1479" t="s">
        <v>137</v>
      </c>
      <c r="G1479">
        <v>4</v>
      </c>
      <c r="H1479" s="5">
        <v>11</v>
      </c>
      <c r="I1479" t="s">
        <v>98</v>
      </c>
      <c r="J1479" t="s">
        <v>98</v>
      </c>
      <c r="K1479" t="s">
        <v>215</v>
      </c>
      <c r="L1479" t="s">
        <v>2125</v>
      </c>
      <c r="M1479" s="5">
        <f t="shared" si="139"/>
        <v>44</v>
      </c>
      <c r="N1479" t="str">
        <f t="shared" si="140"/>
        <v>December</v>
      </c>
      <c r="O1479" t="str">
        <f t="shared" si="141"/>
        <v>Friday</v>
      </c>
      <c r="P1479">
        <f t="shared" si="138"/>
        <v>15</v>
      </c>
      <c r="Q1479" s="2">
        <f t="shared" si="142"/>
        <v>5</v>
      </c>
      <c r="R1479" s="2">
        <f t="shared" si="143"/>
        <v>12</v>
      </c>
      <c r="S1479">
        <f>SUMIF(Table1[product_category],"Bakery",Table1[Total_bill])</f>
        <v>2951.25</v>
      </c>
    </row>
    <row r="1480" spans="1:19" x14ac:dyDescent="0.3">
      <c r="A1480" s="2">
        <v>11479</v>
      </c>
      <c r="B1480" s="4">
        <v>47110</v>
      </c>
      <c r="C1480" t="s">
        <v>1615</v>
      </c>
      <c r="D1480" t="s">
        <v>40</v>
      </c>
      <c r="E1480" t="s">
        <v>41</v>
      </c>
      <c r="F1480" t="s">
        <v>140</v>
      </c>
      <c r="G1480">
        <v>2</v>
      </c>
      <c r="H1480" s="5">
        <v>3</v>
      </c>
      <c r="I1480" t="s">
        <v>32</v>
      </c>
      <c r="J1480" t="s">
        <v>226</v>
      </c>
      <c r="K1480" t="s">
        <v>227</v>
      </c>
      <c r="L1480" t="s">
        <v>2124</v>
      </c>
      <c r="M1480" s="5">
        <f t="shared" si="139"/>
        <v>6</v>
      </c>
      <c r="N1480" t="str">
        <f t="shared" si="140"/>
        <v>December</v>
      </c>
      <c r="O1480" t="str">
        <f t="shared" si="141"/>
        <v>Saturday</v>
      </c>
      <c r="P1480">
        <f t="shared" si="138"/>
        <v>16</v>
      </c>
      <c r="Q1480" s="2">
        <f t="shared" si="142"/>
        <v>6</v>
      </c>
      <c r="R1480" s="2">
        <f t="shared" si="143"/>
        <v>12</v>
      </c>
      <c r="S1480">
        <f>SUMIF(Table1[product_category],"Bakery",Table1[Total_bill])</f>
        <v>2951.25</v>
      </c>
    </row>
    <row r="1481" spans="1:19" x14ac:dyDescent="0.3">
      <c r="A1481" s="2">
        <v>11480</v>
      </c>
      <c r="B1481" s="4">
        <v>47111</v>
      </c>
      <c r="C1481" t="s">
        <v>1616</v>
      </c>
      <c r="D1481" t="s">
        <v>18</v>
      </c>
      <c r="E1481" t="s">
        <v>19</v>
      </c>
      <c r="F1481" t="s">
        <v>143</v>
      </c>
      <c r="G1481">
        <v>3</v>
      </c>
      <c r="H1481" s="5">
        <v>3.75</v>
      </c>
      <c r="I1481" t="s">
        <v>32</v>
      </c>
      <c r="J1481" t="s">
        <v>69</v>
      </c>
      <c r="K1481" t="s">
        <v>69</v>
      </c>
      <c r="L1481" t="s">
        <v>2122</v>
      </c>
      <c r="M1481" s="5">
        <f t="shared" si="139"/>
        <v>11.25</v>
      </c>
      <c r="N1481" t="str">
        <f t="shared" si="140"/>
        <v>December</v>
      </c>
      <c r="O1481" t="str">
        <f t="shared" si="141"/>
        <v>Sunday</v>
      </c>
      <c r="P1481">
        <f t="shared" si="138"/>
        <v>11</v>
      </c>
      <c r="Q1481" s="2">
        <f t="shared" si="142"/>
        <v>7</v>
      </c>
      <c r="R1481" s="2">
        <f t="shared" si="143"/>
        <v>12</v>
      </c>
      <c r="S1481">
        <f>SUMIF(Table1[product_category],"Bakery",Table1[Total_bill])</f>
        <v>2951.25</v>
      </c>
    </row>
    <row r="1482" spans="1:19" x14ac:dyDescent="0.3">
      <c r="A1482" s="2">
        <v>11481</v>
      </c>
      <c r="B1482" s="4">
        <v>47112</v>
      </c>
      <c r="C1482" t="s">
        <v>1617</v>
      </c>
      <c r="D1482" t="s">
        <v>25</v>
      </c>
      <c r="E1482" t="s">
        <v>26</v>
      </c>
      <c r="F1482" t="s">
        <v>146</v>
      </c>
      <c r="G1482">
        <v>1</v>
      </c>
      <c r="H1482" s="5">
        <v>13</v>
      </c>
      <c r="I1482" t="s">
        <v>98</v>
      </c>
      <c r="J1482" t="s">
        <v>98</v>
      </c>
      <c r="K1482" t="s">
        <v>95</v>
      </c>
      <c r="L1482" t="s">
        <v>2125</v>
      </c>
      <c r="M1482" s="5">
        <f t="shared" si="139"/>
        <v>13</v>
      </c>
      <c r="N1482" t="str">
        <f t="shared" si="140"/>
        <v>December</v>
      </c>
      <c r="O1482" t="str">
        <f t="shared" si="141"/>
        <v>Monday</v>
      </c>
      <c r="P1482">
        <f t="shared" si="138"/>
        <v>16</v>
      </c>
      <c r="Q1482" s="2">
        <f t="shared" si="142"/>
        <v>1</v>
      </c>
      <c r="R1482" s="2">
        <f t="shared" si="143"/>
        <v>12</v>
      </c>
      <c r="S1482">
        <f>SUMIF(Table1[product_category],"Bakery",Table1[Total_bill])</f>
        <v>2951.25</v>
      </c>
    </row>
    <row r="1483" spans="1:19" x14ac:dyDescent="0.3">
      <c r="A1483" s="2">
        <v>11482</v>
      </c>
      <c r="B1483" s="4">
        <v>47113</v>
      </c>
      <c r="C1483" t="s">
        <v>1618</v>
      </c>
      <c r="D1483" t="s">
        <v>18</v>
      </c>
      <c r="E1483" t="s">
        <v>19</v>
      </c>
      <c r="F1483" t="s">
        <v>148</v>
      </c>
      <c r="G1483">
        <v>3</v>
      </c>
      <c r="H1483" s="5">
        <v>4.25</v>
      </c>
      <c r="I1483" t="s">
        <v>32</v>
      </c>
      <c r="J1483" t="s">
        <v>202</v>
      </c>
      <c r="K1483" t="s">
        <v>202</v>
      </c>
      <c r="L1483" t="s">
        <v>2124</v>
      </c>
      <c r="M1483" s="5">
        <f t="shared" si="139"/>
        <v>12.75</v>
      </c>
      <c r="N1483" t="str">
        <f t="shared" si="140"/>
        <v>December</v>
      </c>
      <c r="O1483" t="str">
        <f t="shared" si="141"/>
        <v>Tuesday</v>
      </c>
      <c r="P1483">
        <f t="shared" si="138"/>
        <v>7</v>
      </c>
      <c r="Q1483" s="2">
        <f t="shared" si="142"/>
        <v>2</v>
      </c>
      <c r="R1483" s="2">
        <f t="shared" si="143"/>
        <v>12</v>
      </c>
      <c r="S1483">
        <f>SUMIF(Table1[product_category],"Bakery",Table1[Total_bill])</f>
        <v>2951.25</v>
      </c>
    </row>
    <row r="1484" spans="1:19" x14ac:dyDescent="0.3">
      <c r="A1484" s="2">
        <v>11483</v>
      </c>
      <c r="B1484" s="4">
        <v>47114</v>
      </c>
      <c r="C1484" t="s">
        <v>1619</v>
      </c>
      <c r="D1484" t="s">
        <v>18</v>
      </c>
      <c r="E1484" t="s">
        <v>19</v>
      </c>
      <c r="F1484" t="s">
        <v>150</v>
      </c>
      <c r="G1484">
        <v>3</v>
      </c>
      <c r="H1484" s="5">
        <v>8</v>
      </c>
      <c r="I1484" t="s">
        <v>28</v>
      </c>
      <c r="J1484" t="s">
        <v>28</v>
      </c>
      <c r="K1484" t="s">
        <v>76</v>
      </c>
      <c r="L1484" t="s">
        <v>2125</v>
      </c>
      <c r="M1484" s="5">
        <f t="shared" si="139"/>
        <v>24</v>
      </c>
      <c r="N1484" t="str">
        <f t="shared" si="140"/>
        <v>December</v>
      </c>
      <c r="O1484" t="str">
        <f t="shared" si="141"/>
        <v>Wednesday</v>
      </c>
      <c r="P1484">
        <f t="shared" si="138"/>
        <v>12</v>
      </c>
      <c r="Q1484" s="2">
        <f t="shared" si="142"/>
        <v>3</v>
      </c>
      <c r="R1484" s="2">
        <f t="shared" si="143"/>
        <v>12</v>
      </c>
      <c r="S1484">
        <f>SUMIF(Table1[product_category],"Bakery",Table1[Total_bill])</f>
        <v>2951.25</v>
      </c>
    </row>
    <row r="1485" spans="1:19" x14ac:dyDescent="0.3">
      <c r="A1485" s="2">
        <v>11484</v>
      </c>
      <c r="B1485" s="4">
        <v>47115</v>
      </c>
      <c r="C1485" t="s">
        <v>1620</v>
      </c>
      <c r="D1485" t="s">
        <v>25</v>
      </c>
      <c r="E1485" t="s">
        <v>26</v>
      </c>
      <c r="F1485" t="s">
        <v>152</v>
      </c>
      <c r="G1485">
        <v>2</v>
      </c>
      <c r="H1485" s="5">
        <v>2.75</v>
      </c>
      <c r="I1485" t="s">
        <v>21</v>
      </c>
      <c r="J1485" t="s">
        <v>22</v>
      </c>
      <c r="K1485" t="s">
        <v>23</v>
      </c>
      <c r="L1485" t="s">
        <v>2125</v>
      </c>
      <c r="M1485" s="5">
        <f t="shared" si="139"/>
        <v>5.5</v>
      </c>
      <c r="N1485" t="str">
        <f t="shared" si="140"/>
        <v>December</v>
      </c>
      <c r="O1485" t="str">
        <f t="shared" si="141"/>
        <v>Thursday</v>
      </c>
      <c r="P1485">
        <f t="shared" si="138"/>
        <v>6</v>
      </c>
      <c r="Q1485" s="2">
        <f t="shared" si="142"/>
        <v>4</v>
      </c>
      <c r="R1485" s="2">
        <f t="shared" si="143"/>
        <v>12</v>
      </c>
      <c r="S1485">
        <f>SUMIF(Table1[product_category],"Bakery",Table1[Total_bill])</f>
        <v>2951.25</v>
      </c>
    </row>
    <row r="1486" spans="1:19" x14ac:dyDescent="0.3">
      <c r="A1486" s="2">
        <v>11485</v>
      </c>
      <c r="B1486" s="4">
        <v>47116</v>
      </c>
      <c r="C1486" t="s">
        <v>1621</v>
      </c>
      <c r="D1486" t="s">
        <v>18</v>
      </c>
      <c r="E1486" t="s">
        <v>19</v>
      </c>
      <c r="F1486" t="s">
        <v>154</v>
      </c>
      <c r="G1486">
        <v>4</v>
      </c>
      <c r="H1486" s="5">
        <v>3.5</v>
      </c>
      <c r="I1486" t="s">
        <v>36</v>
      </c>
      <c r="J1486" t="s">
        <v>37</v>
      </c>
      <c r="K1486" t="s">
        <v>276</v>
      </c>
      <c r="L1486" t="s">
        <v>2123</v>
      </c>
      <c r="M1486" s="5">
        <f t="shared" si="139"/>
        <v>14</v>
      </c>
      <c r="N1486" t="str">
        <f t="shared" si="140"/>
        <v>December</v>
      </c>
      <c r="O1486" t="str">
        <f t="shared" si="141"/>
        <v>Friday</v>
      </c>
      <c r="P1486">
        <f t="shared" si="138"/>
        <v>9</v>
      </c>
      <c r="Q1486" s="2">
        <f t="shared" si="142"/>
        <v>5</v>
      </c>
      <c r="R1486" s="2">
        <f t="shared" si="143"/>
        <v>12</v>
      </c>
      <c r="S1486">
        <f>SUMIF(Table1[product_category],"Bakery",Table1[Total_bill])</f>
        <v>2951.25</v>
      </c>
    </row>
    <row r="1487" spans="1:19" x14ac:dyDescent="0.3">
      <c r="A1487" s="2">
        <v>11486</v>
      </c>
      <c r="B1487" s="4">
        <v>47117</v>
      </c>
      <c r="C1487" t="s">
        <v>1622</v>
      </c>
      <c r="D1487" t="s">
        <v>18</v>
      </c>
      <c r="E1487" t="s">
        <v>19</v>
      </c>
      <c r="F1487" t="s">
        <v>156</v>
      </c>
      <c r="G1487">
        <v>3</v>
      </c>
      <c r="H1487" s="5">
        <v>4</v>
      </c>
      <c r="I1487" t="s">
        <v>89</v>
      </c>
      <c r="J1487" t="s">
        <v>90</v>
      </c>
      <c r="K1487" t="s">
        <v>91</v>
      </c>
      <c r="L1487" t="s">
        <v>2122</v>
      </c>
      <c r="M1487" s="5">
        <f t="shared" si="139"/>
        <v>12</v>
      </c>
      <c r="N1487" t="str">
        <f t="shared" si="140"/>
        <v>December</v>
      </c>
      <c r="O1487" t="str">
        <f t="shared" si="141"/>
        <v>Saturday</v>
      </c>
      <c r="P1487">
        <f t="shared" si="138"/>
        <v>10</v>
      </c>
      <c r="Q1487" s="2">
        <f t="shared" si="142"/>
        <v>6</v>
      </c>
      <c r="R1487" s="2">
        <f t="shared" si="143"/>
        <v>12</v>
      </c>
      <c r="S1487">
        <f>SUMIF(Table1[product_category],"Bakery",Table1[Total_bill])</f>
        <v>2951.25</v>
      </c>
    </row>
    <row r="1488" spans="1:19" x14ac:dyDescent="0.3">
      <c r="A1488" s="2">
        <v>11487</v>
      </c>
      <c r="B1488" s="4">
        <v>47118</v>
      </c>
      <c r="C1488" t="s">
        <v>1623</v>
      </c>
      <c r="D1488" t="s">
        <v>40</v>
      </c>
      <c r="E1488" t="s">
        <v>41</v>
      </c>
      <c r="F1488" t="s">
        <v>158</v>
      </c>
      <c r="G1488">
        <v>2</v>
      </c>
      <c r="H1488" s="5">
        <v>4.5</v>
      </c>
      <c r="I1488" t="s">
        <v>89</v>
      </c>
      <c r="J1488" t="s">
        <v>261</v>
      </c>
      <c r="K1488" t="s">
        <v>261</v>
      </c>
      <c r="L1488" t="s">
        <v>2123</v>
      </c>
      <c r="M1488" s="5">
        <f t="shared" si="139"/>
        <v>9</v>
      </c>
      <c r="N1488" t="str">
        <f t="shared" si="140"/>
        <v>December</v>
      </c>
      <c r="O1488" t="str">
        <f t="shared" si="141"/>
        <v>Sunday</v>
      </c>
      <c r="P1488">
        <f t="shared" si="138"/>
        <v>10</v>
      </c>
      <c r="Q1488" s="2">
        <f t="shared" si="142"/>
        <v>7</v>
      </c>
      <c r="R1488" s="2">
        <f t="shared" si="143"/>
        <v>12</v>
      </c>
      <c r="S1488">
        <f>SUMIF(Table1[product_category],"Bakery",Table1[Total_bill])</f>
        <v>2951.25</v>
      </c>
    </row>
    <row r="1489" spans="1:19" x14ac:dyDescent="0.3">
      <c r="A1489" s="2">
        <v>11488</v>
      </c>
      <c r="B1489" s="4">
        <v>47119</v>
      </c>
      <c r="C1489" t="s">
        <v>1624</v>
      </c>
      <c r="D1489" t="s">
        <v>25</v>
      </c>
      <c r="E1489" t="s">
        <v>26</v>
      </c>
      <c r="F1489" t="s">
        <v>160</v>
      </c>
      <c r="G1489">
        <v>3</v>
      </c>
      <c r="H1489" s="5">
        <v>4.5</v>
      </c>
      <c r="I1489" t="s">
        <v>32</v>
      </c>
      <c r="J1489" t="s">
        <v>33</v>
      </c>
      <c r="K1489" t="s">
        <v>33</v>
      </c>
      <c r="L1489" t="s">
        <v>2123</v>
      </c>
      <c r="M1489" s="5">
        <f t="shared" si="139"/>
        <v>13.5</v>
      </c>
      <c r="N1489" t="str">
        <f t="shared" si="140"/>
        <v>January</v>
      </c>
      <c r="O1489" t="str">
        <f t="shared" si="141"/>
        <v>Monday</v>
      </c>
      <c r="P1489">
        <f t="shared" si="138"/>
        <v>14</v>
      </c>
      <c r="Q1489" s="2">
        <f t="shared" si="142"/>
        <v>1</v>
      </c>
      <c r="R1489" s="2">
        <f t="shared" si="143"/>
        <v>1</v>
      </c>
      <c r="S1489">
        <f>SUMIF(Table1[product_category],"Bakery",Table1[Total_bill])</f>
        <v>2951.25</v>
      </c>
    </row>
    <row r="1490" spans="1:19" x14ac:dyDescent="0.3">
      <c r="A1490" s="2">
        <v>11489</v>
      </c>
      <c r="B1490" s="4">
        <v>47120</v>
      </c>
      <c r="C1490" t="s">
        <v>1625</v>
      </c>
      <c r="D1490" t="s">
        <v>18</v>
      </c>
      <c r="E1490" t="s">
        <v>19</v>
      </c>
      <c r="F1490" t="s">
        <v>162</v>
      </c>
      <c r="G1490">
        <v>1</v>
      </c>
      <c r="H1490" s="5">
        <v>3.25</v>
      </c>
      <c r="I1490" t="s">
        <v>36</v>
      </c>
      <c r="J1490" t="s">
        <v>211</v>
      </c>
      <c r="K1490" t="s">
        <v>212</v>
      </c>
      <c r="L1490" t="s">
        <v>2122</v>
      </c>
      <c r="M1490" s="5">
        <f t="shared" si="139"/>
        <v>3.25</v>
      </c>
      <c r="N1490" t="str">
        <f t="shared" si="140"/>
        <v>January</v>
      </c>
      <c r="O1490" t="str">
        <f t="shared" si="141"/>
        <v>Tuesday</v>
      </c>
      <c r="P1490">
        <f t="shared" si="138"/>
        <v>10</v>
      </c>
      <c r="Q1490" s="2">
        <f t="shared" si="142"/>
        <v>2</v>
      </c>
      <c r="R1490" s="2">
        <f t="shared" si="143"/>
        <v>1</v>
      </c>
      <c r="S1490">
        <f>SUMIF(Table1[product_category],"Bakery",Table1[Total_bill])</f>
        <v>2951.25</v>
      </c>
    </row>
    <row r="1491" spans="1:19" x14ac:dyDescent="0.3">
      <c r="A1491" s="2">
        <v>11490</v>
      </c>
      <c r="B1491" s="4">
        <v>47121</v>
      </c>
      <c r="C1491" t="s">
        <v>1626</v>
      </c>
      <c r="D1491" t="s">
        <v>25</v>
      </c>
      <c r="E1491" t="s">
        <v>26</v>
      </c>
      <c r="F1491" t="s">
        <v>164</v>
      </c>
      <c r="G1491">
        <v>4</v>
      </c>
      <c r="H1491" s="5">
        <v>3.25</v>
      </c>
      <c r="I1491" t="s">
        <v>21</v>
      </c>
      <c r="J1491" t="s">
        <v>81</v>
      </c>
      <c r="K1491" t="s">
        <v>113</v>
      </c>
      <c r="L1491" t="s">
        <v>2125</v>
      </c>
      <c r="M1491" s="5">
        <f t="shared" si="139"/>
        <v>13</v>
      </c>
      <c r="N1491" t="str">
        <f t="shared" si="140"/>
        <v>January</v>
      </c>
      <c r="O1491" t="str">
        <f t="shared" si="141"/>
        <v>Wednesday</v>
      </c>
      <c r="P1491">
        <f t="shared" si="138"/>
        <v>11</v>
      </c>
      <c r="Q1491" s="2">
        <f t="shared" si="142"/>
        <v>3</v>
      </c>
      <c r="R1491" s="2">
        <f t="shared" si="143"/>
        <v>1</v>
      </c>
      <c r="S1491">
        <f>SUMIF(Table1[product_category],"Bakery",Table1[Total_bill])</f>
        <v>2951.25</v>
      </c>
    </row>
    <row r="1492" spans="1:19" x14ac:dyDescent="0.3">
      <c r="A1492" s="2">
        <v>11491</v>
      </c>
      <c r="B1492" s="4">
        <v>47122</v>
      </c>
      <c r="C1492" t="s">
        <v>1627</v>
      </c>
      <c r="D1492" t="s">
        <v>25</v>
      </c>
      <c r="E1492" t="s">
        <v>26</v>
      </c>
      <c r="F1492" t="s">
        <v>166</v>
      </c>
      <c r="G1492">
        <v>3</v>
      </c>
      <c r="H1492" s="5">
        <v>2.25</v>
      </c>
      <c r="I1492" t="s">
        <v>21</v>
      </c>
      <c r="J1492" t="s">
        <v>58</v>
      </c>
      <c r="K1492" t="s">
        <v>59</v>
      </c>
      <c r="L1492" t="s">
        <v>2125</v>
      </c>
      <c r="M1492" s="5">
        <f t="shared" si="139"/>
        <v>6.75</v>
      </c>
      <c r="N1492" t="str">
        <f t="shared" si="140"/>
        <v>January</v>
      </c>
      <c r="O1492" t="str">
        <f t="shared" si="141"/>
        <v>Thursday</v>
      </c>
      <c r="P1492">
        <f t="shared" si="138"/>
        <v>8</v>
      </c>
      <c r="Q1492" s="2">
        <f t="shared" si="142"/>
        <v>4</v>
      </c>
      <c r="R1492" s="2">
        <f t="shared" si="143"/>
        <v>1</v>
      </c>
      <c r="S1492">
        <f>SUMIF(Table1[product_category],"Bakery",Table1[Total_bill])</f>
        <v>2951.25</v>
      </c>
    </row>
    <row r="1493" spans="1:19" x14ac:dyDescent="0.3">
      <c r="A1493" s="2">
        <v>11492</v>
      </c>
      <c r="B1493" s="4">
        <v>47123</v>
      </c>
      <c r="C1493" t="s">
        <v>1628</v>
      </c>
      <c r="D1493" t="s">
        <v>25</v>
      </c>
      <c r="E1493" t="s">
        <v>26</v>
      </c>
      <c r="F1493" t="s">
        <v>168</v>
      </c>
      <c r="G1493">
        <v>1</v>
      </c>
      <c r="H1493" s="5">
        <v>4.5</v>
      </c>
      <c r="I1493" t="s">
        <v>32</v>
      </c>
      <c r="J1493" t="s">
        <v>94</v>
      </c>
      <c r="K1493" t="s">
        <v>95</v>
      </c>
      <c r="L1493" t="s">
        <v>2123</v>
      </c>
      <c r="M1493" s="5">
        <f t="shared" si="139"/>
        <v>4.5</v>
      </c>
      <c r="N1493" t="str">
        <f t="shared" si="140"/>
        <v>January</v>
      </c>
      <c r="O1493" t="str">
        <f t="shared" si="141"/>
        <v>Friday</v>
      </c>
      <c r="P1493">
        <f t="shared" si="138"/>
        <v>10</v>
      </c>
      <c r="Q1493" s="2">
        <f t="shared" si="142"/>
        <v>5</v>
      </c>
      <c r="R1493" s="2">
        <f t="shared" si="143"/>
        <v>1</v>
      </c>
      <c r="S1493">
        <f>SUMIF(Table1[product_category],"Bakery",Table1[Total_bill])</f>
        <v>2951.25</v>
      </c>
    </row>
    <row r="1494" spans="1:19" x14ac:dyDescent="0.3">
      <c r="A1494" s="2">
        <v>11493</v>
      </c>
      <c r="B1494" s="4">
        <v>47124</v>
      </c>
      <c r="C1494" t="s">
        <v>1629</v>
      </c>
      <c r="D1494" t="s">
        <v>18</v>
      </c>
      <c r="E1494" t="s">
        <v>19</v>
      </c>
      <c r="F1494" t="s">
        <v>170</v>
      </c>
      <c r="G1494">
        <v>3</v>
      </c>
      <c r="H1494" s="5">
        <v>2.25</v>
      </c>
      <c r="I1494" t="s">
        <v>32</v>
      </c>
      <c r="J1494" t="s">
        <v>43</v>
      </c>
      <c r="K1494" t="s">
        <v>44</v>
      </c>
      <c r="L1494" t="s">
        <v>2124</v>
      </c>
      <c r="M1494" s="5">
        <f t="shared" si="139"/>
        <v>6.75</v>
      </c>
      <c r="N1494" t="str">
        <f t="shared" si="140"/>
        <v>January</v>
      </c>
      <c r="O1494" t="str">
        <f t="shared" si="141"/>
        <v>Saturday</v>
      </c>
      <c r="P1494">
        <f t="shared" si="138"/>
        <v>8</v>
      </c>
      <c r="Q1494" s="2">
        <f t="shared" si="142"/>
        <v>6</v>
      </c>
      <c r="R1494" s="2">
        <f t="shared" si="143"/>
        <v>1</v>
      </c>
      <c r="S1494">
        <f>SUMIF(Table1[product_category],"Bakery",Table1[Total_bill])</f>
        <v>2951.25</v>
      </c>
    </row>
    <row r="1495" spans="1:19" x14ac:dyDescent="0.3">
      <c r="A1495" s="2">
        <v>11494</v>
      </c>
      <c r="B1495" s="4">
        <v>47125</v>
      </c>
      <c r="C1495" t="s">
        <v>1630</v>
      </c>
      <c r="D1495" t="s">
        <v>18</v>
      </c>
      <c r="E1495" t="s">
        <v>19</v>
      </c>
      <c r="F1495" t="s">
        <v>172</v>
      </c>
      <c r="G1495">
        <v>2</v>
      </c>
      <c r="H1495" s="5">
        <v>9.5</v>
      </c>
      <c r="I1495" t="s">
        <v>28</v>
      </c>
      <c r="J1495" t="s">
        <v>28</v>
      </c>
      <c r="K1495" t="s">
        <v>29</v>
      </c>
      <c r="L1495" t="s">
        <v>2125</v>
      </c>
      <c r="M1495" s="5">
        <f t="shared" si="139"/>
        <v>19</v>
      </c>
      <c r="N1495" t="str">
        <f t="shared" si="140"/>
        <v>January</v>
      </c>
      <c r="O1495" t="str">
        <f t="shared" si="141"/>
        <v>Sunday</v>
      </c>
      <c r="P1495">
        <f t="shared" si="138"/>
        <v>7</v>
      </c>
      <c r="Q1495" s="2">
        <f t="shared" si="142"/>
        <v>7</v>
      </c>
      <c r="R1495" s="2">
        <f t="shared" si="143"/>
        <v>1</v>
      </c>
      <c r="S1495">
        <f>SUMIF(Table1[product_category],"Bakery",Table1[Total_bill])</f>
        <v>2951.25</v>
      </c>
    </row>
    <row r="1496" spans="1:19" x14ac:dyDescent="0.3">
      <c r="A1496" s="2">
        <v>11495</v>
      </c>
      <c r="B1496" s="4">
        <v>47126</v>
      </c>
      <c r="C1496" t="s">
        <v>1631</v>
      </c>
      <c r="D1496" t="s">
        <v>18</v>
      </c>
      <c r="E1496" t="s">
        <v>19</v>
      </c>
      <c r="F1496" t="s">
        <v>174</v>
      </c>
      <c r="G1496">
        <v>2</v>
      </c>
      <c r="H1496" s="5">
        <v>4.75</v>
      </c>
      <c r="I1496" t="s">
        <v>32</v>
      </c>
      <c r="J1496" t="s">
        <v>122</v>
      </c>
      <c r="K1496" t="s">
        <v>122</v>
      </c>
      <c r="L1496" t="s">
        <v>2123</v>
      </c>
      <c r="M1496" s="5">
        <f t="shared" si="139"/>
        <v>9.5</v>
      </c>
      <c r="N1496" t="str">
        <f t="shared" si="140"/>
        <v>January</v>
      </c>
      <c r="O1496" t="str">
        <f t="shared" si="141"/>
        <v>Monday</v>
      </c>
      <c r="P1496">
        <f t="shared" si="138"/>
        <v>13</v>
      </c>
      <c r="Q1496" s="2">
        <f t="shared" si="142"/>
        <v>1</v>
      </c>
      <c r="R1496" s="2">
        <f t="shared" si="143"/>
        <v>1</v>
      </c>
      <c r="S1496">
        <f>SUMIF(Table1[product_category],"Bakery",Table1[Total_bill])</f>
        <v>2951.25</v>
      </c>
    </row>
    <row r="1497" spans="1:19" x14ac:dyDescent="0.3">
      <c r="A1497" s="2">
        <v>11496</v>
      </c>
      <c r="B1497" s="4">
        <v>47127</v>
      </c>
      <c r="C1497" t="s">
        <v>1632</v>
      </c>
      <c r="D1497" t="s">
        <v>18</v>
      </c>
      <c r="E1497" t="s">
        <v>19</v>
      </c>
      <c r="F1497" t="s">
        <v>176</v>
      </c>
      <c r="G1497">
        <v>4</v>
      </c>
      <c r="H1497" s="5">
        <v>3</v>
      </c>
      <c r="I1497" t="s">
        <v>36</v>
      </c>
      <c r="J1497" t="s">
        <v>37</v>
      </c>
      <c r="K1497" t="s">
        <v>38</v>
      </c>
      <c r="L1497" t="s">
        <v>2124</v>
      </c>
      <c r="M1497" s="5">
        <f t="shared" si="139"/>
        <v>12</v>
      </c>
      <c r="N1497" t="str">
        <f t="shared" si="140"/>
        <v>January</v>
      </c>
      <c r="O1497" t="str">
        <f t="shared" si="141"/>
        <v>Tuesday</v>
      </c>
      <c r="P1497">
        <f t="shared" si="138"/>
        <v>14</v>
      </c>
      <c r="Q1497" s="2">
        <f t="shared" si="142"/>
        <v>2</v>
      </c>
      <c r="R1497" s="2">
        <f t="shared" si="143"/>
        <v>1</v>
      </c>
      <c r="S1497">
        <f>SUMIF(Table1[product_category],"Bakery",Table1[Total_bill])</f>
        <v>2951.25</v>
      </c>
    </row>
    <row r="1498" spans="1:19" x14ac:dyDescent="0.3">
      <c r="A1498" s="2">
        <v>11497</v>
      </c>
      <c r="B1498" s="4">
        <v>47128</v>
      </c>
      <c r="C1498" t="s">
        <v>1633</v>
      </c>
      <c r="D1498" t="s">
        <v>40</v>
      </c>
      <c r="E1498" t="s">
        <v>41</v>
      </c>
      <c r="F1498" t="s">
        <v>178</v>
      </c>
      <c r="G1498">
        <v>1</v>
      </c>
      <c r="H1498" s="5">
        <v>11</v>
      </c>
      <c r="I1498" t="s">
        <v>98</v>
      </c>
      <c r="J1498" t="s">
        <v>98</v>
      </c>
      <c r="K1498" t="s">
        <v>215</v>
      </c>
      <c r="L1498" t="s">
        <v>2125</v>
      </c>
      <c r="M1498" s="5">
        <f t="shared" si="139"/>
        <v>11</v>
      </c>
      <c r="N1498" t="str">
        <f t="shared" si="140"/>
        <v>January</v>
      </c>
      <c r="O1498" t="str">
        <f t="shared" si="141"/>
        <v>Wednesday</v>
      </c>
      <c r="P1498">
        <f t="shared" si="138"/>
        <v>13</v>
      </c>
      <c r="Q1498" s="2">
        <f t="shared" si="142"/>
        <v>3</v>
      </c>
      <c r="R1498" s="2">
        <f t="shared" si="143"/>
        <v>1</v>
      </c>
      <c r="S1498">
        <f>SUMIF(Table1[product_category],"Bakery",Table1[Total_bill])</f>
        <v>2951.25</v>
      </c>
    </row>
    <row r="1499" spans="1:19" x14ac:dyDescent="0.3">
      <c r="A1499" s="2">
        <v>11498</v>
      </c>
      <c r="B1499" s="4">
        <v>47129</v>
      </c>
      <c r="C1499" t="s">
        <v>1634</v>
      </c>
      <c r="D1499" t="s">
        <v>25</v>
      </c>
      <c r="E1499" t="s">
        <v>26</v>
      </c>
      <c r="F1499" t="s">
        <v>180</v>
      </c>
      <c r="G1499">
        <v>2</v>
      </c>
      <c r="H1499" s="5">
        <v>5.5</v>
      </c>
      <c r="I1499" t="s">
        <v>72</v>
      </c>
      <c r="J1499" t="s">
        <v>72</v>
      </c>
      <c r="K1499" t="s">
        <v>141</v>
      </c>
      <c r="L1499" t="s">
        <v>2125</v>
      </c>
      <c r="M1499" s="5">
        <f t="shared" si="139"/>
        <v>11</v>
      </c>
      <c r="N1499" t="str">
        <f t="shared" si="140"/>
        <v>January</v>
      </c>
      <c r="O1499" t="str">
        <f t="shared" si="141"/>
        <v>Thursday</v>
      </c>
      <c r="P1499">
        <f t="shared" si="138"/>
        <v>11</v>
      </c>
      <c r="Q1499" s="2">
        <f t="shared" si="142"/>
        <v>4</v>
      </c>
      <c r="R1499" s="2">
        <f t="shared" si="143"/>
        <v>1</v>
      </c>
      <c r="S1499">
        <f>SUMIF(Table1[product_category],"Bakery",Table1[Total_bill])</f>
        <v>2951.25</v>
      </c>
    </row>
    <row r="1500" spans="1:19" x14ac:dyDescent="0.3">
      <c r="A1500" s="2">
        <v>11499</v>
      </c>
      <c r="B1500" s="4">
        <v>47130</v>
      </c>
      <c r="C1500" t="s">
        <v>1635</v>
      </c>
      <c r="D1500" t="s">
        <v>18</v>
      </c>
      <c r="E1500" t="s">
        <v>19</v>
      </c>
      <c r="F1500" t="s">
        <v>184</v>
      </c>
      <c r="G1500">
        <v>4</v>
      </c>
      <c r="H1500" s="5">
        <v>24</v>
      </c>
      <c r="I1500" t="s">
        <v>101</v>
      </c>
      <c r="J1500" t="s">
        <v>102</v>
      </c>
      <c r="K1500" t="s">
        <v>103</v>
      </c>
      <c r="L1500" t="s">
        <v>2125</v>
      </c>
      <c r="M1500" s="5">
        <f t="shared" si="139"/>
        <v>96</v>
      </c>
      <c r="N1500" t="str">
        <f t="shared" si="140"/>
        <v>January</v>
      </c>
      <c r="O1500" t="str">
        <f t="shared" si="141"/>
        <v>Friday</v>
      </c>
      <c r="P1500">
        <f t="shared" si="138"/>
        <v>10</v>
      </c>
      <c r="Q1500" s="2">
        <f t="shared" si="142"/>
        <v>5</v>
      </c>
      <c r="R1500" s="2">
        <f t="shared" si="143"/>
        <v>1</v>
      </c>
      <c r="S1500">
        <f>SUMIF(Table1[product_category],"Bakery",Table1[Total_bill])</f>
        <v>2951.25</v>
      </c>
    </row>
    <row r="1501" spans="1:19" x14ac:dyDescent="0.3">
      <c r="A1501" s="2">
        <v>11500</v>
      </c>
      <c r="B1501" s="4">
        <v>47131</v>
      </c>
      <c r="C1501" t="s">
        <v>1636</v>
      </c>
      <c r="D1501" t="s">
        <v>40</v>
      </c>
      <c r="E1501" t="s">
        <v>41</v>
      </c>
      <c r="F1501" t="s">
        <v>186</v>
      </c>
      <c r="G1501">
        <v>4</v>
      </c>
      <c r="H1501" s="5">
        <v>5</v>
      </c>
      <c r="I1501" t="s">
        <v>36</v>
      </c>
      <c r="J1501" t="s">
        <v>110</v>
      </c>
      <c r="K1501" t="s">
        <v>110</v>
      </c>
      <c r="L1501" t="s">
        <v>2123</v>
      </c>
      <c r="M1501" s="5">
        <f t="shared" si="139"/>
        <v>20</v>
      </c>
      <c r="N1501" t="str">
        <f t="shared" si="140"/>
        <v>January</v>
      </c>
      <c r="O1501" t="str">
        <f t="shared" si="141"/>
        <v>Saturday</v>
      </c>
      <c r="P1501">
        <f t="shared" si="138"/>
        <v>17</v>
      </c>
      <c r="Q1501" s="2">
        <f t="shared" si="142"/>
        <v>6</v>
      </c>
      <c r="R1501" s="2">
        <f t="shared" si="143"/>
        <v>1</v>
      </c>
      <c r="S1501">
        <f>SUMIF(Table1[product_category],"Bakery",Table1[Total_bill])</f>
        <v>2951.25</v>
      </c>
    </row>
    <row r="1502" spans="1:19" x14ac:dyDescent="0.3">
      <c r="A1502" s="2">
        <v>11501</v>
      </c>
      <c r="B1502" s="4">
        <v>47132</v>
      </c>
      <c r="C1502" t="s">
        <v>1637</v>
      </c>
      <c r="D1502" t="s">
        <v>18</v>
      </c>
      <c r="E1502" t="s">
        <v>19</v>
      </c>
      <c r="F1502" t="s">
        <v>188</v>
      </c>
      <c r="G1502">
        <v>4</v>
      </c>
      <c r="H1502" s="5">
        <v>6</v>
      </c>
      <c r="I1502" t="s">
        <v>72</v>
      </c>
      <c r="J1502" t="s">
        <v>72</v>
      </c>
      <c r="K1502" t="s">
        <v>138</v>
      </c>
      <c r="L1502" t="s">
        <v>2125</v>
      </c>
      <c r="M1502" s="5">
        <f t="shared" si="139"/>
        <v>24</v>
      </c>
      <c r="N1502" t="str">
        <f t="shared" si="140"/>
        <v>January</v>
      </c>
      <c r="O1502" t="str">
        <f t="shared" si="141"/>
        <v>Sunday</v>
      </c>
      <c r="P1502">
        <f t="shared" si="138"/>
        <v>12</v>
      </c>
      <c r="Q1502" s="2">
        <f t="shared" si="142"/>
        <v>7</v>
      </c>
      <c r="R1502" s="2">
        <f t="shared" si="143"/>
        <v>1</v>
      </c>
      <c r="S1502">
        <f>SUMIF(Table1[product_category],"Bakery",Table1[Total_bill])</f>
        <v>2951.25</v>
      </c>
    </row>
    <row r="1503" spans="1:19" x14ac:dyDescent="0.3">
      <c r="A1503" s="2">
        <v>11502</v>
      </c>
      <c r="B1503" s="4">
        <v>47133</v>
      </c>
      <c r="C1503" t="s">
        <v>1638</v>
      </c>
      <c r="D1503" t="s">
        <v>25</v>
      </c>
      <c r="E1503" t="s">
        <v>26</v>
      </c>
      <c r="F1503" t="s">
        <v>190</v>
      </c>
      <c r="G1503">
        <v>4</v>
      </c>
      <c r="H1503" s="5">
        <v>6</v>
      </c>
      <c r="I1503" t="s">
        <v>72</v>
      </c>
      <c r="J1503" t="s">
        <v>72</v>
      </c>
      <c r="K1503" t="s">
        <v>138</v>
      </c>
      <c r="L1503" t="s">
        <v>2125</v>
      </c>
      <c r="M1503" s="5">
        <f t="shared" si="139"/>
        <v>24</v>
      </c>
      <c r="N1503" t="str">
        <f t="shared" si="140"/>
        <v>January</v>
      </c>
      <c r="O1503" t="str">
        <f t="shared" si="141"/>
        <v>Monday</v>
      </c>
      <c r="P1503">
        <f t="shared" si="138"/>
        <v>11</v>
      </c>
      <c r="Q1503" s="2">
        <f t="shared" si="142"/>
        <v>1</v>
      </c>
      <c r="R1503" s="2">
        <f t="shared" si="143"/>
        <v>1</v>
      </c>
      <c r="S1503">
        <f>SUMIF(Table1[product_category],"Bakery",Table1[Total_bill])</f>
        <v>2951.25</v>
      </c>
    </row>
    <row r="1504" spans="1:19" x14ac:dyDescent="0.3">
      <c r="A1504" s="2">
        <v>11503</v>
      </c>
      <c r="B1504" s="4">
        <v>47134</v>
      </c>
      <c r="C1504" t="s">
        <v>1639</v>
      </c>
      <c r="D1504" t="s">
        <v>18</v>
      </c>
      <c r="E1504" t="s">
        <v>19</v>
      </c>
      <c r="F1504" t="s">
        <v>192</v>
      </c>
      <c r="G1504">
        <v>2</v>
      </c>
      <c r="H1504" s="5">
        <v>4</v>
      </c>
      <c r="I1504" t="s">
        <v>32</v>
      </c>
      <c r="J1504" t="s">
        <v>55</v>
      </c>
      <c r="K1504" t="s">
        <v>55</v>
      </c>
      <c r="L1504" t="s">
        <v>2123</v>
      </c>
      <c r="M1504" s="5">
        <f t="shared" si="139"/>
        <v>8</v>
      </c>
      <c r="N1504" t="str">
        <f t="shared" si="140"/>
        <v>January</v>
      </c>
      <c r="O1504" t="str">
        <f t="shared" si="141"/>
        <v>Tuesday</v>
      </c>
      <c r="P1504">
        <f t="shared" si="138"/>
        <v>6</v>
      </c>
      <c r="Q1504" s="2">
        <f t="shared" si="142"/>
        <v>2</v>
      </c>
      <c r="R1504" s="2">
        <f t="shared" si="143"/>
        <v>1</v>
      </c>
      <c r="S1504">
        <f>SUMIF(Table1[product_category],"Bakery",Table1[Total_bill])</f>
        <v>2951.25</v>
      </c>
    </row>
    <row r="1505" spans="1:19" x14ac:dyDescent="0.3">
      <c r="A1505" s="2">
        <v>11504</v>
      </c>
      <c r="B1505" s="4">
        <v>47135</v>
      </c>
      <c r="C1505" t="s">
        <v>1640</v>
      </c>
      <c r="D1505" t="s">
        <v>18</v>
      </c>
      <c r="E1505" t="s">
        <v>19</v>
      </c>
      <c r="F1505" t="s">
        <v>195</v>
      </c>
      <c r="G1505">
        <v>3</v>
      </c>
      <c r="H1505" s="5">
        <v>4.25</v>
      </c>
      <c r="I1505" t="s">
        <v>36</v>
      </c>
      <c r="J1505" t="s">
        <v>211</v>
      </c>
      <c r="K1505" t="s">
        <v>212</v>
      </c>
      <c r="L1505" t="s">
        <v>2123</v>
      </c>
      <c r="M1505" s="5">
        <f t="shared" si="139"/>
        <v>12.75</v>
      </c>
      <c r="N1505" t="str">
        <f t="shared" si="140"/>
        <v>January</v>
      </c>
      <c r="O1505" t="str">
        <f t="shared" si="141"/>
        <v>Wednesday</v>
      </c>
      <c r="P1505">
        <f t="shared" si="138"/>
        <v>9</v>
      </c>
      <c r="Q1505" s="2">
        <f t="shared" si="142"/>
        <v>3</v>
      </c>
      <c r="R1505" s="2">
        <f t="shared" si="143"/>
        <v>1</v>
      </c>
      <c r="S1505">
        <f>SUMIF(Table1[product_category],"Bakery",Table1[Total_bill])</f>
        <v>2951.25</v>
      </c>
    </row>
    <row r="1506" spans="1:19" x14ac:dyDescent="0.3">
      <c r="A1506" s="2">
        <v>11505</v>
      </c>
      <c r="B1506" s="4">
        <v>47136</v>
      </c>
      <c r="C1506" t="s">
        <v>1641</v>
      </c>
      <c r="D1506" t="s">
        <v>40</v>
      </c>
      <c r="E1506" t="s">
        <v>41</v>
      </c>
      <c r="F1506" t="s">
        <v>197</v>
      </c>
      <c r="G1506">
        <v>3</v>
      </c>
      <c r="H1506" s="5">
        <v>3</v>
      </c>
      <c r="I1506" t="s">
        <v>32</v>
      </c>
      <c r="J1506" t="s">
        <v>55</v>
      </c>
      <c r="K1506" t="s">
        <v>55</v>
      </c>
      <c r="L1506" t="s">
        <v>2122</v>
      </c>
      <c r="M1506" s="5">
        <f t="shared" si="139"/>
        <v>9</v>
      </c>
      <c r="N1506" t="str">
        <f t="shared" si="140"/>
        <v>January</v>
      </c>
      <c r="O1506" t="str">
        <f t="shared" si="141"/>
        <v>Thursday</v>
      </c>
      <c r="P1506">
        <f t="shared" si="138"/>
        <v>10</v>
      </c>
      <c r="Q1506" s="2">
        <f t="shared" si="142"/>
        <v>4</v>
      </c>
      <c r="R1506" s="2">
        <f t="shared" si="143"/>
        <v>1</v>
      </c>
      <c r="S1506">
        <f>SUMIF(Table1[product_category],"Bakery",Table1[Total_bill])</f>
        <v>2951.25</v>
      </c>
    </row>
    <row r="1507" spans="1:19" x14ac:dyDescent="0.3">
      <c r="A1507" s="2">
        <v>11506</v>
      </c>
      <c r="B1507" s="4">
        <v>47137</v>
      </c>
      <c r="C1507" t="s">
        <v>1642</v>
      </c>
      <c r="D1507" t="s">
        <v>18</v>
      </c>
      <c r="E1507" t="s">
        <v>19</v>
      </c>
      <c r="F1507" t="s">
        <v>199</v>
      </c>
      <c r="G1507">
        <v>3</v>
      </c>
      <c r="H1507" s="5">
        <v>4.25</v>
      </c>
      <c r="I1507" t="s">
        <v>32</v>
      </c>
      <c r="J1507" t="s">
        <v>202</v>
      </c>
      <c r="K1507" t="s">
        <v>202</v>
      </c>
      <c r="L1507" t="s">
        <v>2124</v>
      </c>
      <c r="M1507" s="5">
        <f t="shared" si="139"/>
        <v>12.75</v>
      </c>
      <c r="N1507" t="str">
        <f t="shared" si="140"/>
        <v>January</v>
      </c>
      <c r="O1507" t="str">
        <f t="shared" si="141"/>
        <v>Friday</v>
      </c>
      <c r="P1507">
        <f t="shared" si="138"/>
        <v>10</v>
      </c>
      <c r="Q1507" s="2">
        <f t="shared" si="142"/>
        <v>5</v>
      </c>
      <c r="R1507" s="2">
        <f t="shared" si="143"/>
        <v>1</v>
      </c>
      <c r="S1507">
        <f>SUMIF(Table1[product_category],"Bakery",Table1[Total_bill])</f>
        <v>2951.25</v>
      </c>
    </row>
    <row r="1508" spans="1:19" x14ac:dyDescent="0.3">
      <c r="A1508" s="2">
        <v>11507</v>
      </c>
      <c r="B1508" s="4">
        <v>47138</v>
      </c>
      <c r="C1508" t="s">
        <v>1643</v>
      </c>
      <c r="D1508" t="s">
        <v>40</v>
      </c>
      <c r="E1508" t="s">
        <v>41</v>
      </c>
      <c r="F1508" t="s">
        <v>201</v>
      </c>
      <c r="G1508">
        <v>1</v>
      </c>
      <c r="H1508" s="5">
        <v>6</v>
      </c>
      <c r="I1508" t="s">
        <v>72</v>
      </c>
      <c r="J1508" t="s">
        <v>72</v>
      </c>
      <c r="K1508" t="s">
        <v>138</v>
      </c>
      <c r="L1508" t="s">
        <v>2125</v>
      </c>
      <c r="M1508" s="5">
        <f t="shared" si="139"/>
        <v>6</v>
      </c>
      <c r="N1508" t="str">
        <f t="shared" si="140"/>
        <v>January</v>
      </c>
      <c r="O1508" t="str">
        <f t="shared" si="141"/>
        <v>Saturday</v>
      </c>
      <c r="P1508">
        <f t="shared" si="138"/>
        <v>13</v>
      </c>
      <c r="Q1508" s="2">
        <f t="shared" si="142"/>
        <v>6</v>
      </c>
      <c r="R1508" s="2">
        <f t="shared" si="143"/>
        <v>1</v>
      </c>
      <c r="S1508">
        <f>SUMIF(Table1[product_category],"Bakery",Table1[Total_bill])</f>
        <v>2951.25</v>
      </c>
    </row>
    <row r="1509" spans="1:19" x14ac:dyDescent="0.3">
      <c r="A1509" s="2">
        <v>11508</v>
      </c>
      <c r="B1509" s="4">
        <v>47139</v>
      </c>
      <c r="C1509" t="s">
        <v>1644</v>
      </c>
      <c r="D1509" t="s">
        <v>18</v>
      </c>
      <c r="E1509" t="s">
        <v>19</v>
      </c>
      <c r="F1509" t="s">
        <v>204</v>
      </c>
      <c r="G1509">
        <v>1</v>
      </c>
      <c r="H1509" s="5">
        <v>11</v>
      </c>
      <c r="I1509" t="s">
        <v>98</v>
      </c>
      <c r="J1509" t="s">
        <v>98</v>
      </c>
      <c r="K1509" t="s">
        <v>215</v>
      </c>
      <c r="L1509" t="s">
        <v>2125</v>
      </c>
      <c r="M1509" s="5">
        <f t="shared" si="139"/>
        <v>11</v>
      </c>
      <c r="N1509" t="str">
        <f t="shared" si="140"/>
        <v>January</v>
      </c>
      <c r="O1509" t="str">
        <f t="shared" si="141"/>
        <v>Sunday</v>
      </c>
      <c r="P1509">
        <f t="shared" si="138"/>
        <v>12</v>
      </c>
      <c r="Q1509" s="2">
        <f t="shared" si="142"/>
        <v>7</v>
      </c>
      <c r="R1509" s="2">
        <f t="shared" si="143"/>
        <v>1</v>
      </c>
      <c r="S1509">
        <f>SUMIF(Table1[product_category],"Bakery",Table1[Total_bill])</f>
        <v>2951.25</v>
      </c>
    </row>
    <row r="1510" spans="1:19" x14ac:dyDescent="0.3">
      <c r="A1510" s="2">
        <v>11509</v>
      </c>
      <c r="B1510" s="4">
        <v>47140</v>
      </c>
      <c r="C1510" t="s">
        <v>1645</v>
      </c>
      <c r="D1510" t="s">
        <v>25</v>
      </c>
      <c r="E1510" t="s">
        <v>26</v>
      </c>
      <c r="F1510" t="s">
        <v>206</v>
      </c>
      <c r="G1510">
        <v>4</v>
      </c>
      <c r="H1510" s="5">
        <v>4.25</v>
      </c>
      <c r="I1510" t="s">
        <v>36</v>
      </c>
      <c r="J1510" t="s">
        <v>211</v>
      </c>
      <c r="K1510" t="s">
        <v>239</v>
      </c>
      <c r="L1510" t="s">
        <v>2123</v>
      </c>
      <c r="M1510" s="5">
        <f t="shared" si="139"/>
        <v>17</v>
      </c>
      <c r="N1510" t="str">
        <f t="shared" si="140"/>
        <v>January</v>
      </c>
      <c r="O1510" t="str">
        <f t="shared" si="141"/>
        <v>Monday</v>
      </c>
      <c r="P1510">
        <f t="shared" si="138"/>
        <v>13</v>
      </c>
      <c r="Q1510" s="2">
        <f t="shared" si="142"/>
        <v>1</v>
      </c>
      <c r="R1510" s="2">
        <f t="shared" si="143"/>
        <v>1</v>
      </c>
      <c r="S1510">
        <f>SUMIF(Table1[product_category],"Bakery",Table1[Total_bill])</f>
        <v>2951.25</v>
      </c>
    </row>
    <row r="1511" spans="1:19" x14ac:dyDescent="0.3">
      <c r="A1511" s="2">
        <v>11510</v>
      </c>
      <c r="B1511" s="4">
        <v>47141</v>
      </c>
      <c r="C1511" t="s">
        <v>1646</v>
      </c>
      <c r="D1511" t="s">
        <v>40</v>
      </c>
      <c r="E1511" t="s">
        <v>41</v>
      </c>
      <c r="F1511" t="s">
        <v>208</v>
      </c>
      <c r="G1511">
        <v>4</v>
      </c>
      <c r="H1511" s="5">
        <v>3.75</v>
      </c>
      <c r="I1511" t="s">
        <v>32</v>
      </c>
      <c r="J1511" t="s">
        <v>69</v>
      </c>
      <c r="K1511" t="s">
        <v>69</v>
      </c>
      <c r="L1511" t="s">
        <v>2122</v>
      </c>
      <c r="M1511" s="5">
        <f t="shared" si="139"/>
        <v>15</v>
      </c>
      <c r="N1511" t="str">
        <f t="shared" si="140"/>
        <v>January</v>
      </c>
      <c r="O1511" t="str">
        <f t="shared" si="141"/>
        <v>Tuesday</v>
      </c>
      <c r="P1511">
        <f t="shared" si="138"/>
        <v>15</v>
      </c>
      <c r="Q1511" s="2">
        <f t="shared" si="142"/>
        <v>2</v>
      </c>
      <c r="R1511" s="2">
        <f t="shared" si="143"/>
        <v>1</v>
      </c>
      <c r="S1511">
        <f>SUMIF(Table1[product_category],"Bakery",Table1[Total_bill])</f>
        <v>2951.25</v>
      </c>
    </row>
    <row r="1512" spans="1:19" x14ac:dyDescent="0.3">
      <c r="A1512" s="2">
        <v>11511</v>
      </c>
      <c r="B1512" s="4">
        <v>47142</v>
      </c>
      <c r="C1512" t="s">
        <v>1647</v>
      </c>
      <c r="D1512" t="s">
        <v>18</v>
      </c>
      <c r="E1512" t="s">
        <v>19</v>
      </c>
      <c r="F1512" t="s">
        <v>210</v>
      </c>
      <c r="G1512">
        <v>3</v>
      </c>
      <c r="H1512" s="5">
        <v>14</v>
      </c>
      <c r="I1512" t="s">
        <v>98</v>
      </c>
      <c r="J1512" t="s">
        <v>98</v>
      </c>
      <c r="K1512" t="s">
        <v>129</v>
      </c>
      <c r="L1512" t="s">
        <v>2125</v>
      </c>
      <c r="M1512" s="5">
        <f t="shared" si="139"/>
        <v>42</v>
      </c>
      <c r="N1512" t="str">
        <f t="shared" si="140"/>
        <v>January</v>
      </c>
      <c r="O1512" t="str">
        <f t="shared" si="141"/>
        <v>Wednesday</v>
      </c>
      <c r="P1512">
        <f t="shared" si="138"/>
        <v>16</v>
      </c>
      <c r="Q1512" s="2">
        <f t="shared" si="142"/>
        <v>3</v>
      </c>
      <c r="R1512" s="2">
        <f t="shared" si="143"/>
        <v>1</v>
      </c>
      <c r="S1512">
        <f>SUMIF(Table1[product_category],"Bakery",Table1[Total_bill])</f>
        <v>2951.25</v>
      </c>
    </row>
    <row r="1513" spans="1:19" x14ac:dyDescent="0.3">
      <c r="A1513" s="2">
        <v>11512</v>
      </c>
      <c r="B1513" s="4">
        <v>47143</v>
      </c>
      <c r="C1513" t="s">
        <v>1648</v>
      </c>
      <c r="D1513" t="s">
        <v>18</v>
      </c>
      <c r="E1513" t="s">
        <v>19</v>
      </c>
      <c r="F1513" t="s">
        <v>214</v>
      </c>
      <c r="G1513">
        <v>4</v>
      </c>
      <c r="H1513" s="5">
        <v>4</v>
      </c>
      <c r="I1513" t="s">
        <v>32</v>
      </c>
      <c r="J1513" t="s">
        <v>122</v>
      </c>
      <c r="K1513" t="s">
        <v>122</v>
      </c>
      <c r="L1513" t="s">
        <v>2124</v>
      </c>
      <c r="M1513" s="5">
        <f t="shared" si="139"/>
        <v>16</v>
      </c>
      <c r="N1513" t="str">
        <f t="shared" si="140"/>
        <v>January</v>
      </c>
      <c r="O1513" t="str">
        <f t="shared" si="141"/>
        <v>Thursday</v>
      </c>
      <c r="P1513">
        <f t="shared" si="138"/>
        <v>15</v>
      </c>
      <c r="Q1513" s="2">
        <f t="shared" si="142"/>
        <v>4</v>
      </c>
      <c r="R1513" s="2">
        <f t="shared" si="143"/>
        <v>1</v>
      </c>
      <c r="S1513">
        <f>SUMIF(Table1[product_category],"Bakery",Table1[Total_bill])</f>
        <v>2951.25</v>
      </c>
    </row>
    <row r="1514" spans="1:19" x14ac:dyDescent="0.3">
      <c r="A1514" s="2">
        <v>11513</v>
      </c>
      <c r="B1514" s="4">
        <v>47144</v>
      </c>
      <c r="C1514" t="s">
        <v>1649</v>
      </c>
      <c r="D1514" t="s">
        <v>25</v>
      </c>
      <c r="E1514" t="s">
        <v>26</v>
      </c>
      <c r="F1514" t="s">
        <v>217</v>
      </c>
      <c r="G1514">
        <v>1</v>
      </c>
      <c r="H1514" s="5">
        <v>3.25</v>
      </c>
      <c r="I1514" t="s">
        <v>21</v>
      </c>
      <c r="J1514" t="s">
        <v>81</v>
      </c>
      <c r="K1514" t="s">
        <v>82</v>
      </c>
      <c r="L1514" t="s">
        <v>2125</v>
      </c>
      <c r="M1514" s="5">
        <f t="shared" si="139"/>
        <v>3.25</v>
      </c>
      <c r="N1514" t="str">
        <f t="shared" si="140"/>
        <v>January</v>
      </c>
      <c r="O1514" t="str">
        <f t="shared" si="141"/>
        <v>Friday</v>
      </c>
      <c r="P1514">
        <f t="shared" si="138"/>
        <v>20</v>
      </c>
      <c r="Q1514" s="2">
        <f t="shared" si="142"/>
        <v>5</v>
      </c>
      <c r="R1514" s="2">
        <f t="shared" si="143"/>
        <v>1</v>
      </c>
      <c r="S1514">
        <f>SUMIF(Table1[product_category],"Bakery",Table1[Total_bill])</f>
        <v>2951.25</v>
      </c>
    </row>
    <row r="1515" spans="1:19" x14ac:dyDescent="0.3">
      <c r="A1515" s="2">
        <v>11514</v>
      </c>
      <c r="B1515" s="4">
        <v>47145</v>
      </c>
      <c r="C1515" t="s">
        <v>1650</v>
      </c>
      <c r="D1515" t="s">
        <v>40</v>
      </c>
      <c r="E1515" t="s">
        <v>41</v>
      </c>
      <c r="F1515" t="s">
        <v>219</v>
      </c>
      <c r="G1515">
        <v>4</v>
      </c>
      <c r="H1515" s="5">
        <v>3.5</v>
      </c>
      <c r="I1515" t="s">
        <v>89</v>
      </c>
      <c r="J1515" t="s">
        <v>261</v>
      </c>
      <c r="K1515" t="s">
        <v>261</v>
      </c>
      <c r="L1515" t="s">
        <v>2122</v>
      </c>
      <c r="M1515" s="5">
        <f t="shared" si="139"/>
        <v>14</v>
      </c>
      <c r="N1515" t="str">
        <f t="shared" si="140"/>
        <v>January</v>
      </c>
      <c r="O1515" t="str">
        <f t="shared" si="141"/>
        <v>Saturday</v>
      </c>
      <c r="P1515">
        <f t="shared" si="138"/>
        <v>6</v>
      </c>
      <c r="Q1515" s="2">
        <f t="shared" si="142"/>
        <v>6</v>
      </c>
      <c r="R1515" s="2">
        <f t="shared" si="143"/>
        <v>1</v>
      </c>
      <c r="S1515">
        <f>SUMIF(Table1[product_category],"Bakery",Table1[Total_bill])</f>
        <v>2951.25</v>
      </c>
    </row>
    <row r="1516" spans="1:19" x14ac:dyDescent="0.3">
      <c r="A1516" s="2">
        <v>11515</v>
      </c>
      <c r="B1516" s="4">
        <v>47146</v>
      </c>
      <c r="C1516" t="s">
        <v>1047</v>
      </c>
      <c r="D1516" t="s">
        <v>18</v>
      </c>
      <c r="E1516" t="s">
        <v>19</v>
      </c>
      <c r="F1516" t="s">
        <v>221</v>
      </c>
      <c r="G1516">
        <v>3</v>
      </c>
      <c r="H1516" s="5">
        <v>14</v>
      </c>
      <c r="I1516" t="s">
        <v>98</v>
      </c>
      <c r="J1516" t="s">
        <v>98</v>
      </c>
      <c r="K1516" t="s">
        <v>129</v>
      </c>
      <c r="L1516" t="s">
        <v>2125</v>
      </c>
      <c r="M1516" s="5">
        <f t="shared" si="139"/>
        <v>42</v>
      </c>
      <c r="N1516" t="str">
        <f t="shared" si="140"/>
        <v>January</v>
      </c>
      <c r="O1516" t="str">
        <f t="shared" si="141"/>
        <v>Sunday</v>
      </c>
      <c r="P1516">
        <f t="shared" si="138"/>
        <v>8</v>
      </c>
      <c r="Q1516" s="2">
        <f t="shared" si="142"/>
        <v>7</v>
      </c>
      <c r="R1516" s="2">
        <f t="shared" si="143"/>
        <v>1</v>
      </c>
      <c r="S1516">
        <f>SUMIF(Table1[product_category],"Bakery",Table1[Total_bill])</f>
        <v>2951.25</v>
      </c>
    </row>
    <row r="1517" spans="1:19" x14ac:dyDescent="0.3">
      <c r="A1517" s="2">
        <v>11516</v>
      </c>
      <c r="B1517" s="4">
        <v>47147</v>
      </c>
      <c r="C1517" t="s">
        <v>1651</v>
      </c>
      <c r="D1517" t="s">
        <v>25</v>
      </c>
      <c r="E1517" t="s">
        <v>26</v>
      </c>
      <c r="F1517" t="s">
        <v>223</v>
      </c>
      <c r="G1517">
        <v>3</v>
      </c>
      <c r="H1517" s="5">
        <v>3.5</v>
      </c>
      <c r="I1517" t="s">
        <v>32</v>
      </c>
      <c r="J1517" t="s">
        <v>226</v>
      </c>
      <c r="K1517" t="s">
        <v>227</v>
      </c>
      <c r="L1517" t="s">
        <v>2123</v>
      </c>
      <c r="M1517" s="5">
        <f t="shared" si="139"/>
        <v>10.5</v>
      </c>
      <c r="N1517" t="str">
        <f t="shared" si="140"/>
        <v>January</v>
      </c>
      <c r="O1517" t="str">
        <f t="shared" si="141"/>
        <v>Monday</v>
      </c>
      <c r="P1517">
        <f t="shared" si="138"/>
        <v>6</v>
      </c>
      <c r="Q1517" s="2">
        <f t="shared" si="142"/>
        <v>1</v>
      </c>
      <c r="R1517" s="2">
        <f t="shared" si="143"/>
        <v>1</v>
      </c>
      <c r="S1517">
        <f>SUMIF(Table1[product_category],"Bakery",Table1[Total_bill])</f>
        <v>2951.25</v>
      </c>
    </row>
    <row r="1518" spans="1:19" x14ac:dyDescent="0.3">
      <c r="A1518" s="2">
        <v>11517</v>
      </c>
      <c r="B1518" s="4">
        <v>47148</v>
      </c>
      <c r="C1518" t="s">
        <v>1652</v>
      </c>
      <c r="D1518" t="s">
        <v>18</v>
      </c>
      <c r="E1518" t="s">
        <v>19</v>
      </c>
      <c r="F1518" t="s">
        <v>225</v>
      </c>
      <c r="G1518">
        <v>1</v>
      </c>
      <c r="H1518" s="5">
        <v>8</v>
      </c>
      <c r="I1518" t="s">
        <v>28</v>
      </c>
      <c r="J1518" t="s">
        <v>28</v>
      </c>
      <c r="K1518" t="s">
        <v>76</v>
      </c>
      <c r="L1518" t="s">
        <v>2125</v>
      </c>
      <c r="M1518" s="5">
        <f t="shared" si="139"/>
        <v>8</v>
      </c>
      <c r="N1518" t="str">
        <f t="shared" si="140"/>
        <v>January</v>
      </c>
      <c r="O1518" t="str">
        <f t="shared" si="141"/>
        <v>Tuesday</v>
      </c>
      <c r="P1518">
        <f t="shared" si="138"/>
        <v>14</v>
      </c>
      <c r="Q1518" s="2">
        <f t="shared" si="142"/>
        <v>2</v>
      </c>
      <c r="R1518" s="2">
        <f t="shared" si="143"/>
        <v>1</v>
      </c>
      <c r="S1518">
        <f>SUMIF(Table1[product_category],"Bakery",Table1[Total_bill])</f>
        <v>2951.25</v>
      </c>
    </row>
    <row r="1519" spans="1:19" x14ac:dyDescent="0.3">
      <c r="A1519" s="2">
        <v>11518</v>
      </c>
      <c r="B1519" s="4">
        <v>47149</v>
      </c>
      <c r="C1519" t="s">
        <v>1653</v>
      </c>
      <c r="D1519" t="s">
        <v>18</v>
      </c>
      <c r="E1519" t="s">
        <v>19</v>
      </c>
      <c r="F1519" t="s">
        <v>229</v>
      </c>
      <c r="G1519">
        <v>2</v>
      </c>
      <c r="H1519" s="5">
        <v>4.5</v>
      </c>
      <c r="I1519" t="s">
        <v>32</v>
      </c>
      <c r="J1519" t="s">
        <v>94</v>
      </c>
      <c r="K1519" t="s">
        <v>95</v>
      </c>
      <c r="L1519" t="s">
        <v>2123</v>
      </c>
      <c r="M1519" s="5">
        <f t="shared" si="139"/>
        <v>9</v>
      </c>
      <c r="N1519" t="str">
        <f t="shared" si="140"/>
        <v>January</v>
      </c>
      <c r="O1519" t="str">
        <f t="shared" si="141"/>
        <v>Wednesday</v>
      </c>
      <c r="P1519">
        <f t="shared" si="138"/>
        <v>18</v>
      </c>
      <c r="Q1519" s="2">
        <f t="shared" si="142"/>
        <v>3</v>
      </c>
      <c r="R1519" s="2">
        <f t="shared" si="143"/>
        <v>1</v>
      </c>
      <c r="S1519">
        <f>SUMIF(Table1[product_category],"Bakery",Table1[Total_bill])</f>
        <v>2951.25</v>
      </c>
    </row>
    <row r="1520" spans="1:19" x14ac:dyDescent="0.3">
      <c r="A1520" s="2">
        <v>11519</v>
      </c>
      <c r="B1520" s="4">
        <v>47150</v>
      </c>
      <c r="C1520" t="s">
        <v>1654</v>
      </c>
      <c r="D1520" t="s">
        <v>25</v>
      </c>
      <c r="E1520" t="s">
        <v>26</v>
      </c>
      <c r="F1520" t="s">
        <v>231</v>
      </c>
      <c r="G1520">
        <v>2</v>
      </c>
      <c r="H1520" s="5">
        <v>4</v>
      </c>
      <c r="I1520" t="s">
        <v>32</v>
      </c>
      <c r="J1520" t="s">
        <v>55</v>
      </c>
      <c r="K1520" t="s">
        <v>55</v>
      </c>
      <c r="L1520" t="s">
        <v>2123</v>
      </c>
      <c r="M1520" s="5">
        <f t="shared" si="139"/>
        <v>8</v>
      </c>
      <c r="N1520" t="str">
        <f t="shared" si="140"/>
        <v>February</v>
      </c>
      <c r="O1520" t="str">
        <f t="shared" si="141"/>
        <v>Thursday</v>
      </c>
      <c r="P1520">
        <f t="shared" si="138"/>
        <v>8</v>
      </c>
      <c r="Q1520" s="2">
        <f t="shared" si="142"/>
        <v>4</v>
      </c>
      <c r="R1520" s="2">
        <f t="shared" si="143"/>
        <v>2</v>
      </c>
      <c r="S1520">
        <f>SUMIF(Table1[product_category],"Bakery",Table1[Total_bill])</f>
        <v>2951.25</v>
      </c>
    </row>
    <row r="1521" spans="1:19" x14ac:dyDescent="0.3">
      <c r="A1521" s="2">
        <v>11520</v>
      </c>
      <c r="B1521" s="4">
        <v>47151</v>
      </c>
      <c r="C1521" t="s">
        <v>1655</v>
      </c>
      <c r="D1521" t="s">
        <v>25</v>
      </c>
      <c r="E1521" t="s">
        <v>26</v>
      </c>
      <c r="F1521" t="s">
        <v>233</v>
      </c>
      <c r="G1521">
        <v>1</v>
      </c>
      <c r="H1521" s="5">
        <v>3.5</v>
      </c>
      <c r="I1521" t="s">
        <v>36</v>
      </c>
      <c r="J1521" t="s">
        <v>246</v>
      </c>
      <c r="K1521" t="s">
        <v>247</v>
      </c>
      <c r="L1521" t="s">
        <v>2123</v>
      </c>
      <c r="M1521" s="5">
        <f t="shared" si="139"/>
        <v>3.5</v>
      </c>
      <c r="N1521" t="str">
        <f t="shared" si="140"/>
        <v>February</v>
      </c>
      <c r="O1521" t="str">
        <f t="shared" si="141"/>
        <v>Friday</v>
      </c>
      <c r="P1521">
        <f t="shared" si="138"/>
        <v>18</v>
      </c>
      <c r="Q1521" s="2">
        <f t="shared" si="142"/>
        <v>5</v>
      </c>
      <c r="R1521" s="2">
        <f t="shared" si="143"/>
        <v>2</v>
      </c>
      <c r="S1521">
        <f>SUMIF(Table1[product_category],"Bakery",Table1[Total_bill])</f>
        <v>2951.25</v>
      </c>
    </row>
    <row r="1522" spans="1:19" x14ac:dyDescent="0.3">
      <c r="A1522" s="2">
        <v>11521</v>
      </c>
      <c r="B1522" s="4">
        <v>47152</v>
      </c>
      <c r="C1522" t="s">
        <v>788</v>
      </c>
      <c r="D1522" t="s">
        <v>40</v>
      </c>
      <c r="E1522" t="s">
        <v>41</v>
      </c>
      <c r="F1522" t="s">
        <v>20</v>
      </c>
      <c r="G1522">
        <v>1</v>
      </c>
      <c r="H1522" s="5">
        <v>3.25</v>
      </c>
      <c r="I1522" t="s">
        <v>32</v>
      </c>
      <c r="J1522" t="s">
        <v>226</v>
      </c>
      <c r="K1522" t="s">
        <v>273</v>
      </c>
      <c r="L1522" t="s">
        <v>2124</v>
      </c>
      <c r="M1522" s="5">
        <f t="shared" si="139"/>
        <v>3.25</v>
      </c>
      <c r="N1522" t="str">
        <f t="shared" si="140"/>
        <v>February</v>
      </c>
      <c r="O1522" t="str">
        <f t="shared" si="141"/>
        <v>Saturday</v>
      </c>
      <c r="P1522">
        <f t="shared" si="138"/>
        <v>7</v>
      </c>
      <c r="Q1522" s="2">
        <f t="shared" si="142"/>
        <v>6</v>
      </c>
      <c r="R1522" s="2">
        <f t="shared" si="143"/>
        <v>2</v>
      </c>
      <c r="S1522">
        <f>SUMIF(Table1[product_category],"Bakery",Table1[Total_bill])</f>
        <v>2951.25</v>
      </c>
    </row>
    <row r="1523" spans="1:19" x14ac:dyDescent="0.3">
      <c r="A1523" s="2">
        <v>11522</v>
      </c>
      <c r="B1523" s="4">
        <v>47153</v>
      </c>
      <c r="C1523" t="s">
        <v>1656</v>
      </c>
      <c r="D1523" t="s">
        <v>40</v>
      </c>
      <c r="E1523" t="s">
        <v>41</v>
      </c>
      <c r="F1523" t="s">
        <v>27</v>
      </c>
      <c r="G1523">
        <v>3</v>
      </c>
      <c r="H1523" s="5">
        <v>3.5</v>
      </c>
      <c r="I1523" t="s">
        <v>32</v>
      </c>
      <c r="J1523" t="s">
        <v>226</v>
      </c>
      <c r="K1523" t="s">
        <v>227</v>
      </c>
      <c r="L1523" t="s">
        <v>2123</v>
      </c>
      <c r="M1523" s="5">
        <f t="shared" si="139"/>
        <v>10.5</v>
      </c>
      <c r="N1523" t="str">
        <f t="shared" si="140"/>
        <v>February</v>
      </c>
      <c r="O1523" t="str">
        <f t="shared" si="141"/>
        <v>Sunday</v>
      </c>
      <c r="P1523">
        <f t="shared" si="138"/>
        <v>19</v>
      </c>
      <c r="Q1523" s="2">
        <f t="shared" si="142"/>
        <v>7</v>
      </c>
      <c r="R1523" s="2">
        <f t="shared" si="143"/>
        <v>2</v>
      </c>
      <c r="S1523">
        <f>SUMIF(Table1[product_category],"Bakery",Table1[Total_bill])</f>
        <v>2951.25</v>
      </c>
    </row>
    <row r="1524" spans="1:19" x14ac:dyDescent="0.3">
      <c r="A1524" s="2">
        <v>11523</v>
      </c>
      <c r="B1524" s="4">
        <v>47154</v>
      </c>
      <c r="C1524" t="s">
        <v>1657</v>
      </c>
      <c r="D1524" t="s">
        <v>25</v>
      </c>
      <c r="E1524" t="s">
        <v>26</v>
      </c>
      <c r="F1524" t="s">
        <v>31</v>
      </c>
      <c r="G1524">
        <v>2</v>
      </c>
      <c r="H1524" s="5">
        <v>3.75</v>
      </c>
      <c r="I1524" t="s">
        <v>32</v>
      </c>
      <c r="J1524" t="s">
        <v>144</v>
      </c>
      <c r="K1524" t="s">
        <v>144</v>
      </c>
      <c r="L1524" t="s">
        <v>2123</v>
      </c>
      <c r="M1524" s="5">
        <f t="shared" si="139"/>
        <v>7.5</v>
      </c>
      <c r="N1524" t="str">
        <f t="shared" si="140"/>
        <v>February</v>
      </c>
      <c r="O1524" t="str">
        <f t="shared" si="141"/>
        <v>Monday</v>
      </c>
      <c r="P1524">
        <f t="shared" si="138"/>
        <v>10</v>
      </c>
      <c r="Q1524" s="2">
        <f t="shared" si="142"/>
        <v>1</v>
      </c>
      <c r="R1524" s="2">
        <f t="shared" si="143"/>
        <v>2</v>
      </c>
      <c r="S1524">
        <f>SUMIF(Table1[product_category],"Bakery",Table1[Total_bill])</f>
        <v>2951.25</v>
      </c>
    </row>
    <row r="1525" spans="1:19" x14ac:dyDescent="0.3">
      <c r="A1525" s="2">
        <v>11524</v>
      </c>
      <c r="B1525" s="4">
        <v>47155</v>
      </c>
      <c r="C1525" t="s">
        <v>1658</v>
      </c>
      <c r="D1525" t="s">
        <v>40</v>
      </c>
      <c r="E1525" t="s">
        <v>41</v>
      </c>
      <c r="F1525" t="s">
        <v>35</v>
      </c>
      <c r="G1525">
        <v>3</v>
      </c>
      <c r="H1525" s="5">
        <v>3.5</v>
      </c>
      <c r="I1525" t="s">
        <v>32</v>
      </c>
      <c r="J1525" t="s">
        <v>33</v>
      </c>
      <c r="K1525" t="s">
        <v>33</v>
      </c>
      <c r="L1525" t="s">
        <v>2122</v>
      </c>
      <c r="M1525" s="5">
        <f t="shared" si="139"/>
        <v>10.5</v>
      </c>
      <c r="N1525" t="str">
        <f t="shared" si="140"/>
        <v>February</v>
      </c>
      <c r="O1525" t="str">
        <f t="shared" si="141"/>
        <v>Tuesday</v>
      </c>
      <c r="P1525">
        <f t="shared" si="138"/>
        <v>7</v>
      </c>
      <c r="Q1525" s="2">
        <f t="shared" si="142"/>
        <v>2</v>
      </c>
      <c r="R1525" s="2">
        <f t="shared" si="143"/>
        <v>2</v>
      </c>
      <c r="S1525">
        <f>SUMIF(Table1[product_category],"Bakery",Table1[Total_bill])</f>
        <v>2951.25</v>
      </c>
    </row>
    <row r="1526" spans="1:19" x14ac:dyDescent="0.3">
      <c r="A1526" s="2">
        <v>11525</v>
      </c>
      <c r="B1526" s="4">
        <v>47156</v>
      </c>
      <c r="C1526" t="s">
        <v>1659</v>
      </c>
      <c r="D1526" t="s">
        <v>25</v>
      </c>
      <c r="E1526" t="s">
        <v>26</v>
      </c>
      <c r="F1526" t="s">
        <v>42</v>
      </c>
      <c r="G1526">
        <v>2</v>
      </c>
      <c r="H1526" s="5">
        <v>3.25</v>
      </c>
      <c r="I1526" t="s">
        <v>21</v>
      </c>
      <c r="J1526" t="s">
        <v>81</v>
      </c>
      <c r="K1526" t="s">
        <v>82</v>
      </c>
      <c r="L1526" t="s">
        <v>2125</v>
      </c>
      <c r="M1526" s="5">
        <f t="shared" si="139"/>
        <v>6.5</v>
      </c>
      <c r="N1526" t="str">
        <f t="shared" si="140"/>
        <v>February</v>
      </c>
      <c r="O1526" t="str">
        <f t="shared" si="141"/>
        <v>Wednesday</v>
      </c>
      <c r="P1526">
        <f t="shared" si="138"/>
        <v>11</v>
      </c>
      <c r="Q1526" s="2">
        <f t="shared" si="142"/>
        <v>3</v>
      </c>
      <c r="R1526" s="2">
        <f t="shared" si="143"/>
        <v>2</v>
      </c>
      <c r="S1526">
        <f>SUMIF(Table1[product_category],"Bakery",Table1[Total_bill])</f>
        <v>2951.25</v>
      </c>
    </row>
    <row r="1527" spans="1:19" x14ac:dyDescent="0.3">
      <c r="A1527" s="2">
        <v>11526</v>
      </c>
      <c r="B1527" s="4">
        <v>47157</v>
      </c>
      <c r="C1527" t="s">
        <v>1660</v>
      </c>
      <c r="D1527" t="s">
        <v>40</v>
      </c>
      <c r="E1527" t="s">
        <v>41</v>
      </c>
      <c r="F1527" t="s">
        <v>46</v>
      </c>
      <c r="G1527">
        <v>3</v>
      </c>
      <c r="H1527" s="5">
        <v>3.5</v>
      </c>
      <c r="I1527" t="s">
        <v>89</v>
      </c>
      <c r="J1527" t="s">
        <v>261</v>
      </c>
      <c r="K1527" t="s">
        <v>261</v>
      </c>
      <c r="L1527" t="s">
        <v>2122</v>
      </c>
      <c r="M1527" s="5">
        <f t="shared" si="139"/>
        <v>10.5</v>
      </c>
      <c r="N1527" t="str">
        <f t="shared" si="140"/>
        <v>February</v>
      </c>
      <c r="O1527" t="str">
        <f t="shared" si="141"/>
        <v>Thursday</v>
      </c>
      <c r="P1527">
        <f t="shared" si="138"/>
        <v>8</v>
      </c>
      <c r="Q1527" s="2">
        <f t="shared" si="142"/>
        <v>4</v>
      </c>
      <c r="R1527" s="2">
        <f t="shared" si="143"/>
        <v>2</v>
      </c>
      <c r="S1527">
        <f>SUMIF(Table1[product_category],"Bakery",Table1[Total_bill])</f>
        <v>2951.25</v>
      </c>
    </row>
    <row r="1528" spans="1:19" x14ac:dyDescent="0.3">
      <c r="A1528" s="2">
        <v>11527</v>
      </c>
      <c r="B1528" s="4">
        <v>47158</v>
      </c>
      <c r="C1528" t="s">
        <v>1661</v>
      </c>
      <c r="D1528" t="s">
        <v>40</v>
      </c>
      <c r="E1528" t="s">
        <v>41</v>
      </c>
      <c r="F1528" t="s">
        <v>50</v>
      </c>
      <c r="G1528">
        <v>1</v>
      </c>
      <c r="H1528" s="5">
        <v>4.5</v>
      </c>
      <c r="I1528" t="s">
        <v>36</v>
      </c>
      <c r="J1528" t="s">
        <v>110</v>
      </c>
      <c r="K1528" t="s">
        <v>110</v>
      </c>
      <c r="L1528" t="s">
        <v>2124</v>
      </c>
      <c r="M1528" s="5">
        <f t="shared" si="139"/>
        <v>4.5</v>
      </c>
      <c r="N1528" t="str">
        <f t="shared" si="140"/>
        <v>February</v>
      </c>
      <c r="O1528" t="str">
        <f t="shared" si="141"/>
        <v>Friday</v>
      </c>
      <c r="P1528">
        <f t="shared" si="138"/>
        <v>9</v>
      </c>
      <c r="Q1528" s="2">
        <f t="shared" si="142"/>
        <v>5</v>
      </c>
      <c r="R1528" s="2">
        <f t="shared" si="143"/>
        <v>2</v>
      </c>
      <c r="S1528">
        <f>SUMIF(Table1[product_category],"Bakery",Table1[Total_bill])</f>
        <v>2951.25</v>
      </c>
    </row>
    <row r="1529" spans="1:19" x14ac:dyDescent="0.3">
      <c r="A1529" s="2">
        <v>11528</v>
      </c>
      <c r="B1529" s="4">
        <v>47159</v>
      </c>
      <c r="C1529" t="s">
        <v>1662</v>
      </c>
      <c r="D1529" t="s">
        <v>18</v>
      </c>
      <c r="E1529" t="s">
        <v>19</v>
      </c>
      <c r="F1529" t="s">
        <v>54</v>
      </c>
      <c r="G1529">
        <v>4</v>
      </c>
      <c r="H1529" s="5">
        <v>3.5</v>
      </c>
      <c r="I1529" t="s">
        <v>36</v>
      </c>
      <c r="J1529" t="s">
        <v>246</v>
      </c>
      <c r="K1529" t="s">
        <v>247</v>
      </c>
      <c r="L1529" t="s">
        <v>2123</v>
      </c>
      <c r="M1529" s="5">
        <f t="shared" si="139"/>
        <v>14</v>
      </c>
      <c r="N1529" t="str">
        <f t="shared" si="140"/>
        <v>February</v>
      </c>
      <c r="O1529" t="str">
        <f t="shared" si="141"/>
        <v>Saturday</v>
      </c>
      <c r="P1529">
        <f t="shared" si="138"/>
        <v>9</v>
      </c>
      <c r="Q1529" s="2">
        <f t="shared" si="142"/>
        <v>6</v>
      </c>
      <c r="R1529" s="2">
        <f t="shared" si="143"/>
        <v>2</v>
      </c>
      <c r="S1529">
        <f>SUMIF(Table1[product_category],"Bakery",Table1[Total_bill])</f>
        <v>2951.25</v>
      </c>
    </row>
    <row r="1530" spans="1:19" x14ac:dyDescent="0.3">
      <c r="A1530" s="2">
        <v>11529</v>
      </c>
      <c r="B1530" s="4">
        <v>47160</v>
      </c>
      <c r="C1530" t="s">
        <v>1663</v>
      </c>
      <c r="D1530" t="s">
        <v>40</v>
      </c>
      <c r="E1530" t="s">
        <v>41</v>
      </c>
      <c r="F1530" t="s">
        <v>57</v>
      </c>
      <c r="G1530">
        <v>4</v>
      </c>
      <c r="H1530" s="5">
        <v>5.5</v>
      </c>
      <c r="I1530" t="s">
        <v>72</v>
      </c>
      <c r="J1530" t="s">
        <v>72</v>
      </c>
      <c r="K1530" t="s">
        <v>73</v>
      </c>
      <c r="L1530" t="s">
        <v>2125</v>
      </c>
      <c r="M1530" s="5">
        <f t="shared" si="139"/>
        <v>22</v>
      </c>
      <c r="N1530" t="str">
        <f t="shared" si="140"/>
        <v>February</v>
      </c>
      <c r="O1530" t="str">
        <f t="shared" si="141"/>
        <v>Sunday</v>
      </c>
      <c r="P1530">
        <f t="shared" si="138"/>
        <v>16</v>
      </c>
      <c r="Q1530" s="2">
        <f t="shared" si="142"/>
        <v>7</v>
      </c>
      <c r="R1530" s="2">
        <f t="shared" si="143"/>
        <v>2</v>
      </c>
      <c r="S1530">
        <f>SUMIF(Table1[product_category],"Bakery",Table1[Total_bill])</f>
        <v>2951.25</v>
      </c>
    </row>
    <row r="1531" spans="1:19" x14ac:dyDescent="0.3">
      <c r="A1531" s="2">
        <v>11530</v>
      </c>
      <c r="B1531" s="4">
        <v>47161</v>
      </c>
      <c r="C1531" t="s">
        <v>1664</v>
      </c>
      <c r="D1531" t="s">
        <v>40</v>
      </c>
      <c r="E1531" t="s">
        <v>41</v>
      </c>
      <c r="F1531" t="s">
        <v>61</v>
      </c>
      <c r="G1531">
        <v>3</v>
      </c>
      <c r="H1531" s="5">
        <v>2.5</v>
      </c>
      <c r="I1531" t="s">
        <v>36</v>
      </c>
      <c r="J1531" t="s">
        <v>37</v>
      </c>
      <c r="K1531" t="s">
        <v>62</v>
      </c>
      <c r="L1531" t="s">
        <v>2122</v>
      </c>
      <c r="M1531" s="5">
        <f t="shared" si="139"/>
        <v>7.5</v>
      </c>
      <c r="N1531" t="str">
        <f t="shared" si="140"/>
        <v>February</v>
      </c>
      <c r="O1531" t="str">
        <f t="shared" si="141"/>
        <v>Monday</v>
      </c>
      <c r="P1531">
        <f t="shared" si="138"/>
        <v>12</v>
      </c>
      <c r="Q1531" s="2">
        <f t="shared" si="142"/>
        <v>1</v>
      </c>
      <c r="R1531" s="2">
        <f t="shared" si="143"/>
        <v>2</v>
      </c>
      <c r="S1531">
        <f>SUMIF(Table1[product_category],"Bakery",Table1[Total_bill])</f>
        <v>2951.25</v>
      </c>
    </row>
    <row r="1532" spans="1:19" x14ac:dyDescent="0.3">
      <c r="A1532" s="2">
        <v>11531</v>
      </c>
      <c r="B1532" s="4">
        <v>47162</v>
      </c>
      <c r="C1532" t="s">
        <v>1665</v>
      </c>
      <c r="D1532" t="s">
        <v>25</v>
      </c>
      <c r="E1532" t="s">
        <v>26</v>
      </c>
      <c r="F1532" t="s">
        <v>64</v>
      </c>
      <c r="G1532">
        <v>3</v>
      </c>
      <c r="H1532" s="5">
        <v>3</v>
      </c>
      <c r="I1532" t="s">
        <v>36</v>
      </c>
      <c r="J1532" t="s">
        <v>246</v>
      </c>
      <c r="K1532" t="s">
        <v>247</v>
      </c>
      <c r="L1532" t="s">
        <v>2124</v>
      </c>
      <c r="M1532" s="5">
        <f t="shared" si="139"/>
        <v>9</v>
      </c>
      <c r="N1532" t="str">
        <f t="shared" si="140"/>
        <v>February</v>
      </c>
      <c r="O1532" t="str">
        <f t="shared" si="141"/>
        <v>Tuesday</v>
      </c>
      <c r="P1532">
        <f t="shared" si="138"/>
        <v>9</v>
      </c>
      <c r="Q1532" s="2">
        <f t="shared" si="142"/>
        <v>2</v>
      </c>
      <c r="R1532" s="2">
        <f t="shared" si="143"/>
        <v>2</v>
      </c>
      <c r="S1532">
        <f>SUMIF(Table1[product_category],"Bakery",Table1[Total_bill])</f>
        <v>2951.25</v>
      </c>
    </row>
    <row r="1533" spans="1:19" x14ac:dyDescent="0.3">
      <c r="A1533" s="2">
        <v>11532</v>
      </c>
      <c r="B1533" s="4">
        <v>47163</v>
      </c>
      <c r="C1533" t="s">
        <v>1666</v>
      </c>
      <c r="D1533" t="s">
        <v>25</v>
      </c>
      <c r="E1533" t="s">
        <v>26</v>
      </c>
      <c r="F1533" t="s">
        <v>66</v>
      </c>
      <c r="G1533">
        <v>2</v>
      </c>
      <c r="H1533" s="5">
        <v>14</v>
      </c>
      <c r="I1533" t="s">
        <v>101</v>
      </c>
      <c r="J1533" t="s">
        <v>102</v>
      </c>
      <c r="K1533" t="s">
        <v>193</v>
      </c>
      <c r="L1533" t="s">
        <v>2125</v>
      </c>
      <c r="M1533" s="5">
        <f t="shared" si="139"/>
        <v>28</v>
      </c>
      <c r="N1533" t="str">
        <f t="shared" si="140"/>
        <v>February</v>
      </c>
      <c r="O1533" t="str">
        <f t="shared" si="141"/>
        <v>Wednesday</v>
      </c>
      <c r="P1533">
        <f t="shared" si="138"/>
        <v>13</v>
      </c>
      <c r="Q1533" s="2">
        <f t="shared" si="142"/>
        <v>3</v>
      </c>
      <c r="R1533" s="2">
        <f t="shared" si="143"/>
        <v>2</v>
      </c>
      <c r="S1533">
        <f>SUMIF(Table1[product_category],"Bakery",Table1[Total_bill])</f>
        <v>2951.25</v>
      </c>
    </row>
    <row r="1534" spans="1:19" x14ac:dyDescent="0.3">
      <c r="A1534" s="2">
        <v>11533</v>
      </c>
      <c r="B1534" s="4">
        <v>47164</v>
      </c>
      <c r="C1534" t="s">
        <v>374</v>
      </c>
      <c r="D1534" t="s">
        <v>25</v>
      </c>
      <c r="E1534" t="s">
        <v>26</v>
      </c>
      <c r="F1534" t="s">
        <v>68</v>
      </c>
      <c r="G1534">
        <v>4</v>
      </c>
      <c r="H1534" s="5">
        <v>3.5</v>
      </c>
      <c r="I1534" t="s">
        <v>36</v>
      </c>
      <c r="J1534" t="s">
        <v>246</v>
      </c>
      <c r="K1534" t="s">
        <v>247</v>
      </c>
      <c r="L1534" t="s">
        <v>2123</v>
      </c>
      <c r="M1534" s="5">
        <f t="shared" si="139"/>
        <v>14</v>
      </c>
      <c r="N1534" t="str">
        <f t="shared" si="140"/>
        <v>February</v>
      </c>
      <c r="O1534" t="str">
        <f t="shared" si="141"/>
        <v>Thursday</v>
      </c>
      <c r="P1534">
        <f t="shared" si="138"/>
        <v>15</v>
      </c>
      <c r="Q1534" s="2">
        <f t="shared" si="142"/>
        <v>4</v>
      </c>
      <c r="R1534" s="2">
        <f t="shared" si="143"/>
        <v>2</v>
      </c>
      <c r="S1534">
        <f>SUMIF(Table1[product_category],"Bakery",Table1[Total_bill])</f>
        <v>2951.25</v>
      </c>
    </row>
    <row r="1535" spans="1:19" x14ac:dyDescent="0.3">
      <c r="A1535" s="2">
        <v>11534</v>
      </c>
      <c r="B1535" s="4">
        <v>47165</v>
      </c>
      <c r="C1535" t="s">
        <v>1667</v>
      </c>
      <c r="D1535" t="s">
        <v>40</v>
      </c>
      <c r="E1535" t="s">
        <v>41</v>
      </c>
      <c r="F1535" t="s">
        <v>71</v>
      </c>
      <c r="G1535">
        <v>2</v>
      </c>
      <c r="H1535" s="5">
        <v>3</v>
      </c>
      <c r="I1535" t="s">
        <v>21</v>
      </c>
      <c r="J1535" t="s">
        <v>181</v>
      </c>
      <c r="K1535" t="s">
        <v>182</v>
      </c>
      <c r="L1535" t="s">
        <v>2125</v>
      </c>
      <c r="M1535" s="5">
        <f t="shared" si="139"/>
        <v>6</v>
      </c>
      <c r="N1535" t="str">
        <f t="shared" si="140"/>
        <v>February</v>
      </c>
      <c r="O1535" t="str">
        <f t="shared" si="141"/>
        <v>Friday</v>
      </c>
      <c r="P1535">
        <f t="shared" si="138"/>
        <v>9</v>
      </c>
      <c r="Q1535" s="2">
        <f t="shared" si="142"/>
        <v>5</v>
      </c>
      <c r="R1535" s="2">
        <f t="shared" si="143"/>
        <v>2</v>
      </c>
      <c r="S1535">
        <f>SUMIF(Table1[product_category],"Bakery",Table1[Total_bill])</f>
        <v>2951.25</v>
      </c>
    </row>
    <row r="1536" spans="1:19" x14ac:dyDescent="0.3">
      <c r="A1536" s="2">
        <v>11535</v>
      </c>
      <c r="B1536" s="4">
        <v>47166</v>
      </c>
      <c r="C1536" t="s">
        <v>1668</v>
      </c>
      <c r="D1536" t="s">
        <v>40</v>
      </c>
      <c r="E1536" t="s">
        <v>41</v>
      </c>
      <c r="F1536" t="s">
        <v>75</v>
      </c>
      <c r="G1536">
        <v>3</v>
      </c>
      <c r="H1536" s="5">
        <v>2.75</v>
      </c>
      <c r="I1536" t="s">
        <v>21</v>
      </c>
      <c r="J1536" t="s">
        <v>22</v>
      </c>
      <c r="K1536" t="s">
        <v>23</v>
      </c>
      <c r="L1536" t="s">
        <v>2125</v>
      </c>
      <c r="M1536" s="5">
        <f t="shared" si="139"/>
        <v>8.25</v>
      </c>
      <c r="N1536" t="str">
        <f t="shared" si="140"/>
        <v>February</v>
      </c>
      <c r="O1536" t="str">
        <f t="shared" si="141"/>
        <v>Saturday</v>
      </c>
      <c r="P1536">
        <f t="shared" si="138"/>
        <v>10</v>
      </c>
      <c r="Q1536" s="2">
        <f t="shared" si="142"/>
        <v>6</v>
      </c>
      <c r="R1536" s="2">
        <f t="shared" si="143"/>
        <v>2</v>
      </c>
      <c r="S1536">
        <f>SUMIF(Table1[product_category],"Bakery",Table1[Total_bill])</f>
        <v>2951.25</v>
      </c>
    </row>
    <row r="1537" spans="1:19" x14ac:dyDescent="0.3">
      <c r="A1537" s="2">
        <v>11536</v>
      </c>
      <c r="B1537" s="4">
        <v>47167</v>
      </c>
      <c r="C1537" t="s">
        <v>1669</v>
      </c>
      <c r="D1537" t="s">
        <v>18</v>
      </c>
      <c r="E1537" t="s">
        <v>19</v>
      </c>
      <c r="F1537" t="s">
        <v>78</v>
      </c>
      <c r="G1537">
        <v>3</v>
      </c>
      <c r="H1537" s="5">
        <v>3.5</v>
      </c>
      <c r="I1537" t="s">
        <v>36</v>
      </c>
      <c r="J1537" t="s">
        <v>37</v>
      </c>
      <c r="K1537" t="s">
        <v>276</v>
      </c>
      <c r="L1537" t="s">
        <v>2123</v>
      </c>
      <c r="M1537" s="5">
        <f t="shared" si="139"/>
        <v>10.5</v>
      </c>
      <c r="N1537" t="str">
        <f t="shared" si="140"/>
        <v>February</v>
      </c>
      <c r="O1537" t="str">
        <f t="shared" si="141"/>
        <v>Sunday</v>
      </c>
      <c r="P1537">
        <f t="shared" si="138"/>
        <v>7</v>
      </c>
      <c r="Q1537" s="2">
        <f t="shared" si="142"/>
        <v>7</v>
      </c>
      <c r="R1537" s="2">
        <f t="shared" si="143"/>
        <v>2</v>
      </c>
      <c r="S1537">
        <f>SUMIF(Table1[product_category],"Bakery",Table1[Total_bill])</f>
        <v>2951.25</v>
      </c>
    </row>
    <row r="1538" spans="1:19" x14ac:dyDescent="0.3">
      <c r="A1538" s="2">
        <v>11537</v>
      </c>
      <c r="B1538" s="4">
        <v>47168</v>
      </c>
      <c r="C1538" t="s">
        <v>1670</v>
      </c>
      <c r="D1538" t="s">
        <v>18</v>
      </c>
      <c r="E1538" t="s">
        <v>19</v>
      </c>
      <c r="F1538" t="s">
        <v>80</v>
      </c>
      <c r="G1538">
        <v>1</v>
      </c>
      <c r="H1538" s="5">
        <v>4.25</v>
      </c>
      <c r="I1538" t="s">
        <v>32</v>
      </c>
      <c r="J1538" t="s">
        <v>69</v>
      </c>
      <c r="K1538" t="s">
        <v>69</v>
      </c>
      <c r="L1538" t="s">
        <v>2124</v>
      </c>
      <c r="M1538" s="5">
        <f t="shared" si="139"/>
        <v>4.25</v>
      </c>
      <c r="N1538" t="str">
        <f t="shared" si="140"/>
        <v>February</v>
      </c>
      <c r="O1538" t="str">
        <f t="shared" si="141"/>
        <v>Monday</v>
      </c>
      <c r="P1538">
        <f t="shared" ref="P1538:P1601" si="144">HOUR(TIMEVALUE(C1538))</f>
        <v>8</v>
      </c>
      <c r="Q1538" s="2">
        <f t="shared" si="142"/>
        <v>1</v>
      </c>
      <c r="R1538" s="2">
        <f t="shared" si="143"/>
        <v>2</v>
      </c>
      <c r="S1538">
        <f>SUMIF(Table1[product_category],"Bakery",Table1[Total_bill])</f>
        <v>2951.25</v>
      </c>
    </row>
    <row r="1539" spans="1:19" x14ac:dyDescent="0.3">
      <c r="A1539" s="2">
        <v>11538</v>
      </c>
      <c r="B1539" s="4">
        <v>47169</v>
      </c>
      <c r="C1539" t="s">
        <v>1671</v>
      </c>
      <c r="D1539" t="s">
        <v>25</v>
      </c>
      <c r="E1539" t="s">
        <v>26</v>
      </c>
      <c r="F1539" t="s">
        <v>84</v>
      </c>
      <c r="G1539">
        <v>3</v>
      </c>
      <c r="H1539" s="5">
        <v>8</v>
      </c>
      <c r="I1539" t="s">
        <v>28</v>
      </c>
      <c r="J1539" t="s">
        <v>28</v>
      </c>
      <c r="K1539" t="s">
        <v>76</v>
      </c>
      <c r="L1539" t="s">
        <v>2125</v>
      </c>
      <c r="M1539" s="5">
        <f t="shared" ref="M1539:M1602" si="145">G1539*H1539</f>
        <v>24</v>
      </c>
      <c r="N1539" t="str">
        <f t="shared" ref="N1539:N1602" si="146">TEXT(B1539,"mmmm")</f>
        <v>February</v>
      </c>
      <c r="O1539" t="str">
        <f t="shared" ref="O1539:O1602" si="147">TEXT(B1539,"dddd")</f>
        <v>Tuesday</v>
      </c>
      <c r="P1539">
        <f t="shared" si="144"/>
        <v>14</v>
      </c>
      <c r="Q1539" s="2">
        <f t="shared" ref="Q1539:Q1602" si="148">WEEKDAY(B1539,2)</f>
        <v>2</v>
      </c>
      <c r="R1539" s="2">
        <f t="shared" ref="R1539:R1602" si="149">MONTH(B1539)</f>
        <v>2</v>
      </c>
      <c r="S1539">
        <f>SUMIF(Table1[product_category],"Bakery",Table1[Total_bill])</f>
        <v>2951.25</v>
      </c>
    </row>
    <row r="1540" spans="1:19" x14ac:dyDescent="0.3">
      <c r="A1540" s="2">
        <v>11539</v>
      </c>
      <c r="B1540" s="4">
        <v>47170</v>
      </c>
      <c r="C1540" t="s">
        <v>1672</v>
      </c>
      <c r="D1540" t="s">
        <v>18</v>
      </c>
      <c r="E1540" t="s">
        <v>19</v>
      </c>
      <c r="F1540" t="s">
        <v>86</v>
      </c>
      <c r="G1540">
        <v>3</v>
      </c>
      <c r="H1540" s="5">
        <v>3.25</v>
      </c>
      <c r="I1540" t="s">
        <v>21</v>
      </c>
      <c r="J1540" t="s">
        <v>81</v>
      </c>
      <c r="K1540" t="s">
        <v>82</v>
      </c>
      <c r="L1540" t="s">
        <v>2125</v>
      </c>
      <c r="M1540" s="5">
        <f t="shared" si="145"/>
        <v>9.75</v>
      </c>
      <c r="N1540" t="str">
        <f t="shared" si="146"/>
        <v>February</v>
      </c>
      <c r="O1540" t="str">
        <f t="shared" si="147"/>
        <v>Wednesday</v>
      </c>
      <c r="P1540">
        <f t="shared" si="144"/>
        <v>8</v>
      </c>
      <c r="Q1540" s="2">
        <f t="shared" si="148"/>
        <v>3</v>
      </c>
      <c r="R1540" s="2">
        <f t="shared" si="149"/>
        <v>2</v>
      </c>
      <c r="S1540">
        <f>SUMIF(Table1[product_category],"Bakery",Table1[Total_bill])</f>
        <v>2951.25</v>
      </c>
    </row>
    <row r="1541" spans="1:19" x14ac:dyDescent="0.3">
      <c r="A1541" s="2">
        <v>11540</v>
      </c>
      <c r="B1541" s="4">
        <v>47171</v>
      </c>
      <c r="C1541" t="s">
        <v>1673</v>
      </c>
      <c r="D1541" t="s">
        <v>18</v>
      </c>
      <c r="E1541" t="s">
        <v>19</v>
      </c>
      <c r="F1541" t="s">
        <v>88</v>
      </c>
      <c r="G1541">
        <v>3</v>
      </c>
      <c r="H1541" s="5">
        <v>14</v>
      </c>
      <c r="I1541" t="s">
        <v>98</v>
      </c>
      <c r="J1541" t="s">
        <v>98</v>
      </c>
      <c r="K1541" t="s">
        <v>129</v>
      </c>
      <c r="L1541" t="s">
        <v>2125</v>
      </c>
      <c r="M1541" s="5">
        <f t="shared" si="145"/>
        <v>42</v>
      </c>
      <c r="N1541" t="str">
        <f t="shared" si="146"/>
        <v>February</v>
      </c>
      <c r="O1541" t="str">
        <f t="shared" si="147"/>
        <v>Thursday</v>
      </c>
      <c r="P1541">
        <f t="shared" si="144"/>
        <v>12</v>
      </c>
      <c r="Q1541" s="2">
        <f t="shared" si="148"/>
        <v>4</v>
      </c>
      <c r="R1541" s="2">
        <f t="shared" si="149"/>
        <v>2</v>
      </c>
      <c r="S1541">
        <f>SUMIF(Table1[product_category],"Bakery",Table1[Total_bill])</f>
        <v>2951.25</v>
      </c>
    </row>
    <row r="1542" spans="1:19" x14ac:dyDescent="0.3">
      <c r="A1542" s="2">
        <v>11541</v>
      </c>
      <c r="B1542" s="4">
        <v>47172</v>
      </c>
      <c r="C1542" t="s">
        <v>1674</v>
      </c>
      <c r="D1542" t="s">
        <v>40</v>
      </c>
      <c r="E1542" t="s">
        <v>41</v>
      </c>
      <c r="F1542" t="s">
        <v>93</v>
      </c>
      <c r="G1542">
        <v>3</v>
      </c>
      <c r="H1542" s="5">
        <v>3</v>
      </c>
      <c r="I1542" t="s">
        <v>36</v>
      </c>
      <c r="J1542" t="s">
        <v>37</v>
      </c>
      <c r="K1542" t="s">
        <v>276</v>
      </c>
      <c r="L1542" t="s">
        <v>2124</v>
      </c>
      <c r="M1542" s="5">
        <f t="shared" si="145"/>
        <v>9</v>
      </c>
      <c r="N1542" t="str">
        <f t="shared" si="146"/>
        <v>February</v>
      </c>
      <c r="O1542" t="str">
        <f t="shared" si="147"/>
        <v>Friday</v>
      </c>
      <c r="P1542">
        <f t="shared" si="144"/>
        <v>14</v>
      </c>
      <c r="Q1542" s="2">
        <f t="shared" si="148"/>
        <v>5</v>
      </c>
      <c r="R1542" s="2">
        <f t="shared" si="149"/>
        <v>2</v>
      </c>
      <c r="S1542">
        <f>SUMIF(Table1[product_category],"Bakery",Table1[Total_bill])</f>
        <v>2951.25</v>
      </c>
    </row>
    <row r="1543" spans="1:19" x14ac:dyDescent="0.3">
      <c r="A1543" s="2">
        <v>11542</v>
      </c>
      <c r="B1543" s="4">
        <v>47173</v>
      </c>
      <c r="C1543" t="s">
        <v>1675</v>
      </c>
      <c r="D1543" t="s">
        <v>25</v>
      </c>
      <c r="E1543" t="s">
        <v>26</v>
      </c>
      <c r="F1543" t="s">
        <v>97</v>
      </c>
      <c r="G1543">
        <v>4</v>
      </c>
      <c r="H1543" s="5">
        <v>2.75</v>
      </c>
      <c r="I1543" t="s">
        <v>32</v>
      </c>
      <c r="J1543" t="s">
        <v>43</v>
      </c>
      <c r="K1543" t="s">
        <v>44</v>
      </c>
      <c r="L1543" t="s">
        <v>2123</v>
      </c>
      <c r="M1543" s="5">
        <f t="shared" si="145"/>
        <v>11</v>
      </c>
      <c r="N1543" t="str">
        <f t="shared" si="146"/>
        <v>February</v>
      </c>
      <c r="O1543" t="str">
        <f t="shared" si="147"/>
        <v>Saturday</v>
      </c>
      <c r="P1543">
        <f t="shared" si="144"/>
        <v>7</v>
      </c>
      <c r="Q1543" s="2">
        <f t="shared" si="148"/>
        <v>6</v>
      </c>
      <c r="R1543" s="2">
        <f t="shared" si="149"/>
        <v>2</v>
      </c>
      <c r="S1543">
        <f>SUMIF(Table1[product_category],"Bakery",Table1[Total_bill])</f>
        <v>2951.25</v>
      </c>
    </row>
    <row r="1544" spans="1:19" x14ac:dyDescent="0.3">
      <c r="A1544" s="2">
        <v>11543</v>
      </c>
      <c r="B1544" s="4">
        <v>47174</v>
      </c>
      <c r="C1544" t="s">
        <v>1676</v>
      </c>
      <c r="D1544" t="s">
        <v>18</v>
      </c>
      <c r="E1544" t="s">
        <v>19</v>
      </c>
      <c r="F1544" t="s">
        <v>100</v>
      </c>
      <c r="G1544">
        <v>4</v>
      </c>
      <c r="H1544" s="5">
        <v>3.75</v>
      </c>
      <c r="I1544" t="s">
        <v>36</v>
      </c>
      <c r="J1544" t="s">
        <v>211</v>
      </c>
      <c r="K1544" t="s">
        <v>239</v>
      </c>
      <c r="L1544" t="s">
        <v>2124</v>
      </c>
      <c r="M1544" s="5">
        <f t="shared" si="145"/>
        <v>15</v>
      </c>
      <c r="N1544" t="str">
        <f t="shared" si="146"/>
        <v>February</v>
      </c>
      <c r="O1544" t="str">
        <f t="shared" si="147"/>
        <v>Sunday</v>
      </c>
      <c r="P1544">
        <f t="shared" si="144"/>
        <v>12</v>
      </c>
      <c r="Q1544" s="2">
        <f t="shared" si="148"/>
        <v>7</v>
      </c>
      <c r="R1544" s="2">
        <f t="shared" si="149"/>
        <v>2</v>
      </c>
      <c r="S1544">
        <f>SUMIF(Table1[product_category],"Bakery",Table1[Total_bill])</f>
        <v>2951.25</v>
      </c>
    </row>
    <row r="1545" spans="1:19" x14ac:dyDescent="0.3">
      <c r="A1545" s="2">
        <v>11544</v>
      </c>
      <c r="B1545" s="4">
        <v>47175</v>
      </c>
      <c r="C1545" t="s">
        <v>1677</v>
      </c>
      <c r="D1545" t="s">
        <v>18</v>
      </c>
      <c r="E1545" t="s">
        <v>19</v>
      </c>
      <c r="F1545" t="s">
        <v>105</v>
      </c>
      <c r="G1545">
        <v>1</v>
      </c>
      <c r="H1545" s="5">
        <v>4.75</v>
      </c>
      <c r="I1545" t="s">
        <v>32</v>
      </c>
      <c r="J1545" t="s">
        <v>69</v>
      </c>
      <c r="K1545" t="s">
        <v>69</v>
      </c>
      <c r="L1545" t="s">
        <v>2123</v>
      </c>
      <c r="M1545" s="5">
        <f t="shared" si="145"/>
        <v>4.75</v>
      </c>
      <c r="N1545" t="str">
        <f t="shared" si="146"/>
        <v>February</v>
      </c>
      <c r="O1545" t="str">
        <f t="shared" si="147"/>
        <v>Monday</v>
      </c>
      <c r="P1545">
        <f t="shared" si="144"/>
        <v>8</v>
      </c>
      <c r="Q1545" s="2">
        <f t="shared" si="148"/>
        <v>1</v>
      </c>
      <c r="R1545" s="2">
        <f t="shared" si="149"/>
        <v>2</v>
      </c>
      <c r="S1545">
        <f>SUMIF(Table1[product_category],"Bakery",Table1[Total_bill])</f>
        <v>2951.25</v>
      </c>
    </row>
    <row r="1546" spans="1:19" x14ac:dyDescent="0.3">
      <c r="A1546" s="2">
        <v>11545</v>
      </c>
      <c r="B1546" s="4">
        <v>47176</v>
      </c>
      <c r="C1546" t="s">
        <v>1678</v>
      </c>
      <c r="D1546" t="s">
        <v>25</v>
      </c>
      <c r="E1546" t="s">
        <v>26</v>
      </c>
      <c r="F1546" t="s">
        <v>107</v>
      </c>
      <c r="G1546">
        <v>4</v>
      </c>
      <c r="H1546" s="5">
        <v>3.5</v>
      </c>
      <c r="I1546" t="s">
        <v>21</v>
      </c>
      <c r="J1546" t="s">
        <v>51</v>
      </c>
      <c r="K1546" t="s">
        <v>52</v>
      </c>
      <c r="L1546" t="s">
        <v>2125</v>
      </c>
      <c r="M1546" s="5">
        <f t="shared" si="145"/>
        <v>14</v>
      </c>
      <c r="N1546" t="str">
        <f t="shared" si="146"/>
        <v>February</v>
      </c>
      <c r="O1546" t="str">
        <f t="shared" si="147"/>
        <v>Tuesday</v>
      </c>
      <c r="P1546">
        <f t="shared" si="144"/>
        <v>20</v>
      </c>
      <c r="Q1546" s="2">
        <f t="shared" si="148"/>
        <v>2</v>
      </c>
      <c r="R1546" s="2">
        <f t="shared" si="149"/>
        <v>2</v>
      </c>
      <c r="S1546">
        <f>SUMIF(Table1[product_category],"Bakery",Table1[Total_bill])</f>
        <v>2951.25</v>
      </c>
    </row>
    <row r="1547" spans="1:19" x14ac:dyDescent="0.3">
      <c r="A1547" s="2">
        <v>11546</v>
      </c>
      <c r="B1547" s="4">
        <v>47177</v>
      </c>
      <c r="C1547" t="s">
        <v>1679</v>
      </c>
      <c r="D1547" t="s">
        <v>25</v>
      </c>
      <c r="E1547" t="s">
        <v>26</v>
      </c>
      <c r="F1547" t="s">
        <v>109</v>
      </c>
      <c r="G1547">
        <v>4</v>
      </c>
      <c r="H1547" s="5">
        <v>1.75</v>
      </c>
      <c r="I1547" t="s">
        <v>32</v>
      </c>
      <c r="J1547" t="s">
        <v>43</v>
      </c>
      <c r="K1547" t="s">
        <v>44</v>
      </c>
      <c r="L1547" t="s">
        <v>2122</v>
      </c>
      <c r="M1547" s="5">
        <f t="shared" si="145"/>
        <v>7</v>
      </c>
      <c r="N1547" t="str">
        <f t="shared" si="146"/>
        <v>February</v>
      </c>
      <c r="O1547" t="str">
        <f t="shared" si="147"/>
        <v>Wednesday</v>
      </c>
      <c r="P1547">
        <f t="shared" si="144"/>
        <v>11</v>
      </c>
      <c r="Q1547" s="2">
        <f t="shared" si="148"/>
        <v>3</v>
      </c>
      <c r="R1547" s="2">
        <f t="shared" si="149"/>
        <v>2</v>
      </c>
      <c r="S1547">
        <f>SUMIF(Table1[product_category],"Bakery",Table1[Total_bill])</f>
        <v>2951.25</v>
      </c>
    </row>
    <row r="1548" spans="1:19" x14ac:dyDescent="0.3">
      <c r="A1548" s="2">
        <v>11547</v>
      </c>
      <c r="B1548" s="4">
        <v>47178</v>
      </c>
      <c r="C1548" t="s">
        <v>1680</v>
      </c>
      <c r="D1548" t="s">
        <v>40</v>
      </c>
      <c r="E1548" t="s">
        <v>41</v>
      </c>
      <c r="F1548" t="s">
        <v>112</v>
      </c>
      <c r="G1548">
        <v>1</v>
      </c>
      <c r="H1548" s="5">
        <v>1.75</v>
      </c>
      <c r="I1548" t="s">
        <v>32</v>
      </c>
      <c r="J1548" t="s">
        <v>43</v>
      </c>
      <c r="K1548" t="s">
        <v>44</v>
      </c>
      <c r="L1548" t="s">
        <v>2122</v>
      </c>
      <c r="M1548" s="5">
        <f t="shared" si="145"/>
        <v>1.75</v>
      </c>
      <c r="N1548" t="str">
        <f t="shared" si="146"/>
        <v>March</v>
      </c>
      <c r="O1548" t="str">
        <f t="shared" si="147"/>
        <v>Thursday</v>
      </c>
      <c r="P1548">
        <f t="shared" si="144"/>
        <v>16</v>
      </c>
      <c r="Q1548" s="2">
        <f t="shared" si="148"/>
        <v>4</v>
      </c>
      <c r="R1548" s="2">
        <f t="shared" si="149"/>
        <v>3</v>
      </c>
      <c r="S1548">
        <f>SUMIF(Table1[product_category],"Bakery",Table1[Total_bill])</f>
        <v>2951.25</v>
      </c>
    </row>
    <row r="1549" spans="1:19" x14ac:dyDescent="0.3">
      <c r="A1549" s="2">
        <v>11548</v>
      </c>
      <c r="B1549" s="4">
        <v>47179</v>
      </c>
      <c r="C1549" t="s">
        <v>1681</v>
      </c>
      <c r="D1549" t="s">
        <v>18</v>
      </c>
      <c r="E1549" t="s">
        <v>19</v>
      </c>
      <c r="F1549" t="s">
        <v>115</v>
      </c>
      <c r="G1549">
        <v>2</v>
      </c>
      <c r="H1549" s="5">
        <v>3.5</v>
      </c>
      <c r="I1549" t="s">
        <v>21</v>
      </c>
      <c r="J1549" t="s">
        <v>51</v>
      </c>
      <c r="K1549" t="s">
        <v>52</v>
      </c>
      <c r="L1549" t="s">
        <v>2125</v>
      </c>
      <c r="M1549" s="5">
        <f t="shared" si="145"/>
        <v>7</v>
      </c>
      <c r="N1549" t="str">
        <f t="shared" si="146"/>
        <v>March</v>
      </c>
      <c r="O1549" t="str">
        <f t="shared" si="147"/>
        <v>Friday</v>
      </c>
      <c r="P1549">
        <f t="shared" si="144"/>
        <v>12</v>
      </c>
      <c r="Q1549" s="2">
        <f t="shared" si="148"/>
        <v>5</v>
      </c>
      <c r="R1549" s="2">
        <f t="shared" si="149"/>
        <v>3</v>
      </c>
      <c r="S1549">
        <f>SUMIF(Table1[product_category],"Bakery",Table1[Total_bill])</f>
        <v>2951.25</v>
      </c>
    </row>
    <row r="1550" spans="1:19" x14ac:dyDescent="0.3">
      <c r="A1550" s="2">
        <v>11549</v>
      </c>
      <c r="B1550" s="4">
        <v>47180</v>
      </c>
      <c r="C1550" t="s">
        <v>1682</v>
      </c>
      <c r="D1550" t="s">
        <v>18</v>
      </c>
      <c r="E1550" t="s">
        <v>19</v>
      </c>
      <c r="F1550" t="s">
        <v>117</v>
      </c>
      <c r="G1550">
        <v>2</v>
      </c>
      <c r="H1550" s="5">
        <v>3.25</v>
      </c>
      <c r="I1550" t="s">
        <v>21</v>
      </c>
      <c r="J1550" t="s">
        <v>81</v>
      </c>
      <c r="K1550" t="s">
        <v>113</v>
      </c>
      <c r="L1550" t="s">
        <v>2125</v>
      </c>
      <c r="M1550" s="5">
        <f t="shared" si="145"/>
        <v>6.5</v>
      </c>
      <c r="N1550" t="str">
        <f t="shared" si="146"/>
        <v>March</v>
      </c>
      <c r="O1550" t="str">
        <f t="shared" si="147"/>
        <v>Saturday</v>
      </c>
      <c r="P1550">
        <f t="shared" si="144"/>
        <v>6</v>
      </c>
      <c r="Q1550" s="2">
        <f t="shared" si="148"/>
        <v>6</v>
      </c>
      <c r="R1550" s="2">
        <f t="shared" si="149"/>
        <v>3</v>
      </c>
      <c r="S1550">
        <f>SUMIF(Table1[product_category],"Bakery",Table1[Total_bill])</f>
        <v>2951.25</v>
      </c>
    </row>
    <row r="1551" spans="1:19" x14ac:dyDescent="0.3">
      <c r="A1551" s="2">
        <v>11550</v>
      </c>
      <c r="B1551" s="4">
        <v>47181</v>
      </c>
      <c r="C1551" t="s">
        <v>1683</v>
      </c>
      <c r="D1551" t="s">
        <v>25</v>
      </c>
      <c r="E1551" t="s">
        <v>26</v>
      </c>
      <c r="F1551" t="s">
        <v>119</v>
      </c>
      <c r="G1551">
        <v>4</v>
      </c>
      <c r="H1551" s="5">
        <v>2.75</v>
      </c>
      <c r="I1551" t="s">
        <v>21</v>
      </c>
      <c r="J1551" t="s">
        <v>22</v>
      </c>
      <c r="K1551" t="s">
        <v>23</v>
      </c>
      <c r="L1551" t="s">
        <v>2125</v>
      </c>
      <c r="M1551" s="5">
        <f t="shared" si="145"/>
        <v>11</v>
      </c>
      <c r="N1551" t="str">
        <f t="shared" si="146"/>
        <v>March</v>
      </c>
      <c r="O1551" t="str">
        <f t="shared" si="147"/>
        <v>Sunday</v>
      </c>
      <c r="P1551">
        <f t="shared" si="144"/>
        <v>13</v>
      </c>
      <c r="Q1551" s="2">
        <f t="shared" si="148"/>
        <v>7</v>
      </c>
      <c r="R1551" s="2">
        <f t="shared" si="149"/>
        <v>3</v>
      </c>
      <c r="S1551">
        <f>SUMIF(Table1[product_category],"Bakery",Table1[Total_bill])</f>
        <v>2951.25</v>
      </c>
    </row>
    <row r="1552" spans="1:19" x14ac:dyDescent="0.3">
      <c r="A1552" s="2">
        <v>11551</v>
      </c>
      <c r="B1552" s="4">
        <v>47182</v>
      </c>
      <c r="C1552" t="s">
        <v>1684</v>
      </c>
      <c r="D1552" t="s">
        <v>25</v>
      </c>
      <c r="E1552" t="s">
        <v>26</v>
      </c>
      <c r="F1552" t="s">
        <v>121</v>
      </c>
      <c r="G1552">
        <v>4</v>
      </c>
      <c r="H1552" s="5">
        <v>1.75</v>
      </c>
      <c r="I1552" t="s">
        <v>32</v>
      </c>
      <c r="J1552" t="s">
        <v>43</v>
      </c>
      <c r="K1552" t="s">
        <v>44</v>
      </c>
      <c r="L1552" t="s">
        <v>2122</v>
      </c>
      <c r="M1552" s="5">
        <f t="shared" si="145"/>
        <v>7</v>
      </c>
      <c r="N1552" t="str">
        <f t="shared" si="146"/>
        <v>March</v>
      </c>
      <c r="O1552" t="str">
        <f t="shared" si="147"/>
        <v>Monday</v>
      </c>
      <c r="P1552">
        <f t="shared" si="144"/>
        <v>20</v>
      </c>
      <c r="Q1552" s="2">
        <f t="shared" si="148"/>
        <v>1</v>
      </c>
      <c r="R1552" s="2">
        <f t="shared" si="149"/>
        <v>3</v>
      </c>
      <c r="S1552">
        <f>SUMIF(Table1[product_category],"Bakery",Table1[Total_bill])</f>
        <v>2951.25</v>
      </c>
    </row>
    <row r="1553" spans="1:19" x14ac:dyDescent="0.3">
      <c r="A1553" s="2">
        <v>11552</v>
      </c>
      <c r="B1553" s="4">
        <v>47183</v>
      </c>
      <c r="C1553" t="s">
        <v>1685</v>
      </c>
      <c r="D1553" t="s">
        <v>18</v>
      </c>
      <c r="E1553" t="s">
        <v>19</v>
      </c>
      <c r="F1553" t="s">
        <v>124</v>
      </c>
      <c r="G1553">
        <v>4</v>
      </c>
      <c r="H1553" s="5">
        <v>14</v>
      </c>
      <c r="I1553" t="s">
        <v>101</v>
      </c>
      <c r="J1553" t="s">
        <v>102</v>
      </c>
      <c r="K1553" t="s">
        <v>193</v>
      </c>
      <c r="L1553" t="s">
        <v>2125</v>
      </c>
      <c r="M1553" s="5">
        <f t="shared" si="145"/>
        <v>56</v>
      </c>
      <c r="N1553" t="str">
        <f t="shared" si="146"/>
        <v>March</v>
      </c>
      <c r="O1553" t="str">
        <f t="shared" si="147"/>
        <v>Tuesday</v>
      </c>
      <c r="P1553">
        <f t="shared" si="144"/>
        <v>13</v>
      </c>
      <c r="Q1553" s="2">
        <f t="shared" si="148"/>
        <v>2</v>
      </c>
      <c r="R1553" s="2">
        <f t="shared" si="149"/>
        <v>3</v>
      </c>
      <c r="S1553">
        <f>SUMIF(Table1[product_category],"Bakery",Table1[Total_bill])</f>
        <v>2951.25</v>
      </c>
    </row>
    <row r="1554" spans="1:19" x14ac:dyDescent="0.3">
      <c r="A1554" s="2">
        <v>11553</v>
      </c>
      <c r="B1554" s="4">
        <v>47184</v>
      </c>
      <c r="C1554" t="s">
        <v>1686</v>
      </c>
      <c r="D1554" t="s">
        <v>18</v>
      </c>
      <c r="E1554" t="s">
        <v>19</v>
      </c>
      <c r="F1554" t="s">
        <v>126</v>
      </c>
      <c r="G1554">
        <v>2</v>
      </c>
      <c r="H1554" s="5">
        <v>3.25</v>
      </c>
      <c r="I1554" t="s">
        <v>36</v>
      </c>
      <c r="J1554" t="s">
        <v>211</v>
      </c>
      <c r="K1554" t="s">
        <v>239</v>
      </c>
      <c r="L1554" t="s">
        <v>2122</v>
      </c>
      <c r="M1554" s="5">
        <f t="shared" si="145"/>
        <v>6.5</v>
      </c>
      <c r="N1554" t="str">
        <f t="shared" si="146"/>
        <v>March</v>
      </c>
      <c r="O1554" t="str">
        <f t="shared" si="147"/>
        <v>Wednesday</v>
      </c>
      <c r="P1554">
        <f t="shared" si="144"/>
        <v>16</v>
      </c>
      <c r="Q1554" s="2">
        <f t="shared" si="148"/>
        <v>3</v>
      </c>
      <c r="R1554" s="2">
        <f t="shared" si="149"/>
        <v>3</v>
      </c>
      <c r="S1554">
        <f>SUMIF(Table1[product_category],"Bakery",Table1[Total_bill])</f>
        <v>2951.25</v>
      </c>
    </row>
    <row r="1555" spans="1:19" x14ac:dyDescent="0.3">
      <c r="A1555" s="2">
        <v>11554</v>
      </c>
      <c r="B1555" s="4">
        <v>47185</v>
      </c>
      <c r="C1555" t="s">
        <v>1687</v>
      </c>
      <c r="D1555" t="s">
        <v>18</v>
      </c>
      <c r="E1555" t="s">
        <v>19</v>
      </c>
      <c r="F1555" t="s">
        <v>128</v>
      </c>
      <c r="G1555">
        <v>3</v>
      </c>
      <c r="H1555" s="5">
        <v>3.5</v>
      </c>
      <c r="I1555" t="s">
        <v>36</v>
      </c>
      <c r="J1555" t="s">
        <v>37</v>
      </c>
      <c r="K1555" t="s">
        <v>62</v>
      </c>
      <c r="L1555" t="s">
        <v>2123</v>
      </c>
      <c r="M1555" s="5">
        <f t="shared" si="145"/>
        <v>10.5</v>
      </c>
      <c r="N1555" t="str">
        <f t="shared" si="146"/>
        <v>March</v>
      </c>
      <c r="O1555" t="str">
        <f t="shared" si="147"/>
        <v>Thursday</v>
      </c>
      <c r="P1555">
        <f t="shared" si="144"/>
        <v>17</v>
      </c>
      <c r="Q1555" s="2">
        <f t="shared" si="148"/>
        <v>4</v>
      </c>
      <c r="R1555" s="2">
        <f t="shared" si="149"/>
        <v>3</v>
      </c>
      <c r="S1555">
        <f>SUMIF(Table1[product_category],"Bakery",Table1[Total_bill])</f>
        <v>2951.25</v>
      </c>
    </row>
    <row r="1556" spans="1:19" x14ac:dyDescent="0.3">
      <c r="A1556" s="2">
        <v>11555</v>
      </c>
      <c r="B1556" s="4">
        <v>47186</v>
      </c>
      <c r="C1556" t="s">
        <v>1688</v>
      </c>
      <c r="D1556" t="s">
        <v>25</v>
      </c>
      <c r="E1556" t="s">
        <v>26</v>
      </c>
      <c r="F1556" t="s">
        <v>131</v>
      </c>
      <c r="G1556">
        <v>3</v>
      </c>
      <c r="H1556" s="5">
        <v>9.5</v>
      </c>
      <c r="I1556" t="s">
        <v>28</v>
      </c>
      <c r="J1556" t="s">
        <v>28</v>
      </c>
      <c r="K1556" t="s">
        <v>29</v>
      </c>
      <c r="L1556" t="s">
        <v>2125</v>
      </c>
      <c r="M1556" s="5">
        <f t="shared" si="145"/>
        <v>28.5</v>
      </c>
      <c r="N1556" t="str">
        <f t="shared" si="146"/>
        <v>March</v>
      </c>
      <c r="O1556" t="str">
        <f t="shared" si="147"/>
        <v>Friday</v>
      </c>
      <c r="P1556">
        <f t="shared" si="144"/>
        <v>8</v>
      </c>
      <c r="Q1556" s="2">
        <f t="shared" si="148"/>
        <v>5</v>
      </c>
      <c r="R1556" s="2">
        <f t="shared" si="149"/>
        <v>3</v>
      </c>
      <c r="S1556">
        <f>SUMIF(Table1[product_category],"Bakery",Table1[Total_bill])</f>
        <v>2951.25</v>
      </c>
    </row>
    <row r="1557" spans="1:19" x14ac:dyDescent="0.3">
      <c r="A1557" s="2">
        <v>11556</v>
      </c>
      <c r="B1557" s="4">
        <v>47187</v>
      </c>
      <c r="C1557" t="s">
        <v>1689</v>
      </c>
      <c r="D1557" t="s">
        <v>40</v>
      </c>
      <c r="E1557" t="s">
        <v>41</v>
      </c>
      <c r="F1557" t="s">
        <v>133</v>
      </c>
      <c r="G1557">
        <v>1</v>
      </c>
      <c r="H1557" s="5">
        <v>2.25</v>
      </c>
      <c r="I1557" t="s">
        <v>32</v>
      </c>
      <c r="J1557" t="s">
        <v>43</v>
      </c>
      <c r="K1557" t="s">
        <v>44</v>
      </c>
      <c r="L1557" t="s">
        <v>2124</v>
      </c>
      <c r="M1557" s="5">
        <f t="shared" si="145"/>
        <v>2.25</v>
      </c>
      <c r="N1557" t="str">
        <f t="shared" si="146"/>
        <v>March</v>
      </c>
      <c r="O1557" t="str">
        <f t="shared" si="147"/>
        <v>Saturday</v>
      </c>
      <c r="P1557">
        <f t="shared" si="144"/>
        <v>8</v>
      </c>
      <c r="Q1557" s="2">
        <f t="shared" si="148"/>
        <v>6</v>
      </c>
      <c r="R1557" s="2">
        <f t="shared" si="149"/>
        <v>3</v>
      </c>
      <c r="S1557">
        <f>SUMIF(Table1[product_category],"Bakery",Table1[Total_bill])</f>
        <v>2951.25</v>
      </c>
    </row>
    <row r="1558" spans="1:19" x14ac:dyDescent="0.3">
      <c r="A1558" s="2">
        <v>11557</v>
      </c>
      <c r="B1558" s="4">
        <v>47188</v>
      </c>
      <c r="C1558" t="s">
        <v>418</v>
      </c>
      <c r="D1558" t="s">
        <v>40</v>
      </c>
      <c r="E1558" t="s">
        <v>41</v>
      </c>
      <c r="F1558" t="s">
        <v>135</v>
      </c>
      <c r="G1558">
        <v>1</v>
      </c>
      <c r="H1558" s="5">
        <v>2.75</v>
      </c>
      <c r="I1558" t="s">
        <v>21</v>
      </c>
      <c r="J1558" t="s">
        <v>22</v>
      </c>
      <c r="K1558" t="s">
        <v>23</v>
      </c>
      <c r="L1558" t="s">
        <v>2125</v>
      </c>
      <c r="M1558" s="5">
        <f t="shared" si="145"/>
        <v>2.75</v>
      </c>
      <c r="N1558" t="str">
        <f t="shared" si="146"/>
        <v>March</v>
      </c>
      <c r="O1558" t="str">
        <f t="shared" si="147"/>
        <v>Sunday</v>
      </c>
      <c r="P1558">
        <f t="shared" si="144"/>
        <v>13</v>
      </c>
      <c r="Q1558" s="2">
        <f t="shared" si="148"/>
        <v>7</v>
      </c>
      <c r="R1558" s="2">
        <f t="shared" si="149"/>
        <v>3</v>
      </c>
      <c r="S1558">
        <f>SUMIF(Table1[product_category],"Bakery",Table1[Total_bill])</f>
        <v>2951.25</v>
      </c>
    </row>
    <row r="1559" spans="1:19" x14ac:dyDescent="0.3">
      <c r="A1559" s="2">
        <v>11558</v>
      </c>
      <c r="B1559" s="4">
        <v>47189</v>
      </c>
      <c r="C1559" t="s">
        <v>1690</v>
      </c>
      <c r="D1559" t="s">
        <v>40</v>
      </c>
      <c r="E1559" t="s">
        <v>41</v>
      </c>
      <c r="F1559" t="s">
        <v>137</v>
      </c>
      <c r="G1559">
        <v>1</v>
      </c>
      <c r="H1559" s="5">
        <v>2.25</v>
      </c>
      <c r="I1559" t="s">
        <v>21</v>
      </c>
      <c r="J1559" t="s">
        <v>58</v>
      </c>
      <c r="K1559" t="s">
        <v>59</v>
      </c>
      <c r="L1559" t="s">
        <v>2125</v>
      </c>
      <c r="M1559" s="5">
        <f t="shared" si="145"/>
        <v>2.25</v>
      </c>
      <c r="N1559" t="str">
        <f t="shared" si="146"/>
        <v>March</v>
      </c>
      <c r="O1559" t="str">
        <f t="shared" si="147"/>
        <v>Monday</v>
      </c>
      <c r="P1559">
        <f t="shared" si="144"/>
        <v>10</v>
      </c>
      <c r="Q1559" s="2">
        <f t="shared" si="148"/>
        <v>1</v>
      </c>
      <c r="R1559" s="2">
        <f t="shared" si="149"/>
        <v>3</v>
      </c>
      <c r="S1559">
        <f>SUMIF(Table1[product_category],"Bakery",Table1[Total_bill])</f>
        <v>2951.25</v>
      </c>
    </row>
    <row r="1560" spans="1:19" x14ac:dyDescent="0.3">
      <c r="A1560" s="2">
        <v>11559</v>
      </c>
      <c r="B1560" s="4">
        <v>47190</v>
      </c>
      <c r="C1560" t="s">
        <v>1691</v>
      </c>
      <c r="D1560" t="s">
        <v>40</v>
      </c>
      <c r="E1560" t="s">
        <v>41</v>
      </c>
      <c r="F1560" t="s">
        <v>140</v>
      </c>
      <c r="G1560">
        <v>4</v>
      </c>
      <c r="H1560" s="5">
        <v>9.5</v>
      </c>
      <c r="I1560" t="s">
        <v>28</v>
      </c>
      <c r="J1560" t="s">
        <v>28</v>
      </c>
      <c r="K1560" t="s">
        <v>29</v>
      </c>
      <c r="L1560" t="s">
        <v>2125</v>
      </c>
      <c r="M1560" s="5">
        <f t="shared" si="145"/>
        <v>38</v>
      </c>
      <c r="N1560" t="str">
        <f t="shared" si="146"/>
        <v>March</v>
      </c>
      <c r="O1560" t="str">
        <f t="shared" si="147"/>
        <v>Tuesday</v>
      </c>
      <c r="P1560">
        <f t="shared" si="144"/>
        <v>16</v>
      </c>
      <c r="Q1560" s="2">
        <f t="shared" si="148"/>
        <v>2</v>
      </c>
      <c r="R1560" s="2">
        <f t="shared" si="149"/>
        <v>3</v>
      </c>
      <c r="S1560">
        <f>SUMIF(Table1[product_category],"Bakery",Table1[Total_bill])</f>
        <v>2951.25</v>
      </c>
    </row>
    <row r="1561" spans="1:19" x14ac:dyDescent="0.3">
      <c r="A1561" s="2">
        <v>11560</v>
      </c>
      <c r="B1561" s="4">
        <v>47191</v>
      </c>
      <c r="C1561" t="s">
        <v>1692</v>
      </c>
      <c r="D1561" t="s">
        <v>25</v>
      </c>
      <c r="E1561" t="s">
        <v>26</v>
      </c>
      <c r="F1561" t="s">
        <v>143</v>
      </c>
      <c r="G1561">
        <v>1</v>
      </c>
      <c r="H1561" s="5">
        <v>2.5</v>
      </c>
      <c r="I1561" t="s">
        <v>21</v>
      </c>
      <c r="J1561" t="s">
        <v>47</v>
      </c>
      <c r="K1561" t="s">
        <v>48</v>
      </c>
      <c r="L1561" t="s">
        <v>2125</v>
      </c>
      <c r="M1561" s="5">
        <f t="shared" si="145"/>
        <v>2.5</v>
      </c>
      <c r="N1561" t="str">
        <f t="shared" si="146"/>
        <v>March</v>
      </c>
      <c r="O1561" t="str">
        <f t="shared" si="147"/>
        <v>Wednesday</v>
      </c>
      <c r="P1561">
        <f t="shared" si="144"/>
        <v>18</v>
      </c>
      <c r="Q1561" s="2">
        <f t="shared" si="148"/>
        <v>3</v>
      </c>
      <c r="R1561" s="2">
        <f t="shared" si="149"/>
        <v>3</v>
      </c>
      <c r="S1561">
        <f>SUMIF(Table1[product_category],"Bakery",Table1[Total_bill])</f>
        <v>2951.25</v>
      </c>
    </row>
    <row r="1562" spans="1:19" x14ac:dyDescent="0.3">
      <c r="A1562" s="2">
        <v>11561</v>
      </c>
      <c r="B1562" s="4">
        <v>47192</v>
      </c>
      <c r="C1562" t="s">
        <v>1693</v>
      </c>
      <c r="D1562" t="s">
        <v>18</v>
      </c>
      <c r="E1562" t="s">
        <v>19</v>
      </c>
      <c r="F1562" t="s">
        <v>146</v>
      </c>
      <c r="G1562">
        <v>4</v>
      </c>
      <c r="H1562" s="5">
        <v>3.5</v>
      </c>
      <c r="I1562" t="s">
        <v>36</v>
      </c>
      <c r="J1562" t="s">
        <v>37</v>
      </c>
      <c r="K1562" t="s">
        <v>62</v>
      </c>
      <c r="L1562" t="s">
        <v>2123</v>
      </c>
      <c r="M1562" s="5">
        <f t="shared" si="145"/>
        <v>14</v>
      </c>
      <c r="N1562" t="str">
        <f t="shared" si="146"/>
        <v>March</v>
      </c>
      <c r="O1562" t="str">
        <f t="shared" si="147"/>
        <v>Thursday</v>
      </c>
      <c r="P1562">
        <f t="shared" si="144"/>
        <v>10</v>
      </c>
      <c r="Q1562" s="2">
        <f t="shared" si="148"/>
        <v>4</v>
      </c>
      <c r="R1562" s="2">
        <f t="shared" si="149"/>
        <v>3</v>
      </c>
      <c r="S1562">
        <f>SUMIF(Table1[product_category],"Bakery",Table1[Total_bill])</f>
        <v>2951.25</v>
      </c>
    </row>
    <row r="1563" spans="1:19" x14ac:dyDescent="0.3">
      <c r="A1563" s="2">
        <v>11562</v>
      </c>
      <c r="B1563" s="4">
        <v>47193</v>
      </c>
      <c r="C1563" t="s">
        <v>1694</v>
      </c>
      <c r="D1563" t="s">
        <v>25</v>
      </c>
      <c r="E1563" t="s">
        <v>26</v>
      </c>
      <c r="F1563" t="s">
        <v>148</v>
      </c>
      <c r="G1563">
        <v>3</v>
      </c>
      <c r="H1563" s="5">
        <v>3.75</v>
      </c>
      <c r="I1563" t="s">
        <v>36</v>
      </c>
      <c r="J1563" t="s">
        <v>211</v>
      </c>
      <c r="K1563" t="s">
        <v>212</v>
      </c>
      <c r="L1563" t="s">
        <v>2124</v>
      </c>
      <c r="M1563" s="5">
        <f t="shared" si="145"/>
        <v>11.25</v>
      </c>
      <c r="N1563" t="str">
        <f t="shared" si="146"/>
        <v>March</v>
      </c>
      <c r="O1563" t="str">
        <f t="shared" si="147"/>
        <v>Friday</v>
      </c>
      <c r="P1563">
        <f t="shared" si="144"/>
        <v>8</v>
      </c>
      <c r="Q1563" s="2">
        <f t="shared" si="148"/>
        <v>5</v>
      </c>
      <c r="R1563" s="2">
        <f t="shared" si="149"/>
        <v>3</v>
      </c>
      <c r="S1563">
        <f>SUMIF(Table1[product_category],"Bakery",Table1[Total_bill])</f>
        <v>2951.25</v>
      </c>
    </row>
    <row r="1564" spans="1:19" x14ac:dyDescent="0.3">
      <c r="A1564" s="2">
        <v>11563</v>
      </c>
      <c r="B1564" s="4">
        <v>47194</v>
      </c>
      <c r="C1564" t="s">
        <v>1695</v>
      </c>
      <c r="D1564" t="s">
        <v>25</v>
      </c>
      <c r="E1564" t="s">
        <v>26</v>
      </c>
      <c r="F1564" t="s">
        <v>150</v>
      </c>
      <c r="G1564">
        <v>4</v>
      </c>
      <c r="H1564" s="5">
        <v>3</v>
      </c>
      <c r="I1564" t="s">
        <v>32</v>
      </c>
      <c r="J1564" t="s">
        <v>226</v>
      </c>
      <c r="K1564" t="s">
        <v>227</v>
      </c>
      <c r="L1564" t="s">
        <v>2124</v>
      </c>
      <c r="M1564" s="5">
        <f t="shared" si="145"/>
        <v>12</v>
      </c>
      <c r="N1564" t="str">
        <f t="shared" si="146"/>
        <v>March</v>
      </c>
      <c r="O1564" t="str">
        <f t="shared" si="147"/>
        <v>Saturday</v>
      </c>
      <c r="P1564">
        <f t="shared" si="144"/>
        <v>16</v>
      </c>
      <c r="Q1564" s="2">
        <f t="shared" si="148"/>
        <v>6</v>
      </c>
      <c r="R1564" s="2">
        <f t="shared" si="149"/>
        <v>3</v>
      </c>
      <c r="S1564">
        <f>SUMIF(Table1[product_category],"Bakery",Table1[Total_bill])</f>
        <v>2951.25</v>
      </c>
    </row>
    <row r="1565" spans="1:19" x14ac:dyDescent="0.3">
      <c r="A1565" s="2">
        <v>11564</v>
      </c>
      <c r="B1565" s="4">
        <v>47195</v>
      </c>
      <c r="C1565" t="s">
        <v>1696</v>
      </c>
      <c r="D1565" t="s">
        <v>18</v>
      </c>
      <c r="E1565" t="s">
        <v>19</v>
      </c>
      <c r="F1565" t="s">
        <v>152</v>
      </c>
      <c r="G1565">
        <v>3</v>
      </c>
      <c r="H1565" s="5">
        <v>2.5</v>
      </c>
      <c r="I1565" t="s">
        <v>21</v>
      </c>
      <c r="J1565" t="s">
        <v>47</v>
      </c>
      <c r="K1565" t="s">
        <v>48</v>
      </c>
      <c r="L1565" t="s">
        <v>2125</v>
      </c>
      <c r="M1565" s="5">
        <f t="shared" si="145"/>
        <v>7.5</v>
      </c>
      <c r="N1565" t="str">
        <f t="shared" si="146"/>
        <v>March</v>
      </c>
      <c r="O1565" t="str">
        <f t="shared" si="147"/>
        <v>Sunday</v>
      </c>
      <c r="P1565">
        <f t="shared" si="144"/>
        <v>9</v>
      </c>
      <c r="Q1565" s="2">
        <f t="shared" si="148"/>
        <v>7</v>
      </c>
      <c r="R1565" s="2">
        <f t="shared" si="149"/>
        <v>3</v>
      </c>
      <c r="S1565">
        <f>SUMIF(Table1[product_category],"Bakery",Table1[Total_bill])</f>
        <v>2951.25</v>
      </c>
    </row>
    <row r="1566" spans="1:19" x14ac:dyDescent="0.3">
      <c r="A1566" s="2">
        <v>11565</v>
      </c>
      <c r="B1566" s="4">
        <v>47196</v>
      </c>
      <c r="C1566" t="s">
        <v>1697</v>
      </c>
      <c r="D1566" t="s">
        <v>25</v>
      </c>
      <c r="E1566" t="s">
        <v>26</v>
      </c>
      <c r="F1566" t="s">
        <v>154</v>
      </c>
      <c r="G1566">
        <v>1</v>
      </c>
      <c r="H1566" s="5">
        <v>2.5</v>
      </c>
      <c r="I1566" t="s">
        <v>21</v>
      </c>
      <c r="J1566" t="s">
        <v>47</v>
      </c>
      <c r="K1566" t="s">
        <v>48</v>
      </c>
      <c r="L1566" t="s">
        <v>2125</v>
      </c>
      <c r="M1566" s="5">
        <f t="shared" si="145"/>
        <v>2.5</v>
      </c>
      <c r="N1566" t="str">
        <f t="shared" si="146"/>
        <v>March</v>
      </c>
      <c r="O1566" t="str">
        <f t="shared" si="147"/>
        <v>Monday</v>
      </c>
      <c r="P1566">
        <f t="shared" si="144"/>
        <v>16</v>
      </c>
      <c r="Q1566" s="2">
        <f t="shared" si="148"/>
        <v>1</v>
      </c>
      <c r="R1566" s="2">
        <f t="shared" si="149"/>
        <v>3</v>
      </c>
      <c r="S1566">
        <f>SUMIF(Table1[product_category],"Bakery",Table1[Total_bill])</f>
        <v>2951.25</v>
      </c>
    </row>
    <row r="1567" spans="1:19" x14ac:dyDescent="0.3">
      <c r="A1567" s="2">
        <v>11566</v>
      </c>
      <c r="B1567" s="4">
        <v>47197</v>
      </c>
      <c r="C1567" t="s">
        <v>1698</v>
      </c>
      <c r="D1567" t="s">
        <v>25</v>
      </c>
      <c r="E1567" t="s">
        <v>26</v>
      </c>
      <c r="F1567" t="s">
        <v>156</v>
      </c>
      <c r="G1567">
        <v>4</v>
      </c>
      <c r="H1567" s="5">
        <v>4.75</v>
      </c>
      <c r="I1567" t="s">
        <v>32</v>
      </c>
      <c r="J1567" t="s">
        <v>69</v>
      </c>
      <c r="K1567" t="s">
        <v>69</v>
      </c>
      <c r="L1567" t="s">
        <v>2123</v>
      </c>
      <c r="M1567" s="5">
        <f t="shared" si="145"/>
        <v>19</v>
      </c>
      <c r="N1567" t="str">
        <f t="shared" si="146"/>
        <v>March</v>
      </c>
      <c r="O1567" t="str">
        <f t="shared" si="147"/>
        <v>Tuesday</v>
      </c>
      <c r="P1567">
        <f t="shared" si="144"/>
        <v>10</v>
      </c>
      <c r="Q1567" s="2">
        <f t="shared" si="148"/>
        <v>2</v>
      </c>
      <c r="R1567" s="2">
        <f t="shared" si="149"/>
        <v>3</v>
      </c>
      <c r="S1567">
        <f>SUMIF(Table1[product_category],"Bakery",Table1[Total_bill])</f>
        <v>2951.25</v>
      </c>
    </row>
    <row r="1568" spans="1:19" x14ac:dyDescent="0.3">
      <c r="A1568" s="2">
        <v>11567</v>
      </c>
      <c r="B1568" s="4">
        <v>47198</v>
      </c>
      <c r="C1568" t="s">
        <v>1699</v>
      </c>
      <c r="D1568" t="s">
        <v>18</v>
      </c>
      <c r="E1568" t="s">
        <v>19</v>
      </c>
      <c r="F1568" t="s">
        <v>158</v>
      </c>
      <c r="G1568">
        <v>1</v>
      </c>
      <c r="H1568" s="5">
        <v>3</v>
      </c>
      <c r="I1568" t="s">
        <v>32</v>
      </c>
      <c r="J1568" t="s">
        <v>55</v>
      </c>
      <c r="K1568" t="s">
        <v>55</v>
      </c>
      <c r="L1568" t="s">
        <v>2122</v>
      </c>
      <c r="M1568" s="5">
        <f t="shared" si="145"/>
        <v>3</v>
      </c>
      <c r="N1568" t="str">
        <f t="shared" si="146"/>
        <v>March</v>
      </c>
      <c r="O1568" t="str">
        <f t="shared" si="147"/>
        <v>Wednesday</v>
      </c>
      <c r="P1568">
        <f t="shared" si="144"/>
        <v>14</v>
      </c>
      <c r="Q1568" s="2">
        <f t="shared" si="148"/>
        <v>3</v>
      </c>
      <c r="R1568" s="2">
        <f t="shared" si="149"/>
        <v>3</v>
      </c>
      <c r="S1568">
        <f>SUMIF(Table1[product_category],"Bakery",Table1[Total_bill])</f>
        <v>2951.25</v>
      </c>
    </row>
    <row r="1569" spans="1:19" x14ac:dyDescent="0.3">
      <c r="A1569" s="2">
        <v>11568</v>
      </c>
      <c r="B1569" s="4">
        <v>47199</v>
      </c>
      <c r="C1569" t="s">
        <v>1700</v>
      </c>
      <c r="D1569" t="s">
        <v>18</v>
      </c>
      <c r="E1569" t="s">
        <v>19</v>
      </c>
      <c r="F1569" t="s">
        <v>160</v>
      </c>
      <c r="G1569">
        <v>1</v>
      </c>
      <c r="H1569" s="5">
        <v>3.75</v>
      </c>
      <c r="I1569" t="s">
        <v>32</v>
      </c>
      <c r="J1569" t="s">
        <v>69</v>
      </c>
      <c r="K1569" t="s">
        <v>69</v>
      </c>
      <c r="L1569" t="s">
        <v>2122</v>
      </c>
      <c r="M1569" s="5">
        <f t="shared" si="145"/>
        <v>3.75</v>
      </c>
      <c r="N1569" t="str">
        <f t="shared" si="146"/>
        <v>March</v>
      </c>
      <c r="O1569" t="str">
        <f t="shared" si="147"/>
        <v>Thursday</v>
      </c>
      <c r="P1569">
        <f t="shared" si="144"/>
        <v>7</v>
      </c>
      <c r="Q1569" s="2">
        <f t="shared" si="148"/>
        <v>4</v>
      </c>
      <c r="R1569" s="2">
        <f t="shared" si="149"/>
        <v>3</v>
      </c>
      <c r="S1569">
        <f>SUMIF(Table1[product_category],"Bakery",Table1[Total_bill])</f>
        <v>2951.25</v>
      </c>
    </row>
    <row r="1570" spans="1:19" x14ac:dyDescent="0.3">
      <c r="A1570" s="2">
        <v>11569</v>
      </c>
      <c r="B1570" s="4">
        <v>47200</v>
      </c>
      <c r="C1570" t="s">
        <v>1701</v>
      </c>
      <c r="D1570" t="s">
        <v>18</v>
      </c>
      <c r="E1570" t="s">
        <v>19</v>
      </c>
      <c r="F1570" t="s">
        <v>162</v>
      </c>
      <c r="G1570">
        <v>1</v>
      </c>
      <c r="H1570" s="5">
        <v>13</v>
      </c>
      <c r="I1570" t="s">
        <v>98</v>
      </c>
      <c r="J1570" t="s">
        <v>98</v>
      </c>
      <c r="K1570" t="s">
        <v>95</v>
      </c>
      <c r="L1570" t="s">
        <v>2125</v>
      </c>
      <c r="M1570" s="5">
        <f t="shared" si="145"/>
        <v>13</v>
      </c>
      <c r="N1570" t="str">
        <f t="shared" si="146"/>
        <v>March</v>
      </c>
      <c r="O1570" t="str">
        <f t="shared" si="147"/>
        <v>Friday</v>
      </c>
      <c r="P1570">
        <f t="shared" si="144"/>
        <v>13</v>
      </c>
      <c r="Q1570" s="2">
        <f t="shared" si="148"/>
        <v>5</v>
      </c>
      <c r="R1570" s="2">
        <f t="shared" si="149"/>
        <v>3</v>
      </c>
      <c r="S1570">
        <f>SUMIF(Table1[product_category],"Bakery",Table1[Total_bill])</f>
        <v>2951.25</v>
      </c>
    </row>
    <row r="1571" spans="1:19" x14ac:dyDescent="0.3">
      <c r="A1571" s="2">
        <v>11570</v>
      </c>
      <c r="B1571" s="4">
        <v>47201</v>
      </c>
      <c r="C1571" t="s">
        <v>1702</v>
      </c>
      <c r="D1571" t="s">
        <v>18</v>
      </c>
      <c r="E1571" t="s">
        <v>19</v>
      </c>
      <c r="F1571" t="s">
        <v>164</v>
      </c>
      <c r="G1571">
        <v>4</v>
      </c>
      <c r="H1571" s="5">
        <v>4</v>
      </c>
      <c r="I1571" t="s">
        <v>32</v>
      </c>
      <c r="J1571" t="s">
        <v>94</v>
      </c>
      <c r="K1571" t="s">
        <v>95</v>
      </c>
      <c r="L1571" t="s">
        <v>2124</v>
      </c>
      <c r="M1571" s="5">
        <f t="shared" si="145"/>
        <v>16</v>
      </c>
      <c r="N1571" t="str">
        <f t="shared" si="146"/>
        <v>March</v>
      </c>
      <c r="O1571" t="str">
        <f t="shared" si="147"/>
        <v>Saturday</v>
      </c>
      <c r="P1571">
        <f t="shared" si="144"/>
        <v>11</v>
      </c>
      <c r="Q1571" s="2">
        <f t="shared" si="148"/>
        <v>6</v>
      </c>
      <c r="R1571" s="2">
        <f t="shared" si="149"/>
        <v>3</v>
      </c>
      <c r="S1571">
        <f>SUMIF(Table1[product_category],"Bakery",Table1[Total_bill])</f>
        <v>2951.25</v>
      </c>
    </row>
    <row r="1572" spans="1:19" x14ac:dyDescent="0.3">
      <c r="A1572" s="2">
        <v>11571</v>
      </c>
      <c r="B1572" s="4">
        <v>47202</v>
      </c>
      <c r="C1572" t="s">
        <v>1703</v>
      </c>
      <c r="D1572" t="s">
        <v>40</v>
      </c>
      <c r="E1572" t="s">
        <v>41</v>
      </c>
      <c r="F1572" t="s">
        <v>166</v>
      </c>
      <c r="G1572">
        <v>1</v>
      </c>
      <c r="H1572" s="5">
        <v>3.5</v>
      </c>
      <c r="I1572" t="s">
        <v>36</v>
      </c>
      <c r="J1572" t="s">
        <v>37</v>
      </c>
      <c r="K1572" t="s">
        <v>62</v>
      </c>
      <c r="L1572" t="s">
        <v>2123</v>
      </c>
      <c r="M1572" s="5">
        <f t="shared" si="145"/>
        <v>3.5</v>
      </c>
      <c r="N1572" t="str">
        <f t="shared" si="146"/>
        <v>March</v>
      </c>
      <c r="O1572" t="str">
        <f t="shared" si="147"/>
        <v>Sunday</v>
      </c>
      <c r="P1572">
        <f t="shared" si="144"/>
        <v>13</v>
      </c>
      <c r="Q1572" s="2">
        <f t="shared" si="148"/>
        <v>7</v>
      </c>
      <c r="R1572" s="2">
        <f t="shared" si="149"/>
        <v>3</v>
      </c>
      <c r="S1572">
        <f>SUMIF(Table1[product_category],"Bakery",Table1[Total_bill])</f>
        <v>2951.25</v>
      </c>
    </row>
    <row r="1573" spans="1:19" x14ac:dyDescent="0.3">
      <c r="A1573" s="2">
        <v>11572</v>
      </c>
      <c r="B1573" s="4">
        <v>47203</v>
      </c>
      <c r="C1573" t="s">
        <v>1704</v>
      </c>
      <c r="D1573" t="s">
        <v>40</v>
      </c>
      <c r="E1573" t="s">
        <v>41</v>
      </c>
      <c r="F1573" t="s">
        <v>168</v>
      </c>
      <c r="G1573">
        <v>1</v>
      </c>
      <c r="H1573" s="5">
        <v>3.25</v>
      </c>
      <c r="I1573" t="s">
        <v>32</v>
      </c>
      <c r="J1573" t="s">
        <v>144</v>
      </c>
      <c r="K1573" t="s">
        <v>144</v>
      </c>
      <c r="L1573" t="s">
        <v>2124</v>
      </c>
      <c r="M1573" s="5">
        <f t="shared" si="145"/>
        <v>3.25</v>
      </c>
      <c r="N1573" t="str">
        <f t="shared" si="146"/>
        <v>March</v>
      </c>
      <c r="O1573" t="str">
        <f t="shared" si="147"/>
        <v>Monday</v>
      </c>
      <c r="P1573">
        <f t="shared" si="144"/>
        <v>8</v>
      </c>
      <c r="Q1573" s="2">
        <f t="shared" si="148"/>
        <v>1</v>
      </c>
      <c r="R1573" s="2">
        <f t="shared" si="149"/>
        <v>3</v>
      </c>
      <c r="S1573">
        <f>SUMIF(Table1[product_category],"Bakery",Table1[Total_bill])</f>
        <v>2951.25</v>
      </c>
    </row>
    <row r="1574" spans="1:19" x14ac:dyDescent="0.3">
      <c r="A1574" s="2">
        <v>11573</v>
      </c>
      <c r="B1574" s="4">
        <v>47204</v>
      </c>
      <c r="C1574" t="s">
        <v>1705</v>
      </c>
      <c r="D1574" t="s">
        <v>18</v>
      </c>
      <c r="E1574" t="s">
        <v>19</v>
      </c>
      <c r="F1574" t="s">
        <v>170</v>
      </c>
      <c r="G1574">
        <v>1</v>
      </c>
      <c r="H1574" s="5">
        <v>2.5</v>
      </c>
      <c r="I1574" t="s">
        <v>36</v>
      </c>
      <c r="J1574" t="s">
        <v>37</v>
      </c>
      <c r="K1574" t="s">
        <v>38</v>
      </c>
      <c r="L1574" t="s">
        <v>2122</v>
      </c>
      <c r="M1574" s="5">
        <f t="shared" si="145"/>
        <v>2.5</v>
      </c>
      <c r="N1574" t="str">
        <f t="shared" si="146"/>
        <v>March</v>
      </c>
      <c r="O1574" t="str">
        <f t="shared" si="147"/>
        <v>Tuesday</v>
      </c>
      <c r="P1574">
        <f t="shared" si="144"/>
        <v>15</v>
      </c>
      <c r="Q1574" s="2">
        <f t="shared" si="148"/>
        <v>2</v>
      </c>
      <c r="R1574" s="2">
        <f t="shared" si="149"/>
        <v>3</v>
      </c>
      <c r="S1574">
        <f>SUMIF(Table1[product_category],"Bakery",Table1[Total_bill])</f>
        <v>2951.25</v>
      </c>
    </row>
    <row r="1575" spans="1:19" x14ac:dyDescent="0.3">
      <c r="A1575" s="2">
        <v>11574</v>
      </c>
      <c r="B1575" s="4">
        <v>47205</v>
      </c>
      <c r="C1575" t="s">
        <v>1706</v>
      </c>
      <c r="D1575" t="s">
        <v>25</v>
      </c>
      <c r="E1575" t="s">
        <v>26</v>
      </c>
      <c r="F1575" t="s">
        <v>172</v>
      </c>
      <c r="G1575">
        <v>2</v>
      </c>
      <c r="H1575" s="5">
        <v>3.5</v>
      </c>
      <c r="I1575" t="s">
        <v>36</v>
      </c>
      <c r="J1575" t="s">
        <v>37</v>
      </c>
      <c r="K1575" t="s">
        <v>38</v>
      </c>
      <c r="L1575" t="s">
        <v>2123</v>
      </c>
      <c r="M1575" s="5">
        <f t="shared" si="145"/>
        <v>7</v>
      </c>
      <c r="N1575" t="str">
        <f t="shared" si="146"/>
        <v>March</v>
      </c>
      <c r="O1575" t="str">
        <f t="shared" si="147"/>
        <v>Wednesday</v>
      </c>
      <c r="P1575">
        <f t="shared" si="144"/>
        <v>17</v>
      </c>
      <c r="Q1575" s="2">
        <f t="shared" si="148"/>
        <v>3</v>
      </c>
      <c r="R1575" s="2">
        <f t="shared" si="149"/>
        <v>3</v>
      </c>
      <c r="S1575">
        <f>SUMIF(Table1[product_category],"Bakery",Table1[Total_bill])</f>
        <v>2951.25</v>
      </c>
    </row>
    <row r="1576" spans="1:19" x14ac:dyDescent="0.3">
      <c r="A1576" s="2">
        <v>11575</v>
      </c>
      <c r="B1576" s="4">
        <v>47206</v>
      </c>
      <c r="C1576" t="s">
        <v>1707</v>
      </c>
      <c r="D1576" t="s">
        <v>40</v>
      </c>
      <c r="E1576" t="s">
        <v>41</v>
      </c>
      <c r="F1576" t="s">
        <v>174</v>
      </c>
      <c r="G1576">
        <v>4</v>
      </c>
      <c r="H1576" s="5">
        <v>11</v>
      </c>
      <c r="I1576" t="s">
        <v>98</v>
      </c>
      <c r="J1576" t="s">
        <v>98</v>
      </c>
      <c r="K1576" t="s">
        <v>215</v>
      </c>
      <c r="L1576" t="s">
        <v>2125</v>
      </c>
      <c r="M1576" s="5">
        <f t="shared" si="145"/>
        <v>44</v>
      </c>
      <c r="N1576" t="str">
        <f t="shared" si="146"/>
        <v>March</v>
      </c>
      <c r="O1576" t="str">
        <f t="shared" si="147"/>
        <v>Thursday</v>
      </c>
      <c r="P1576">
        <f t="shared" si="144"/>
        <v>8</v>
      </c>
      <c r="Q1576" s="2">
        <f t="shared" si="148"/>
        <v>4</v>
      </c>
      <c r="R1576" s="2">
        <f t="shared" si="149"/>
        <v>3</v>
      </c>
      <c r="S1576">
        <f>SUMIF(Table1[product_category],"Bakery",Table1[Total_bill])</f>
        <v>2951.25</v>
      </c>
    </row>
    <row r="1577" spans="1:19" x14ac:dyDescent="0.3">
      <c r="A1577" s="2">
        <v>11576</v>
      </c>
      <c r="B1577" s="4">
        <v>47207</v>
      </c>
      <c r="C1577" t="s">
        <v>1708</v>
      </c>
      <c r="D1577" t="s">
        <v>25</v>
      </c>
      <c r="E1577" t="s">
        <v>26</v>
      </c>
      <c r="F1577" t="s">
        <v>176</v>
      </c>
      <c r="G1577">
        <v>1</v>
      </c>
      <c r="H1577" s="5">
        <v>4</v>
      </c>
      <c r="I1577" t="s">
        <v>32</v>
      </c>
      <c r="J1577" t="s">
        <v>122</v>
      </c>
      <c r="K1577" t="s">
        <v>122</v>
      </c>
      <c r="L1577" t="s">
        <v>2124</v>
      </c>
      <c r="M1577" s="5">
        <f t="shared" si="145"/>
        <v>4</v>
      </c>
      <c r="N1577" t="str">
        <f t="shared" si="146"/>
        <v>March</v>
      </c>
      <c r="O1577" t="str">
        <f t="shared" si="147"/>
        <v>Friday</v>
      </c>
      <c r="P1577">
        <f t="shared" si="144"/>
        <v>7</v>
      </c>
      <c r="Q1577" s="2">
        <f t="shared" si="148"/>
        <v>5</v>
      </c>
      <c r="R1577" s="2">
        <f t="shared" si="149"/>
        <v>3</v>
      </c>
      <c r="S1577">
        <f>SUMIF(Table1[product_category],"Bakery",Table1[Total_bill])</f>
        <v>2951.25</v>
      </c>
    </row>
    <row r="1578" spans="1:19" x14ac:dyDescent="0.3">
      <c r="A1578" s="2">
        <v>11577</v>
      </c>
      <c r="B1578" s="4">
        <v>47208</v>
      </c>
      <c r="C1578" t="s">
        <v>1709</v>
      </c>
      <c r="D1578" t="s">
        <v>40</v>
      </c>
      <c r="E1578" t="s">
        <v>41</v>
      </c>
      <c r="F1578" t="s">
        <v>178</v>
      </c>
      <c r="G1578">
        <v>3</v>
      </c>
      <c r="H1578" s="5">
        <v>14</v>
      </c>
      <c r="I1578" t="s">
        <v>101</v>
      </c>
      <c r="J1578" t="s">
        <v>102</v>
      </c>
      <c r="K1578" t="s">
        <v>193</v>
      </c>
      <c r="L1578" t="s">
        <v>2125</v>
      </c>
      <c r="M1578" s="5">
        <f t="shared" si="145"/>
        <v>42</v>
      </c>
      <c r="N1578" t="str">
        <f t="shared" si="146"/>
        <v>March</v>
      </c>
      <c r="O1578" t="str">
        <f t="shared" si="147"/>
        <v>Saturday</v>
      </c>
      <c r="P1578">
        <f t="shared" si="144"/>
        <v>6</v>
      </c>
      <c r="Q1578" s="2">
        <f t="shared" si="148"/>
        <v>6</v>
      </c>
      <c r="R1578" s="2">
        <f t="shared" si="149"/>
        <v>3</v>
      </c>
      <c r="S1578">
        <f>SUMIF(Table1[product_category],"Bakery",Table1[Total_bill])</f>
        <v>2951.25</v>
      </c>
    </row>
    <row r="1579" spans="1:19" x14ac:dyDescent="0.3">
      <c r="A1579" s="2">
        <v>11578</v>
      </c>
      <c r="B1579" s="4">
        <v>47209</v>
      </c>
      <c r="C1579" t="s">
        <v>1710</v>
      </c>
      <c r="D1579" t="s">
        <v>18</v>
      </c>
      <c r="E1579" t="s">
        <v>19</v>
      </c>
      <c r="F1579" t="s">
        <v>180</v>
      </c>
      <c r="G1579">
        <v>4</v>
      </c>
      <c r="H1579" s="5">
        <v>4.25</v>
      </c>
      <c r="I1579" t="s">
        <v>32</v>
      </c>
      <c r="J1579" t="s">
        <v>202</v>
      </c>
      <c r="K1579" t="s">
        <v>202</v>
      </c>
      <c r="L1579" t="s">
        <v>2124</v>
      </c>
      <c r="M1579" s="5">
        <f t="shared" si="145"/>
        <v>17</v>
      </c>
      <c r="N1579" t="str">
        <f t="shared" si="146"/>
        <v>April</v>
      </c>
      <c r="O1579" t="str">
        <f t="shared" si="147"/>
        <v>Sunday</v>
      </c>
      <c r="P1579">
        <f t="shared" si="144"/>
        <v>14</v>
      </c>
      <c r="Q1579" s="2">
        <f t="shared" si="148"/>
        <v>7</v>
      </c>
      <c r="R1579" s="2">
        <f t="shared" si="149"/>
        <v>4</v>
      </c>
      <c r="S1579">
        <f>SUMIF(Table1[product_category],"Bakery",Table1[Total_bill])</f>
        <v>2951.25</v>
      </c>
    </row>
    <row r="1580" spans="1:19" x14ac:dyDescent="0.3">
      <c r="A1580" s="2">
        <v>11579</v>
      </c>
      <c r="B1580" s="4">
        <v>47210</v>
      </c>
      <c r="C1580" t="s">
        <v>1711</v>
      </c>
      <c r="D1580" t="s">
        <v>40</v>
      </c>
      <c r="E1580" t="s">
        <v>41</v>
      </c>
      <c r="F1580" t="s">
        <v>184</v>
      </c>
      <c r="G1580">
        <v>1</v>
      </c>
      <c r="H1580" s="5">
        <v>2.25</v>
      </c>
      <c r="I1580" t="s">
        <v>21</v>
      </c>
      <c r="J1580" t="s">
        <v>58</v>
      </c>
      <c r="K1580" t="s">
        <v>59</v>
      </c>
      <c r="L1580" t="s">
        <v>2125</v>
      </c>
      <c r="M1580" s="5">
        <f t="shared" si="145"/>
        <v>2.25</v>
      </c>
      <c r="N1580" t="str">
        <f t="shared" si="146"/>
        <v>April</v>
      </c>
      <c r="O1580" t="str">
        <f t="shared" si="147"/>
        <v>Monday</v>
      </c>
      <c r="P1580">
        <f t="shared" si="144"/>
        <v>13</v>
      </c>
      <c r="Q1580" s="2">
        <f t="shared" si="148"/>
        <v>1</v>
      </c>
      <c r="R1580" s="2">
        <f t="shared" si="149"/>
        <v>4</v>
      </c>
      <c r="S1580">
        <f>SUMIF(Table1[product_category],"Bakery",Table1[Total_bill])</f>
        <v>2951.25</v>
      </c>
    </row>
    <row r="1581" spans="1:19" x14ac:dyDescent="0.3">
      <c r="A1581" s="2">
        <v>11580</v>
      </c>
      <c r="B1581" s="4">
        <v>47211</v>
      </c>
      <c r="C1581" t="s">
        <v>1712</v>
      </c>
      <c r="D1581" t="s">
        <v>18</v>
      </c>
      <c r="E1581" t="s">
        <v>19</v>
      </c>
      <c r="F1581" t="s">
        <v>186</v>
      </c>
      <c r="G1581">
        <v>2</v>
      </c>
      <c r="H1581" s="5">
        <v>4.25</v>
      </c>
      <c r="I1581" t="s">
        <v>32</v>
      </c>
      <c r="J1581" t="s">
        <v>202</v>
      </c>
      <c r="K1581" t="s">
        <v>202</v>
      </c>
      <c r="L1581" t="s">
        <v>2124</v>
      </c>
      <c r="M1581" s="5">
        <f t="shared" si="145"/>
        <v>8.5</v>
      </c>
      <c r="N1581" t="str">
        <f t="shared" si="146"/>
        <v>April</v>
      </c>
      <c r="O1581" t="str">
        <f t="shared" si="147"/>
        <v>Tuesday</v>
      </c>
      <c r="P1581">
        <f t="shared" si="144"/>
        <v>12</v>
      </c>
      <c r="Q1581" s="2">
        <f t="shared" si="148"/>
        <v>2</v>
      </c>
      <c r="R1581" s="2">
        <f t="shared" si="149"/>
        <v>4</v>
      </c>
      <c r="S1581">
        <f>SUMIF(Table1[product_category],"Bakery",Table1[Total_bill])</f>
        <v>2951.25</v>
      </c>
    </row>
    <row r="1582" spans="1:19" x14ac:dyDescent="0.3">
      <c r="A1582" s="2">
        <v>11581</v>
      </c>
      <c r="B1582" s="4">
        <v>47212</v>
      </c>
      <c r="C1582" t="s">
        <v>1713</v>
      </c>
      <c r="D1582" t="s">
        <v>18</v>
      </c>
      <c r="E1582" t="s">
        <v>19</v>
      </c>
      <c r="F1582" t="s">
        <v>188</v>
      </c>
      <c r="G1582">
        <v>3</v>
      </c>
      <c r="H1582" s="5">
        <v>4</v>
      </c>
      <c r="I1582" t="s">
        <v>32</v>
      </c>
      <c r="J1582" t="s">
        <v>94</v>
      </c>
      <c r="K1582" t="s">
        <v>95</v>
      </c>
      <c r="L1582" t="s">
        <v>2124</v>
      </c>
      <c r="M1582" s="5">
        <f t="shared" si="145"/>
        <v>12</v>
      </c>
      <c r="N1582" t="str">
        <f t="shared" si="146"/>
        <v>April</v>
      </c>
      <c r="O1582" t="str">
        <f t="shared" si="147"/>
        <v>Wednesday</v>
      </c>
      <c r="P1582">
        <f t="shared" si="144"/>
        <v>8</v>
      </c>
      <c r="Q1582" s="2">
        <f t="shared" si="148"/>
        <v>3</v>
      </c>
      <c r="R1582" s="2">
        <f t="shared" si="149"/>
        <v>4</v>
      </c>
      <c r="S1582">
        <f>SUMIF(Table1[product_category],"Bakery",Table1[Total_bill])</f>
        <v>2951.25</v>
      </c>
    </row>
    <row r="1583" spans="1:19" x14ac:dyDescent="0.3">
      <c r="A1583" s="2">
        <v>11582</v>
      </c>
      <c r="B1583" s="4">
        <v>47213</v>
      </c>
      <c r="C1583" t="s">
        <v>1714</v>
      </c>
      <c r="D1583" t="s">
        <v>25</v>
      </c>
      <c r="E1583" t="s">
        <v>26</v>
      </c>
      <c r="F1583" t="s">
        <v>190</v>
      </c>
      <c r="G1583">
        <v>2</v>
      </c>
      <c r="H1583" s="5">
        <v>4.25</v>
      </c>
      <c r="I1583" t="s">
        <v>32</v>
      </c>
      <c r="J1583" t="s">
        <v>69</v>
      </c>
      <c r="K1583" t="s">
        <v>69</v>
      </c>
      <c r="L1583" t="s">
        <v>2124</v>
      </c>
      <c r="M1583" s="5">
        <f t="shared" si="145"/>
        <v>8.5</v>
      </c>
      <c r="N1583" t="str">
        <f t="shared" si="146"/>
        <v>April</v>
      </c>
      <c r="O1583" t="str">
        <f t="shared" si="147"/>
        <v>Thursday</v>
      </c>
      <c r="P1583">
        <f t="shared" si="144"/>
        <v>10</v>
      </c>
      <c r="Q1583" s="2">
        <f t="shared" si="148"/>
        <v>4</v>
      </c>
      <c r="R1583" s="2">
        <f t="shared" si="149"/>
        <v>4</v>
      </c>
      <c r="S1583">
        <f>SUMIF(Table1[product_category],"Bakery",Table1[Total_bill])</f>
        <v>2951.25</v>
      </c>
    </row>
    <row r="1584" spans="1:19" x14ac:dyDescent="0.3">
      <c r="A1584" s="2">
        <v>11583</v>
      </c>
      <c r="B1584" s="4">
        <v>47214</v>
      </c>
      <c r="C1584" t="s">
        <v>1715</v>
      </c>
      <c r="D1584" t="s">
        <v>18</v>
      </c>
      <c r="E1584" t="s">
        <v>19</v>
      </c>
      <c r="F1584" t="s">
        <v>192</v>
      </c>
      <c r="G1584">
        <v>3</v>
      </c>
      <c r="H1584" s="5">
        <v>5.5</v>
      </c>
      <c r="I1584" t="s">
        <v>72</v>
      </c>
      <c r="J1584" t="s">
        <v>72</v>
      </c>
      <c r="K1584" t="s">
        <v>73</v>
      </c>
      <c r="L1584" t="s">
        <v>2125</v>
      </c>
      <c r="M1584" s="5">
        <f t="shared" si="145"/>
        <v>16.5</v>
      </c>
      <c r="N1584" t="str">
        <f t="shared" si="146"/>
        <v>April</v>
      </c>
      <c r="O1584" t="str">
        <f t="shared" si="147"/>
        <v>Friday</v>
      </c>
      <c r="P1584">
        <f t="shared" si="144"/>
        <v>13</v>
      </c>
      <c r="Q1584" s="2">
        <f t="shared" si="148"/>
        <v>5</v>
      </c>
      <c r="R1584" s="2">
        <f t="shared" si="149"/>
        <v>4</v>
      </c>
      <c r="S1584">
        <f>SUMIF(Table1[product_category],"Bakery",Table1[Total_bill])</f>
        <v>2951.25</v>
      </c>
    </row>
    <row r="1585" spans="1:19" x14ac:dyDescent="0.3">
      <c r="A1585" s="2">
        <v>11584</v>
      </c>
      <c r="B1585" s="4">
        <v>47215</v>
      </c>
      <c r="C1585" t="s">
        <v>1716</v>
      </c>
      <c r="D1585" t="s">
        <v>18</v>
      </c>
      <c r="E1585" t="s">
        <v>19</v>
      </c>
      <c r="F1585" t="s">
        <v>195</v>
      </c>
      <c r="G1585">
        <v>4</v>
      </c>
      <c r="H1585" s="5">
        <v>3.25</v>
      </c>
      <c r="I1585" t="s">
        <v>21</v>
      </c>
      <c r="J1585" t="s">
        <v>81</v>
      </c>
      <c r="K1585" t="s">
        <v>113</v>
      </c>
      <c r="L1585" t="s">
        <v>2125</v>
      </c>
      <c r="M1585" s="5">
        <f t="shared" si="145"/>
        <v>13</v>
      </c>
      <c r="N1585" t="str">
        <f t="shared" si="146"/>
        <v>April</v>
      </c>
      <c r="O1585" t="str">
        <f t="shared" si="147"/>
        <v>Saturday</v>
      </c>
      <c r="P1585">
        <f t="shared" si="144"/>
        <v>11</v>
      </c>
      <c r="Q1585" s="2">
        <f t="shared" si="148"/>
        <v>6</v>
      </c>
      <c r="R1585" s="2">
        <f t="shared" si="149"/>
        <v>4</v>
      </c>
      <c r="S1585">
        <f>SUMIF(Table1[product_category],"Bakery",Table1[Total_bill])</f>
        <v>2951.25</v>
      </c>
    </row>
    <row r="1586" spans="1:19" x14ac:dyDescent="0.3">
      <c r="A1586" s="2">
        <v>11585</v>
      </c>
      <c r="B1586" s="4">
        <v>47216</v>
      </c>
      <c r="C1586" t="s">
        <v>1717</v>
      </c>
      <c r="D1586" t="s">
        <v>40</v>
      </c>
      <c r="E1586" t="s">
        <v>41</v>
      </c>
      <c r="F1586" t="s">
        <v>197</v>
      </c>
      <c r="G1586">
        <v>2</v>
      </c>
      <c r="H1586" s="5">
        <v>3.25</v>
      </c>
      <c r="I1586" t="s">
        <v>32</v>
      </c>
      <c r="J1586" t="s">
        <v>226</v>
      </c>
      <c r="K1586" t="s">
        <v>273</v>
      </c>
      <c r="L1586" t="s">
        <v>2124</v>
      </c>
      <c r="M1586" s="5">
        <f t="shared" si="145"/>
        <v>6.5</v>
      </c>
      <c r="N1586" t="str">
        <f t="shared" si="146"/>
        <v>April</v>
      </c>
      <c r="O1586" t="str">
        <f t="shared" si="147"/>
        <v>Sunday</v>
      </c>
      <c r="P1586">
        <f t="shared" si="144"/>
        <v>20</v>
      </c>
      <c r="Q1586" s="2">
        <f t="shared" si="148"/>
        <v>7</v>
      </c>
      <c r="R1586" s="2">
        <f t="shared" si="149"/>
        <v>4</v>
      </c>
      <c r="S1586">
        <f>SUMIF(Table1[product_category],"Bakery",Table1[Total_bill])</f>
        <v>2951.25</v>
      </c>
    </row>
    <row r="1587" spans="1:19" x14ac:dyDescent="0.3">
      <c r="A1587" s="2">
        <v>11586</v>
      </c>
      <c r="B1587" s="4">
        <v>47217</v>
      </c>
      <c r="C1587" t="s">
        <v>1718</v>
      </c>
      <c r="D1587" t="s">
        <v>18</v>
      </c>
      <c r="E1587" t="s">
        <v>19</v>
      </c>
      <c r="F1587" t="s">
        <v>199</v>
      </c>
      <c r="G1587">
        <v>2</v>
      </c>
      <c r="H1587" s="5">
        <v>3</v>
      </c>
      <c r="I1587" t="s">
        <v>36</v>
      </c>
      <c r="J1587" t="s">
        <v>37</v>
      </c>
      <c r="K1587" t="s">
        <v>62</v>
      </c>
      <c r="L1587" t="s">
        <v>2124</v>
      </c>
      <c r="M1587" s="5">
        <f t="shared" si="145"/>
        <v>6</v>
      </c>
      <c r="N1587" t="str">
        <f t="shared" si="146"/>
        <v>April</v>
      </c>
      <c r="O1587" t="str">
        <f t="shared" si="147"/>
        <v>Monday</v>
      </c>
      <c r="P1587">
        <f t="shared" si="144"/>
        <v>7</v>
      </c>
      <c r="Q1587" s="2">
        <f t="shared" si="148"/>
        <v>1</v>
      </c>
      <c r="R1587" s="2">
        <f t="shared" si="149"/>
        <v>4</v>
      </c>
      <c r="S1587">
        <f>SUMIF(Table1[product_category],"Bakery",Table1[Total_bill])</f>
        <v>2951.25</v>
      </c>
    </row>
    <row r="1588" spans="1:19" x14ac:dyDescent="0.3">
      <c r="A1588" s="2">
        <v>11587</v>
      </c>
      <c r="B1588" s="4">
        <v>47218</v>
      </c>
      <c r="C1588" t="s">
        <v>1719</v>
      </c>
      <c r="D1588" t="s">
        <v>40</v>
      </c>
      <c r="E1588" t="s">
        <v>41</v>
      </c>
      <c r="F1588" t="s">
        <v>201</v>
      </c>
      <c r="G1588">
        <v>4</v>
      </c>
      <c r="H1588" s="5">
        <v>3.5</v>
      </c>
      <c r="I1588" t="s">
        <v>89</v>
      </c>
      <c r="J1588" t="s">
        <v>261</v>
      </c>
      <c r="K1588" t="s">
        <v>261</v>
      </c>
      <c r="L1588" t="s">
        <v>2122</v>
      </c>
      <c r="M1588" s="5">
        <f t="shared" si="145"/>
        <v>14</v>
      </c>
      <c r="N1588" t="str">
        <f t="shared" si="146"/>
        <v>April</v>
      </c>
      <c r="O1588" t="str">
        <f t="shared" si="147"/>
        <v>Tuesday</v>
      </c>
      <c r="P1588">
        <f t="shared" si="144"/>
        <v>14</v>
      </c>
      <c r="Q1588" s="2">
        <f t="shared" si="148"/>
        <v>2</v>
      </c>
      <c r="R1588" s="2">
        <f t="shared" si="149"/>
        <v>4</v>
      </c>
      <c r="S1588">
        <f>SUMIF(Table1[product_category],"Bakery",Table1[Total_bill])</f>
        <v>2951.25</v>
      </c>
    </row>
    <row r="1589" spans="1:19" x14ac:dyDescent="0.3">
      <c r="A1589" s="2">
        <v>11588</v>
      </c>
      <c r="B1589" s="4">
        <v>47219</v>
      </c>
      <c r="C1589" t="s">
        <v>1720</v>
      </c>
      <c r="D1589" t="s">
        <v>40</v>
      </c>
      <c r="E1589" t="s">
        <v>41</v>
      </c>
      <c r="F1589" t="s">
        <v>204</v>
      </c>
      <c r="G1589">
        <v>3</v>
      </c>
      <c r="H1589" s="5">
        <v>1.75</v>
      </c>
      <c r="I1589" t="s">
        <v>32</v>
      </c>
      <c r="J1589" t="s">
        <v>43</v>
      </c>
      <c r="K1589" t="s">
        <v>44</v>
      </c>
      <c r="L1589" t="s">
        <v>2122</v>
      </c>
      <c r="M1589" s="5">
        <f t="shared" si="145"/>
        <v>5.25</v>
      </c>
      <c r="N1589" t="str">
        <f t="shared" si="146"/>
        <v>April</v>
      </c>
      <c r="O1589" t="str">
        <f t="shared" si="147"/>
        <v>Wednesday</v>
      </c>
      <c r="P1589">
        <f t="shared" si="144"/>
        <v>10</v>
      </c>
      <c r="Q1589" s="2">
        <f t="shared" si="148"/>
        <v>3</v>
      </c>
      <c r="R1589" s="2">
        <f t="shared" si="149"/>
        <v>4</v>
      </c>
      <c r="S1589">
        <f>SUMIF(Table1[product_category],"Bakery",Table1[Total_bill])</f>
        <v>2951.25</v>
      </c>
    </row>
    <row r="1590" spans="1:19" x14ac:dyDescent="0.3">
      <c r="A1590" s="2">
        <v>11589</v>
      </c>
      <c r="B1590" s="4">
        <v>47220</v>
      </c>
      <c r="C1590" t="s">
        <v>1721</v>
      </c>
      <c r="D1590" t="s">
        <v>25</v>
      </c>
      <c r="E1590" t="s">
        <v>26</v>
      </c>
      <c r="F1590" t="s">
        <v>206</v>
      </c>
      <c r="G1590">
        <v>4</v>
      </c>
      <c r="H1590" s="5">
        <v>3</v>
      </c>
      <c r="I1590" t="s">
        <v>21</v>
      </c>
      <c r="J1590" t="s">
        <v>181</v>
      </c>
      <c r="K1590" t="s">
        <v>182</v>
      </c>
      <c r="L1590" t="s">
        <v>2125</v>
      </c>
      <c r="M1590" s="5">
        <f t="shared" si="145"/>
        <v>12</v>
      </c>
      <c r="N1590" t="str">
        <f t="shared" si="146"/>
        <v>April</v>
      </c>
      <c r="O1590" t="str">
        <f t="shared" si="147"/>
        <v>Thursday</v>
      </c>
      <c r="P1590">
        <f t="shared" si="144"/>
        <v>10</v>
      </c>
      <c r="Q1590" s="2">
        <f t="shared" si="148"/>
        <v>4</v>
      </c>
      <c r="R1590" s="2">
        <f t="shared" si="149"/>
        <v>4</v>
      </c>
      <c r="S1590">
        <f>SUMIF(Table1[product_category],"Bakery",Table1[Total_bill])</f>
        <v>2951.25</v>
      </c>
    </row>
    <row r="1591" spans="1:19" x14ac:dyDescent="0.3">
      <c r="A1591" s="2">
        <v>11590</v>
      </c>
      <c r="B1591" s="4">
        <v>47221</v>
      </c>
      <c r="C1591" t="s">
        <v>1722</v>
      </c>
      <c r="D1591" t="s">
        <v>40</v>
      </c>
      <c r="E1591" t="s">
        <v>41</v>
      </c>
      <c r="F1591" t="s">
        <v>208</v>
      </c>
      <c r="G1591">
        <v>2</v>
      </c>
      <c r="H1591" s="5">
        <v>2.75</v>
      </c>
      <c r="I1591" t="s">
        <v>32</v>
      </c>
      <c r="J1591" t="s">
        <v>226</v>
      </c>
      <c r="K1591" t="s">
        <v>273</v>
      </c>
      <c r="L1591" t="s">
        <v>2122</v>
      </c>
      <c r="M1591" s="5">
        <f t="shared" si="145"/>
        <v>5.5</v>
      </c>
      <c r="N1591" t="str">
        <f t="shared" si="146"/>
        <v>April</v>
      </c>
      <c r="O1591" t="str">
        <f t="shared" si="147"/>
        <v>Friday</v>
      </c>
      <c r="P1591">
        <f t="shared" si="144"/>
        <v>15</v>
      </c>
      <c r="Q1591" s="2">
        <f t="shared" si="148"/>
        <v>5</v>
      </c>
      <c r="R1591" s="2">
        <f t="shared" si="149"/>
        <v>4</v>
      </c>
      <c r="S1591">
        <f>SUMIF(Table1[product_category],"Bakery",Table1[Total_bill])</f>
        <v>2951.25</v>
      </c>
    </row>
    <row r="1592" spans="1:19" x14ac:dyDescent="0.3">
      <c r="A1592" s="2">
        <v>11591</v>
      </c>
      <c r="B1592" s="4">
        <v>47222</v>
      </c>
      <c r="C1592" t="s">
        <v>1723</v>
      </c>
      <c r="D1592" t="s">
        <v>25</v>
      </c>
      <c r="E1592" t="s">
        <v>26</v>
      </c>
      <c r="F1592" t="s">
        <v>210</v>
      </c>
      <c r="G1592">
        <v>2</v>
      </c>
      <c r="H1592" s="5">
        <v>5</v>
      </c>
      <c r="I1592" t="s">
        <v>36</v>
      </c>
      <c r="J1592" t="s">
        <v>110</v>
      </c>
      <c r="K1592" t="s">
        <v>110</v>
      </c>
      <c r="L1592" t="s">
        <v>2123</v>
      </c>
      <c r="M1592" s="5">
        <f t="shared" si="145"/>
        <v>10</v>
      </c>
      <c r="N1592" t="str">
        <f t="shared" si="146"/>
        <v>April</v>
      </c>
      <c r="O1592" t="str">
        <f t="shared" si="147"/>
        <v>Saturday</v>
      </c>
      <c r="P1592">
        <f t="shared" si="144"/>
        <v>14</v>
      </c>
      <c r="Q1592" s="2">
        <f t="shared" si="148"/>
        <v>6</v>
      </c>
      <c r="R1592" s="2">
        <f t="shared" si="149"/>
        <v>4</v>
      </c>
      <c r="S1592">
        <f>SUMIF(Table1[product_category],"Bakery",Table1[Total_bill])</f>
        <v>2951.25</v>
      </c>
    </row>
    <row r="1593" spans="1:19" x14ac:dyDescent="0.3">
      <c r="A1593" s="2">
        <v>11592</v>
      </c>
      <c r="B1593" s="4">
        <v>47223</v>
      </c>
      <c r="C1593" t="s">
        <v>1724</v>
      </c>
      <c r="D1593" t="s">
        <v>25</v>
      </c>
      <c r="E1593" t="s">
        <v>26</v>
      </c>
      <c r="F1593" t="s">
        <v>214</v>
      </c>
      <c r="G1593">
        <v>1</v>
      </c>
      <c r="H1593" s="5">
        <v>3.25</v>
      </c>
      <c r="I1593" t="s">
        <v>36</v>
      </c>
      <c r="J1593" t="s">
        <v>211</v>
      </c>
      <c r="K1593" t="s">
        <v>239</v>
      </c>
      <c r="L1593" t="s">
        <v>2122</v>
      </c>
      <c r="M1593" s="5">
        <f t="shared" si="145"/>
        <v>3.25</v>
      </c>
      <c r="N1593" t="str">
        <f t="shared" si="146"/>
        <v>April</v>
      </c>
      <c r="O1593" t="str">
        <f t="shared" si="147"/>
        <v>Sunday</v>
      </c>
      <c r="P1593">
        <f t="shared" si="144"/>
        <v>20</v>
      </c>
      <c r="Q1593" s="2">
        <f t="shared" si="148"/>
        <v>7</v>
      </c>
      <c r="R1593" s="2">
        <f t="shared" si="149"/>
        <v>4</v>
      </c>
      <c r="S1593">
        <f>SUMIF(Table1[product_category],"Bakery",Table1[Total_bill])</f>
        <v>2951.25</v>
      </c>
    </row>
    <row r="1594" spans="1:19" x14ac:dyDescent="0.3">
      <c r="A1594" s="2">
        <v>11593</v>
      </c>
      <c r="B1594" s="4">
        <v>47224</v>
      </c>
      <c r="C1594" t="s">
        <v>1725</v>
      </c>
      <c r="D1594" t="s">
        <v>25</v>
      </c>
      <c r="E1594" t="s">
        <v>26</v>
      </c>
      <c r="F1594" t="s">
        <v>217</v>
      </c>
      <c r="G1594">
        <v>2</v>
      </c>
      <c r="H1594" s="5">
        <v>3.5</v>
      </c>
      <c r="I1594" t="s">
        <v>32</v>
      </c>
      <c r="J1594" t="s">
        <v>226</v>
      </c>
      <c r="K1594" t="s">
        <v>227</v>
      </c>
      <c r="L1594" t="s">
        <v>2123</v>
      </c>
      <c r="M1594" s="5">
        <f t="shared" si="145"/>
        <v>7</v>
      </c>
      <c r="N1594" t="str">
        <f t="shared" si="146"/>
        <v>April</v>
      </c>
      <c r="O1594" t="str">
        <f t="shared" si="147"/>
        <v>Monday</v>
      </c>
      <c r="P1594">
        <f t="shared" si="144"/>
        <v>7</v>
      </c>
      <c r="Q1594" s="2">
        <f t="shared" si="148"/>
        <v>1</v>
      </c>
      <c r="R1594" s="2">
        <f t="shared" si="149"/>
        <v>4</v>
      </c>
      <c r="S1594">
        <f>SUMIF(Table1[product_category],"Bakery",Table1[Total_bill])</f>
        <v>2951.25</v>
      </c>
    </row>
    <row r="1595" spans="1:19" x14ac:dyDescent="0.3">
      <c r="A1595" s="2">
        <v>11594</v>
      </c>
      <c r="B1595" s="4">
        <v>47225</v>
      </c>
      <c r="C1595" t="s">
        <v>1726</v>
      </c>
      <c r="D1595" t="s">
        <v>25</v>
      </c>
      <c r="E1595" t="s">
        <v>26</v>
      </c>
      <c r="F1595" t="s">
        <v>219</v>
      </c>
      <c r="G1595">
        <v>2</v>
      </c>
      <c r="H1595" s="5">
        <v>2.5</v>
      </c>
      <c r="I1595" t="s">
        <v>21</v>
      </c>
      <c r="J1595" t="s">
        <v>47</v>
      </c>
      <c r="K1595" t="s">
        <v>48</v>
      </c>
      <c r="L1595" t="s">
        <v>2125</v>
      </c>
      <c r="M1595" s="5">
        <f t="shared" si="145"/>
        <v>5</v>
      </c>
      <c r="N1595" t="str">
        <f t="shared" si="146"/>
        <v>April</v>
      </c>
      <c r="O1595" t="str">
        <f t="shared" si="147"/>
        <v>Tuesday</v>
      </c>
      <c r="P1595">
        <f t="shared" si="144"/>
        <v>7</v>
      </c>
      <c r="Q1595" s="2">
        <f t="shared" si="148"/>
        <v>2</v>
      </c>
      <c r="R1595" s="2">
        <f t="shared" si="149"/>
        <v>4</v>
      </c>
      <c r="S1595">
        <f>SUMIF(Table1[product_category],"Bakery",Table1[Total_bill])</f>
        <v>2951.25</v>
      </c>
    </row>
    <row r="1596" spans="1:19" x14ac:dyDescent="0.3">
      <c r="A1596" s="2">
        <v>11595</v>
      </c>
      <c r="B1596" s="4">
        <v>47226</v>
      </c>
      <c r="C1596" t="s">
        <v>1727</v>
      </c>
      <c r="D1596" t="s">
        <v>40</v>
      </c>
      <c r="E1596" t="s">
        <v>41</v>
      </c>
      <c r="F1596" t="s">
        <v>221</v>
      </c>
      <c r="G1596">
        <v>2</v>
      </c>
      <c r="H1596" s="5">
        <v>2.25</v>
      </c>
      <c r="I1596" t="s">
        <v>21</v>
      </c>
      <c r="J1596" t="s">
        <v>58</v>
      </c>
      <c r="K1596" t="s">
        <v>59</v>
      </c>
      <c r="L1596" t="s">
        <v>2125</v>
      </c>
      <c r="M1596" s="5">
        <f t="shared" si="145"/>
        <v>4.5</v>
      </c>
      <c r="N1596" t="str">
        <f t="shared" si="146"/>
        <v>April</v>
      </c>
      <c r="O1596" t="str">
        <f t="shared" si="147"/>
        <v>Wednesday</v>
      </c>
      <c r="P1596">
        <f t="shared" si="144"/>
        <v>15</v>
      </c>
      <c r="Q1596" s="2">
        <f t="shared" si="148"/>
        <v>3</v>
      </c>
      <c r="R1596" s="2">
        <f t="shared" si="149"/>
        <v>4</v>
      </c>
      <c r="S1596">
        <f>SUMIF(Table1[product_category],"Bakery",Table1[Total_bill])</f>
        <v>2951.25</v>
      </c>
    </row>
    <row r="1597" spans="1:19" x14ac:dyDescent="0.3">
      <c r="A1597" s="2">
        <v>11596</v>
      </c>
      <c r="B1597" s="4">
        <v>47227</v>
      </c>
      <c r="C1597" t="s">
        <v>1728</v>
      </c>
      <c r="D1597" t="s">
        <v>40</v>
      </c>
      <c r="E1597" t="s">
        <v>41</v>
      </c>
      <c r="F1597" t="s">
        <v>223</v>
      </c>
      <c r="G1597">
        <v>2</v>
      </c>
      <c r="H1597" s="5">
        <v>3.75</v>
      </c>
      <c r="I1597" t="s">
        <v>32</v>
      </c>
      <c r="J1597" t="s">
        <v>69</v>
      </c>
      <c r="K1597" t="s">
        <v>69</v>
      </c>
      <c r="L1597" t="s">
        <v>2122</v>
      </c>
      <c r="M1597" s="5">
        <f t="shared" si="145"/>
        <v>7.5</v>
      </c>
      <c r="N1597" t="str">
        <f t="shared" si="146"/>
        <v>April</v>
      </c>
      <c r="O1597" t="str">
        <f t="shared" si="147"/>
        <v>Thursday</v>
      </c>
      <c r="P1597">
        <f t="shared" si="144"/>
        <v>13</v>
      </c>
      <c r="Q1597" s="2">
        <f t="shared" si="148"/>
        <v>4</v>
      </c>
      <c r="R1597" s="2">
        <f t="shared" si="149"/>
        <v>4</v>
      </c>
      <c r="S1597">
        <f>SUMIF(Table1[product_category],"Bakery",Table1[Total_bill])</f>
        <v>2951.25</v>
      </c>
    </row>
    <row r="1598" spans="1:19" x14ac:dyDescent="0.3">
      <c r="A1598" s="2">
        <v>11597</v>
      </c>
      <c r="B1598" s="4">
        <v>47228</v>
      </c>
      <c r="C1598" t="s">
        <v>1729</v>
      </c>
      <c r="D1598" t="s">
        <v>25</v>
      </c>
      <c r="E1598" t="s">
        <v>26</v>
      </c>
      <c r="F1598" t="s">
        <v>225</v>
      </c>
      <c r="G1598">
        <v>4</v>
      </c>
      <c r="H1598" s="5">
        <v>9.5</v>
      </c>
      <c r="I1598" t="s">
        <v>28</v>
      </c>
      <c r="J1598" t="s">
        <v>28</v>
      </c>
      <c r="K1598" t="s">
        <v>29</v>
      </c>
      <c r="L1598" t="s">
        <v>2125</v>
      </c>
      <c r="M1598" s="5">
        <f t="shared" si="145"/>
        <v>38</v>
      </c>
      <c r="N1598" t="str">
        <f t="shared" si="146"/>
        <v>April</v>
      </c>
      <c r="O1598" t="str">
        <f t="shared" si="147"/>
        <v>Friday</v>
      </c>
      <c r="P1598">
        <f t="shared" si="144"/>
        <v>9</v>
      </c>
      <c r="Q1598" s="2">
        <f t="shared" si="148"/>
        <v>5</v>
      </c>
      <c r="R1598" s="2">
        <f t="shared" si="149"/>
        <v>4</v>
      </c>
      <c r="S1598">
        <f>SUMIF(Table1[product_category],"Bakery",Table1[Total_bill])</f>
        <v>2951.25</v>
      </c>
    </row>
    <row r="1599" spans="1:19" x14ac:dyDescent="0.3">
      <c r="A1599" s="2">
        <v>11598</v>
      </c>
      <c r="B1599" s="4">
        <v>47229</v>
      </c>
      <c r="C1599" t="s">
        <v>1730</v>
      </c>
      <c r="D1599" t="s">
        <v>18</v>
      </c>
      <c r="E1599" t="s">
        <v>19</v>
      </c>
      <c r="F1599" t="s">
        <v>229</v>
      </c>
      <c r="G1599">
        <v>2</v>
      </c>
      <c r="H1599" s="5">
        <v>13</v>
      </c>
      <c r="I1599" t="s">
        <v>98</v>
      </c>
      <c r="J1599" t="s">
        <v>98</v>
      </c>
      <c r="K1599" t="s">
        <v>95</v>
      </c>
      <c r="L1599" t="s">
        <v>2125</v>
      </c>
      <c r="M1599" s="5">
        <f t="shared" si="145"/>
        <v>26</v>
      </c>
      <c r="N1599" t="str">
        <f t="shared" si="146"/>
        <v>April</v>
      </c>
      <c r="O1599" t="str">
        <f t="shared" si="147"/>
        <v>Saturday</v>
      </c>
      <c r="P1599">
        <f t="shared" si="144"/>
        <v>7</v>
      </c>
      <c r="Q1599" s="2">
        <f t="shared" si="148"/>
        <v>6</v>
      </c>
      <c r="R1599" s="2">
        <f t="shared" si="149"/>
        <v>4</v>
      </c>
      <c r="S1599">
        <f>SUMIF(Table1[product_category],"Bakery",Table1[Total_bill])</f>
        <v>2951.25</v>
      </c>
    </row>
    <row r="1600" spans="1:19" x14ac:dyDescent="0.3">
      <c r="A1600" s="2">
        <v>11599</v>
      </c>
      <c r="B1600" s="4">
        <v>47230</v>
      </c>
      <c r="C1600" t="s">
        <v>1731</v>
      </c>
      <c r="D1600" t="s">
        <v>18</v>
      </c>
      <c r="E1600" t="s">
        <v>19</v>
      </c>
      <c r="F1600" t="s">
        <v>231</v>
      </c>
      <c r="G1600">
        <v>3</v>
      </c>
      <c r="H1600" s="5">
        <v>3.5</v>
      </c>
      <c r="I1600" t="s">
        <v>36</v>
      </c>
      <c r="J1600" t="s">
        <v>37</v>
      </c>
      <c r="K1600" t="s">
        <v>38</v>
      </c>
      <c r="L1600" t="s">
        <v>2123</v>
      </c>
      <c r="M1600" s="5">
        <f t="shared" si="145"/>
        <v>10.5</v>
      </c>
      <c r="N1600" t="str">
        <f t="shared" si="146"/>
        <v>April</v>
      </c>
      <c r="O1600" t="str">
        <f t="shared" si="147"/>
        <v>Sunday</v>
      </c>
      <c r="P1600">
        <f t="shared" si="144"/>
        <v>7</v>
      </c>
      <c r="Q1600" s="2">
        <f t="shared" si="148"/>
        <v>7</v>
      </c>
      <c r="R1600" s="2">
        <f t="shared" si="149"/>
        <v>4</v>
      </c>
      <c r="S1600">
        <f>SUMIF(Table1[product_category],"Bakery",Table1[Total_bill])</f>
        <v>2951.25</v>
      </c>
    </row>
    <row r="1601" spans="1:19" x14ac:dyDescent="0.3">
      <c r="A1601" s="2">
        <v>11600</v>
      </c>
      <c r="B1601" s="4">
        <v>47231</v>
      </c>
      <c r="C1601" t="s">
        <v>1732</v>
      </c>
      <c r="D1601" t="s">
        <v>25</v>
      </c>
      <c r="E1601" t="s">
        <v>26</v>
      </c>
      <c r="F1601" t="s">
        <v>233</v>
      </c>
      <c r="G1601">
        <v>2</v>
      </c>
      <c r="H1601" s="5">
        <v>2.75</v>
      </c>
      <c r="I1601" t="s">
        <v>21</v>
      </c>
      <c r="J1601" t="s">
        <v>22</v>
      </c>
      <c r="K1601" t="s">
        <v>23</v>
      </c>
      <c r="L1601" t="s">
        <v>2125</v>
      </c>
      <c r="M1601" s="5">
        <f t="shared" si="145"/>
        <v>5.5</v>
      </c>
      <c r="N1601" t="str">
        <f t="shared" si="146"/>
        <v>April</v>
      </c>
      <c r="O1601" t="str">
        <f t="shared" si="147"/>
        <v>Monday</v>
      </c>
      <c r="P1601">
        <f t="shared" si="144"/>
        <v>18</v>
      </c>
      <c r="Q1601" s="2">
        <f t="shared" si="148"/>
        <v>1</v>
      </c>
      <c r="R1601" s="2">
        <f t="shared" si="149"/>
        <v>4</v>
      </c>
      <c r="S1601">
        <f>SUMIF(Table1[product_category],"Bakery",Table1[Total_bill])</f>
        <v>2951.25</v>
      </c>
    </row>
    <row r="1602" spans="1:19" x14ac:dyDescent="0.3">
      <c r="A1602" s="2">
        <v>11601</v>
      </c>
      <c r="B1602" s="4">
        <v>47232</v>
      </c>
      <c r="C1602" t="s">
        <v>1733</v>
      </c>
      <c r="D1602" t="s">
        <v>40</v>
      </c>
      <c r="E1602" t="s">
        <v>41</v>
      </c>
      <c r="F1602" t="s">
        <v>20</v>
      </c>
      <c r="G1602">
        <v>1</v>
      </c>
      <c r="H1602" s="5">
        <v>3.5</v>
      </c>
      <c r="I1602" t="s">
        <v>36</v>
      </c>
      <c r="J1602" t="s">
        <v>37</v>
      </c>
      <c r="K1602" t="s">
        <v>276</v>
      </c>
      <c r="L1602" t="s">
        <v>2123</v>
      </c>
      <c r="M1602" s="5">
        <f t="shared" si="145"/>
        <v>3.5</v>
      </c>
      <c r="N1602" t="str">
        <f t="shared" si="146"/>
        <v>April</v>
      </c>
      <c r="O1602" t="str">
        <f t="shared" si="147"/>
        <v>Tuesday</v>
      </c>
      <c r="P1602">
        <f t="shared" ref="P1602:P1665" si="150">HOUR(TIMEVALUE(C1602))</f>
        <v>8</v>
      </c>
      <c r="Q1602" s="2">
        <f t="shared" si="148"/>
        <v>2</v>
      </c>
      <c r="R1602" s="2">
        <f t="shared" si="149"/>
        <v>4</v>
      </c>
      <c r="S1602">
        <f>SUMIF(Table1[product_category],"Bakery",Table1[Total_bill])</f>
        <v>2951.25</v>
      </c>
    </row>
    <row r="1603" spans="1:19" x14ac:dyDescent="0.3">
      <c r="A1603" s="2">
        <v>11602</v>
      </c>
      <c r="B1603" s="4">
        <v>47233</v>
      </c>
      <c r="C1603" t="s">
        <v>1734</v>
      </c>
      <c r="D1603" t="s">
        <v>18</v>
      </c>
      <c r="E1603" t="s">
        <v>19</v>
      </c>
      <c r="F1603" t="s">
        <v>27</v>
      </c>
      <c r="G1603">
        <v>4</v>
      </c>
      <c r="H1603" s="5">
        <v>3.75</v>
      </c>
      <c r="I1603" t="s">
        <v>32</v>
      </c>
      <c r="J1603" t="s">
        <v>69</v>
      </c>
      <c r="K1603" t="s">
        <v>69</v>
      </c>
      <c r="L1603" t="s">
        <v>2122</v>
      </c>
      <c r="M1603" s="5">
        <f t="shared" ref="M1603:M1666" si="151">G1603*H1603</f>
        <v>15</v>
      </c>
      <c r="N1603" t="str">
        <f t="shared" ref="N1603:N1666" si="152">TEXT(B1603,"mmmm")</f>
        <v>April</v>
      </c>
      <c r="O1603" t="str">
        <f t="shared" ref="O1603:O1666" si="153">TEXT(B1603,"dddd")</f>
        <v>Wednesday</v>
      </c>
      <c r="P1603">
        <f t="shared" si="150"/>
        <v>9</v>
      </c>
      <c r="Q1603" s="2">
        <f t="shared" ref="Q1603:Q1666" si="154">WEEKDAY(B1603,2)</f>
        <v>3</v>
      </c>
      <c r="R1603" s="2">
        <f t="shared" ref="R1603:R1666" si="155">MONTH(B1603)</f>
        <v>4</v>
      </c>
      <c r="S1603">
        <f>SUMIF(Table1[product_category],"Bakery",Table1[Total_bill])</f>
        <v>2951.25</v>
      </c>
    </row>
    <row r="1604" spans="1:19" x14ac:dyDescent="0.3">
      <c r="A1604" s="2">
        <v>11603</v>
      </c>
      <c r="B1604" s="4">
        <v>47234</v>
      </c>
      <c r="C1604" t="s">
        <v>1735</v>
      </c>
      <c r="D1604" t="s">
        <v>40</v>
      </c>
      <c r="E1604" t="s">
        <v>41</v>
      </c>
      <c r="F1604" t="s">
        <v>31</v>
      </c>
      <c r="G1604">
        <v>4</v>
      </c>
      <c r="H1604" s="5">
        <v>6</v>
      </c>
      <c r="I1604" t="s">
        <v>72</v>
      </c>
      <c r="J1604" t="s">
        <v>72</v>
      </c>
      <c r="K1604" t="s">
        <v>138</v>
      </c>
      <c r="L1604" t="s">
        <v>2125</v>
      </c>
      <c r="M1604" s="5">
        <f t="shared" si="151"/>
        <v>24</v>
      </c>
      <c r="N1604" t="str">
        <f t="shared" si="152"/>
        <v>April</v>
      </c>
      <c r="O1604" t="str">
        <f t="shared" si="153"/>
        <v>Thursday</v>
      </c>
      <c r="P1604">
        <f t="shared" si="150"/>
        <v>8</v>
      </c>
      <c r="Q1604" s="2">
        <f t="shared" si="154"/>
        <v>4</v>
      </c>
      <c r="R1604" s="2">
        <f t="shared" si="155"/>
        <v>4</v>
      </c>
      <c r="S1604">
        <f>SUMIF(Table1[product_category],"Bakery",Table1[Total_bill])</f>
        <v>2951.25</v>
      </c>
    </row>
    <row r="1605" spans="1:19" x14ac:dyDescent="0.3">
      <c r="A1605" s="2">
        <v>11604</v>
      </c>
      <c r="B1605" s="4">
        <v>47235</v>
      </c>
      <c r="C1605" t="s">
        <v>1736</v>
      </c>
      <c r="D1605" t="s">
        <v>40</v>
      </c>
      <c r="E1605" t="s">
        <v>41</v>
      </c>
      <c r="F1605" t="s">
        <v>35</v>
      </c>
      <c r="G1605">
        <v>4</v>
      </c>
      <c r="H1605" s="5">
        <v>24</v>
      </c>
      <c r="I1605" t="s">
        <v>101</v>
      </c>
      <c r="J1605" t="s">
        <v>102</v>
      </c>
      <c r="K1605" t="s">
        <v>103</v>
      </c>
      <c r="L1605" t="s">
        <v>2125</v>
      </c>
      <c r="M1605" s="5">
        <f t="shared" si="151"/>
        <v>96</v>
      </c>
      <c r="N1605" t="str">
        <f t="shared" si="152"/>
        <v>April</v>
      </c>
      <c r="O1605" t="str">
        <f t="shared" si="153"/>
        <v>Friday</v>
      </c>
      <c r="P1605">
        <f t="shared" si="150"/>
        <v>10</v>
      </c>
      <c r="Q1605" s="2">
        <f t="shared" si="154"/>
        <v>5</v>
      </c>
      <c r="R1605" s="2">
        <f t="shared" si="155"/>
        <v>4</v>
      </c>
      <c r="S1605">
        <f>SUMIF(Table1[product_category],"Bakery",Table1[Total_bill])</f>
        <v>2951.25</v>
      </c>
    </row>
    <row r="1606" spans="1:19" x14ac:dyDescent="0.3">
      <c r="A1606" s="2">
        <v>11605</v>
      </c>
      <c r="B1606" s="4">
        <v>47236</v>
      </c>
      <c r="C1606" t="s">
        <v>1737</v>
      </c>
      <c r="D1606" t="s">
        <v>18</v>
      </c>
      <c r="E1606" t="s">
        <v>19</v>
      </c>
      <c r="F1606" t="s">
        <v>42</v>
      </c>
      <c r="G1606">
        <v>1</v>
      </c>
      <c r="H1606" s="5">
        <v>5</v>
      </c>
      <c r="I1606" t="s">
        <v>89</v>
      </c>
      <c r="J1606" t="s">
        <v>90</v>
      </c>
      <c r="K1606" t="s">
        <v>91</v>
      </c>
      <c r="L1606" t="s">
        <v>2123</v>
      </c>
      <c r="M1606" s="5">
        <f t="shared" si="151"/>
        <v>5</v>
      </c>
      <c r="N1606" t="str">
        <f t="shared" si="152"/>
        <v>April</v>
      </c>
      <c r="O1606" t="str">
        <f t="shared" si="153"/>
        <v>Saturday</v>
      </c>
      <c r="P1606">
        <f t="shared" si="150"/>
        <v>7</v>
      </c>
      <c r="Q1606" s="2">
        <f t="shared" si="154"/>
        <v>6</v>
      </c>
      <c r="R1606" s="2">
        <f t="shared" si="155"/>
        <v>4</v>
      </c>
      <c r="S1606">
        <f>SUMIF(Table1[product_category],"Bakery",Table1[Total_bill])</f>
        <v>2951.25</v>
      </c>
    </row>
    <row r="1607" spans="1:19" x14ac:dyDescent="0.3">
      <c r="A1607" s="2">
        <v>11606</v>
      </c>
      <c r="B1607" s="4">
        <v>47237</v>
      </c>
      <c r="C1607" t="s">
        <v>1738</v>
      </c>
      <c r="D1607" t="s">
        <v>25</v>
      </c>
      <c r="E1607" t="s">
        <v>26</v>
      </c>
      <c r="F1607" t="s">
        <v>46</v>
      </c>
      <c r="G1607">
        <v>2</v>
      </c>
      <c r="H1607" s="5">
        <v>14</v>
      </c>
      <c r="I1607" t="s">
        <v>98</v>
      </c>
      <c r="J1607" t="s">
        <v>98</v>
      </c>
      <c r="K1607" t="s">
        <v>129</v>
      </c>
      <c r="L1607" t="s">
        <v>2125</v>
      </c>
      <c r="M1607" s="5">
        <f t="shared" si="151"/>
        <v>28</v>
      </c>
      <c r="N1607" t="str">
        <f t="shared" si="152"/>
        <v>April</v>
      </c>
      <c r="O1607" t="str">
        <f t="shared" si="153"/>
        <v>Sunday</v>
      </c>
      <c r="P1607">
        <f t="shared" si="150"/>
        <v>12</v>
      </c>
      <c r="Q1607" s="2">
        <f t="shared" si="154"/>
        <v>7</v>
      </c>
      <c r="R1607" s="2">
        <f t="shared" si="155"/>
        <v>4</v>
      </c>
      <c r="S1607">
        <f>SUMIF(Table1[product_category],"Bakery",Table1[Total_bill])</f>
        <v>2951.25</v>
      </c>
    </row>
    <row r="1608" spans="1:19" x14ac:dyDescent="0.3">
      <c r="A1608" s="2">
        <v>11607</v>
      </c>
      <c r="B1608" s="4">
        <v>47238</v>
      </c>
      <c r="C1608" t="s">
        <v>1739</v>
      </c>
      <c r="D1608" t="s">
        <v>40</v>
      </c>
      <c r="E1608" t="s">
        <v>41</v>
      </c>
      <c r="F1608" t="s">
        <v>50</v>
      </c>
      <c r="G1608">
        <v>2</v>
      </c>
      <c r="H1608" s="5">
        <v>4.5</v>
      </c>
      <c r="I1608" t="s">
        <v>89</v>
      </c>
      <c r="J1608" t="s">
        <v>261</v>
      </c>
      <c r="K1608" t="s">
        <v>261</v>
      </c>
      <c r="L1608" t="s">
        <v>2123</v>
      </c>
      <c r="M1608" s="5">
        <f t="shared" si="151"/>
        <v>9</v>
      </c>
      <c r="N1608" t="str">
        <f t="shared" si="152"/>
        <v>April</v>
      </c>
      <c r="O1608" t="str">
        <f t="shared" si="153"/>
        <v>Monday</v>
      </c>
      <c r="P1608">
        <f t="shared" si="150"/>
        <v>7</v>
      </c>
      <c r="Q1608" s="2">
        <f t="shared" si="154"/>
        <v>1</v>
      </c>
      <c r="R1608" s="2">
        <f t="shared" si="155"/>
        <v>4</v>
      </c>
      <c r="S1608">
        <f>SUMIF(Table1[product_category],"Bakery",Table1[Total_bill])</f>
        <v>2951.25</v>
      </c>
    </row>
    <row r="1609" spans="1:19" x14ac:dyDescent="0.3">
      <c r="A1609" s="2">
        <v>11608</v>
      </c>
      <c r="B1609" s="4">
        <v>47239</v>
      </c>
      <c r="C1609" t="s">
        <v>1740</v>
      </c>
      <c r="D1609" t="s">
        <v>25</v>
      </c>
      <c r="E1609" t="s">
        <v>26</v>
      </c>
      <c r="F1609" t="s">
        <v>54</v>
      </c>
      <c r="G1609">
        <v>3</v>
      </c>
      <c r="H1609" s="5">
        <v>4</v>
      </c>
      <c r="I1609" t="s">
        <v>32</v>
      </c>
      <c r="J1609" t="s">
        <v>122</v>
      </c>
      <c r="K1609" t="s">
        <v>122</v>
      </c>
      <c r="L1609" t="s">
        <v>2124</v>
      </c>
      <c r="M1609" s="5">
        <f t="shared" si="151"/>
        <v>12</v>
      </c>
      <c r="N1609" t="str">
        <f t="shared" si="152"/>
        <v>May</v>
      </c>
      <c r="O1609" t="str">
        <f t="shared" si="153"/>
        <v>Tuesday</v>
      </c>
      <c r="P1609">
        <f t="shared" si="150"/>
        <v>16</v>
      </c>
      <c r="Q1609" s="2">
        <f t="shared" si="154"/>
        <v>2</v>
      </c>
      <c r="R1609" s="2">
        <f t="shared" si="155"/>
        <v>5</v>
      </c>
      <c r="S1609">
        <f>SUMIF(Table1[product_category],"Bakery",Table1[Total_bill])</f>
        <v>2951.25</v>
      </c>
    </row>
    <row r="1610" spans="1:19" x14ac:dyDescent="0.3">
      <c r="A1610" s="2">
        <v>11609</v>
      </c>
      <c r="B1610" s="4">
        <v>47240</v>
      </c>
      <c r="C1610" t="s">
        <v>1741</v>
      </c>
      <c r="D1610" t="s">
        <v>25</v>
      </c>
      <c r="E1610" t="s">
        <v>26</v>
      </c>
      <c r="F1610" t="s">
        <v>57</v>
      </c>
      <c r="G1610">
        <v>3</v>
      </c>
      <c r="H1610" s="5">
        <v>3.25</v>
      </c>
      <c r="I1610" t="s">
        <v>32</v>
      </c>
      <c r="J1610" t="s">
        <v>226</v>
      </c>
      <c r="K1610" t="s">
        <v>273</v>
      </c>
      <c r="L1610" t="s">
        <v>2124</v>
      </c>
      <c r="M1610" s="5">
        <f t="shared" si="151"/>
        <v>9.75</v>
      </c>
      <c r="N1610" t="str">
        <f t="shared" si="152"/>
        <v>May</v>
      </c>
      <c r="O1610" t="str">
        <f t="shared" si="153"/>
        <v>Wednesday</v>
      </c>
      <c r="P1610">
        <f t="shared" si="150"/>
        <v>8</v>
      </c>
      <c r="Q1610" s="2">
        <f t="shared" si="154"/>
        <v>3</v>
      </c>
      <c r="R1610" s="2">
        <f t="shared" si="155"/>
        <v>5</v>
      </c>
      <c r="S1610">
        <f>SUMIF(Table1[product_category],"Bakery",Table1[Total_bill])</f>
        <v>2951.25</v>
      </c>
    </row>
    <row r="1611" spans="1:19" x14ac:dyDescent="0.3">
      <c r="A1611" s="2">
        <v>11610</v>
      </c>
      <c r="B1611" s="4">
        <v>47241</v>
      </c>
      <c r="C1611" t="s">
        <v>1742</v>
      </c>
      <c r="D1611" t="s">
        <v>40</v>
      </c>
      <c r="E1611" t="s">
        <v>41</v>
      </c>
      <c r="F1611" t="s">
        <v>61</v>
      </c>
      <c r="G1611">
        <v>3</v>
      </c>
      <c r="H1611" s="5">
        <v>11</v>
      </c>
      <c r="I1611" t="s">
        <v>98</v>
      </c>
      <c r="J1611" t="s">
        <v>98</v>
      </c>
      <c r="K1611" t="s">
        <v>215</v>
      </c>
      <c r="L1611" t="s">
        <v>2125</v>
      </c>
      <c r="M1611" s="5">
        <f t="shared" si="151"/>
        <v>33</v>
      </c>
      <c r="N1611" t="str">
        <f t="shared" si="152"/>
        <v>May</v>
      </c>
      <c r="O1611" t="str">
        <f t="shared" si="153"/>
        <v>Thursday</v>
      </c>
      <c r="P1611">
        <f t="shared" si="150"/>
        <v>12</v>
      </c>
      <c r="Q1611" s="2">
        <f t="shared" si="154"/>
        <v>4</v>
      </c>
      <c r="R1611" s="2">
        <f t="shared" si="155"/>
        <v>5</v>
      </c>
      <c r="S1611">
        <f>SUMIF(Table1[product_category],"Bakery",Table1[Total_bill])</f>
        <v>2951.25</v>
      </c>
    </row>
    <row r="1612" spans="1:19" x14ac:dyDescent="0.3">
      <c r="A1612" s="2">
        <v>11611</v>
      </c>
      <c r="B1612" s="4">
        <v>47242</v>
      </c>
      <c r="C1612" t="s">
        <v>1743</v>
      </c>
      <c r="D1612" t="s">
        <v>40</v>
      </c>
      <c r="E1612" t="s">
        <v>41</v>
      </c>
      <c r="F1612" t="s">
        <v>64</v>
      </c>
      <c r="G1612">
        <v>4</v>
      </c>
      <c r="H1612" s="5">
        <v>2.5</v>
      </c>
      <c r="I1612" t="s">
        <v>32</v>
      </c>
      <c r="J1612" t="s">
        <v>226</v>
      </c>
      <c r="K1612" t="s">
        <v>227</v>
      </c>
      <c r="L1612" t="s">
        <v>2122</v>
      </c>
      <c r="M1612" s="5">
        <f t="shared" si="151"/>
        <v>10</v>
      </c>
      <c r="N1612" t="str">
        <f t="shared" si="152"/>
        <v>May</v>
      </c>
      <c r="O1612" t="str">
        <f t="shared" si="153"/>
        <v>Friday</v>
      </c>
      <c r="P1612">
        <f t="shared" si="150"/>
        <v>17</v>
      </c>
      <c r="Q1612" s="2">
        <f t="shared" si="154"/>
        <v>5</v>
      </c>
      <c r="R1612" s="2">
        <f t="shared" si="155"/>
        <v>5</v>
      </c>
      <c r="S1612">
        <f>SUMIF(Table1[product_category],"Bakery",Table1[Total_bill])</f>
        <v>2951.25</v>
      </c>
    </row>
    <row r="1613" spans="1:19" x14ac:dyDescent="0.3">
      <c r="A1613" s="2">
        <v>11612</v>
      </c>
      <c r="B1613" s="4">
        <v>47243</v>
      </c>
      <c r="C1613" t="s">
        <v>1744</v>
      </c>
      <c r="D1613" t="s">
        <v>25</v>
      </c>
      <c r="E1613" t="s">
        <v>26</v>
      </c>
      <c r="F1613" t="s">
        <v>66</v>
      </c>
      <c r="G1613">
        <v>1</v>
      </c>
      <c r="H1613" s="5">
        <v>3.5</v>
      </c>
      <c r="I1613" t="s">
        <v>21</v>
      </c>
      <c r="J1613" t="s">
        <v>51</v>
      </c>
      <c r="K1613" t="s">
        <v>52</v>
      </c>
      <c r="L1613" t="s">
        <v>2125</v>
      </c>
      <c r="M1613" s="5">
        <f t="shared" si="151"/>
        <v>3.5</v>
      </c>
      <c r="N1613" t="str">
        <f t="shared" si="152"/>
        <v>May</v>
      </c>
      <c r="O1613" t="str">
        <f t="shared" si="153"/>
        <v>Saturday</v>
      </c>
      <c r="P1613">
        <f t="shared" si="150"/>
        <v>14</v>
      </c>
      <c r="Q1613" s="2">
        <f t="shared" si="154"/>
        <v>6</v>
      </c>
      <c r="R1613" s="2">
        <f t="shared" si="155"/>
        <v>5</v>
      </c>
      <c r="S1613">
        <f>SUMIF(Table1[product_category],"Bakery",Table1[Total_bill])</f>
        <v>2951.25</v>
      </c>
    </row>
    <row r="1614" spans="1:19" x14ac:dyDescent="0.3">
      <c r="A1614" s="2">
        <v>11613</v>
      </c>
      <c r="B1614" s="4">
        <v>47244</v>
      </c>
      <c r="C1614" t="s">
        <v>1745</v>
      </c>
      <c r="D1614" t="s">
        <v>18</v>
      </c>
      <c r="E1614" t="s">
        <v>19</v>
      </c>
      <c r="F1614" t="s">
        <v>68</v>
      </c>
      <c r="G1614">
        <v>1</v>
      </c>
      <c r="H1614" s="5">
        <v>9.5</v>
      </c>
      <c r="I1614" t="s">
        <v>28</v>
      </c>
      <c r="J1614" t="s">
        <v>28</v>
      </c>
      <c r="K1614" t="s">
        <v>29</v>
      </c>
      <c r="L1614" t="s">
        <v>2125</v>
      </c>
      <c r="M1614" s="5">
        <f t="shared" si="151"/>
        <v>9.5</v>
      </c>
      <c r="N1614" t="str">
        <f t="shared" si="152"/>
        <v>May</v>
      </c>
      <c r="O1614" t="str">
        <f t="shared" si="153"/>
        <v>Sunday</v>
      </c>
      <c r="P1614">
        <f t="shared" si="150"/>
        <v>12</v>
      </c>
      <c r="Q1614" s="2">
        <f t="shared" si="154"/>
        <v>7</v>
      </c>
      <c r="R1614" s="2">
        <f t="shared" si="155"/>
        <v>5</v>
      </c>
      <c r="S1614">
        <f>SUMIF(Table1[product_category],"Bakery",Table1[Total_bill])</f>
        <v>2951.25</v>
      </c>
    </row>
    <row r="1615" spans="1:19" x14ac:dyDescent="0.3">
      <c r="A1615" s="2">
        <v>11614</v>
      </c>
      <c r="B1615" s="4">
        <v>47245</v>
      </c>
      <c r="C1615" t="s">
        <v>1746</v>
      </c>
      <c r="D1615" t="s">
        <v>25</v>
      </c>
      <c r="E1615" t="s">
        <v>26</v>
      </c>
      <c r="F1615" t="s">
        <v>71</v>
      </c>
      <c r="G1615">
        <v>3</v>
      </c>
      <c r="H1615" s="5">
        <v>3</v>
      </c>
      <c r="I1615" t="s">
        <v>32</v>
      </c>
      <c r="J1615" t="s">
        <v>55</v>
      </c>
      <c r="K1615" t="s">
        <v>55</v>
      </c>
      <c r="L1615" t="s">
        <v>2122</v>
      </c>
      <c r="M1615" s="5">
        <f t="shared" si="151"/>
        <v>9</v>
      </c>
      <c r="N1615" t="str">
        <f t="shared" si="152"/>
        <v>May</v>
      </c>
      <c r="O1615" t="str">
        <f t="shared" si="153"/>
        <v>Monday</v>
      </c>
      <c r="P1615">
        <f t="shared" si="150"/>
        <v>9</v>
      </c>
      <c r="Q1615" s="2">
        <f t="shared" si="154"/>
        <v>1</v>
      </c>
      <c r="R1615" s="2">
        <f t="shared" si="155"/>
        <v>5</v>
      </c>
      <c r="S1615">
        <f>SUMIF(Table1[product_category],"Bakery",Table1[Total_bill])</f>
        <v>2951.25</v>
      </c>
    </row>
    <row r="1616" spans="1:19" x14ac:dyDescent="0.3">
      <c r="A1616" s="2">
        <v>11615</v>
      </c>
      <c r="B1616" s="4">
        <v>47246</v>
      </c>
      <c r="C1616" t="s">
        <v>1747</v>
      </c>
      <c r="D1616" t="s">
        <v>40</v>
      </c>
      <c r="E1616" t="s">
        <v>41</v>
      </c>
      <c r="F1616" t="s">
        <v>75</v>
      </c>
      <c r="G1616">
        <v>3</v>
      </c>
      <c r="H1616" s="5">
        <v>3.5</v>
      </c>
      <c r="I1616" t="s">
        <v>36</v>
      </c>
      <c r="J1616" t="s">
        <v>37</v>
      </c>
      <c r="K1616" t="s">
        <v>38</v>
      </c>
      <c r="L1616" t="s">
        <v>2123</v>
      </c>
      <c r="M1616" s="5">
        <f t="shared" si="151"/>
        <v>10.5</v>
      </c>
      <c r="N1616" t="str">
        <f t="shared" si="152"/>
        <v>May</v>
      </c>
      <c r="O1616" t="str">
        <f t="shared" si="153"/>
        <v>Tuesday</v>
      </c>
      <c r="P1616">
        <f t="shared" si="150"/>
        <v>9</v>
      </c>
      <c r="Q1616" s="2">
        <f t="shared" si="154"/>
        <v>2</v>
      </c>
      <c r="R1616" s="2">
        <f t="shared" si="155"/>
        <v>5</v>
      </c>
      <c r="S1616">
        <f>SUMIF(Table1[product_category],"Bakery",Table1[Total_bill])</f>
        <v>2951.25</v>
      </c>
    </row>
    <row r="1617" spans="1:19" x14ac:dyDescent="0.3">
      <c r="A1617" s="2">
        <v>11616</v>
      </c>
      <c r="B1617" s="4">
        <v>47247</v>
      </c>
      <c r="C1617" t="s">
        <v>1748</v>
      </c>
      <c r="D1617" t="s">
        <v>18</v>
      </c>
      <c r="E1617" t="s">
        <v>19</v>
      </c>
      <c r="F1617" t="s">
        <v>78</v>
      </c>
      <c r="G1617">
        <v>2</v>
      </c>
      <c r="H1617" s="5">
        <v>2.75</v>
      </c>
      <c r="I1617" t="s">
        <v>21</v>
      </c>
      <c r="J1617" t="s">
        <v>22</v>
      </c>
      <c r="K1617" t="s">
        <v>23</v>
      </c>
      <c r="L1617" t="s">
        <v>2125</v>
      </c>
      <c r="M1617" s="5">
        <f t="shared" si="151"/>
        <v>5.5</v>
      </c>
      <c r="N1617" t="str">
        <f t="shared" si="152"/>
        <v>May</v>
      </c>
      <c r="O1617" t="str">
        <f t="shared" si="153"/>
        <v>Wednesday</v>
      </c>
      <c r="P1617">
        <f t="shared" si="150"/>
        <v>14</v>
      </c>
      <c r="Q1617" s="2">
        <f t="shared" si="154"/>
        <v>3</v>
      </c>
      <c r="R1617" s="2">
        <f t="shared" si="155"/>
        <v>5</v>
      </c>
      <c r="S1617">
        <f>SUMIF(Table1[product_category],"Bakery",Table1[Total_bill])</f>
        <v>2951.25</v>
      </c>
    </row>
    <row r="1618" spans="1:19" x14ac:dyDescent="0.3">
      <c r="A1618" s="2">
        <v>11617</v>
      </c>
      <c r="B1618" s="4">
        <v>47248</v>
      </c>
      <c r="C1618" t="s">
        <v>1749</v>
      </c>
      <c r="D1618" t="s">
        <v>18</v>
      </c>
      <c r="E1618" t="s">
        <v>19</v>
      </c>
      <c r="F1618" t="s">
        <v>80</v>
      </c>
      <c r="G1618">
        <v>3</v>
      </c>
      <c r="H1618" s="5">
        <v>9.5</v>
      </c>
      <c r="I1618" t="s">
        <v>28</v>
      </c>
      <c r="J1618" t="s">
        <v>28</v>
      </c>
      <c r="K1618" t="s">
        <v>29</v>
      </c>
      <c r="L1618" t="s">
        <v>2125</v>
      </c>
      <c r="M1618" s="5">
        <f t="shared" si="151"/>
        <v>28.5</v>
      </c>
      <c r="N1618" t="str">
        <f t="shared" si="152"/>
        <v>May</v>
      </c>
      <c r="O1618" t="str">
        <f t="shared" si="153"/>
        <v>Thursday</v>
      </c>
      <c r="P1618">
        <f t="shared" si="150"/>
        <v>20</v>
      </c>
      <c r="Q1618" s="2">
        <f t="shared" si="154"/>
        <v>4</v>
      </c>
      <c r="R1618" s="2">
        <f t="shared" si="155"/>
        <v>5</v>
      </c>
      <c r="S1618">
        <f>SUMIF(Table1[product_category],"Bakery",Table1[Total_bill])</f>
        <v>2951.25</v>
      </c>
    </row>
    <row r="1619" spans="1:19" x14ac:dyDescent="0.3">
      <c r="A1619" s="2">
        <v>11618</v>
      </c>
      <c r="B1619" s="4">
        <v>47249</v>
      </c>
      <c r="C1619" t="s">
        <v>1750</v>
      </c>
      <c r="D1619" t="s">
        <v>40</v>
      </c>
      <c r="E1619" t="s">
        <v>41</v>
      </c>
      <c r="F1619" t="s">
        <v>84</v>
      </c>
      <c r="G1619">
        <v>4</v>
      </c>
      <c r="H1619" s="5">
        <v>3.5</v>
      </c>
      <c r="I1619" t="s">
        <v>21</v>
      </c>
      <c r="J1619" t="s">
        <v>51</v>
      </c>
      <c r="K1619" t="s">
        <v>52</v>
      </c>
      <c r="L1619" t="s">
        <v>2125</v>
      </c>
      <c r="M1619" s="5">
        <f t="shared" si="151"/>
        <v>14</v>
      </c>
      <c r="N1619" t="str">
        <f t="shared" si="152"/>
        <v>May</v>
      </c>
      <c r="O1619" t="str">
        <f t="shared" si="153"/>
        <v>Friday</v>
      </c>
      <c r="P1619">
        <f t="shared" si="150"/>
        <v>14</v>
      </c>
      <c r="Q1619" s="2">
        <f t="shared" si="154"/>
        <v>5</v>
      </c>
      <c r="R1619" s="2">
        <f t="shared" si="155"/>
        <v>5</v>
      </c>
      <c r="S1619">
        <f>SUMIF(Table1[product_category],"Bakery",Table1[Total_bill])</f>
        <v>2951.25</v>
      </c>
    </row>
    <row r="1620" spans="1:19" x14ac:dyDescent="0.3">
      <c r="A1620" s="2">
        <v>11619</v>
      </c>
      <c r="B1620" s="4">
        <v>47250</v>
      </c>
      <c r="C1620" t="s">
        <v>1751</v>
      </c>
      <c r="D1620" t="s">
        <v>18</v>
      </c>
      <c r="E1620" t="s">
        <v>19</v>
      </c>
      <c r="F1620" t="s">
        <v>86</v>
      </c>
      <c r="G1620">
        <v>2</v>
      </c>
      <c r="H1620" s="5">
        <v>2.25</v>
      </c>
      <c r="I1620" t="s">
        <v>32</v>
      </c>
      <c r="J1620" t="s">
        <v>43</v>
      </c>
      <c r="K1620" t="s">
        <v>44</v>
      </c>
      <c r="L1620" t="s">
        <v>2124</v>
      </c>
      <c r="M1620" s="5">
        <f t="shared" si="151"/>
        <v>4.5</v>
      </c>
      <c r="N1620" t="str">
        <f t="shared" si="152"/>
        <v>May</v>
      </c>
      <c r="O1620" t="str">
        <f t="shared" si="153"/>
        <v>Saturday</v>
      </c>
      <c r="P1620">
        <f t="shared" si="150"/>
        <v>12</v>
      </c>
      <c r="Q1620" s="2">
        <f t="shared" si="154"/>
        <v>6</v>
      </c>
      <c r="R1620" s="2">
        <f t="shared" si="155"/>
        <v>5</v>
      </c>
      <c r="S1620">
        <f>SUMIF(Table1[product_category],"Bakery",Table1[Total_bill])</f>
        <v>2951.25</v>
      </c>
    </row>
    <row r="1621" spans="1:19" x14ac:dyDescent="0.3">
      <c r="A1621" s="2">
        <v>11620</v>
      </c>
      <c r="B1621" s="4">
        <v>47251</v>
      </c>
      <c r="C1621" t="s">
        <v>1752</v>
      </c>
      <c r="D1621" t="s">
        <v>18</v>
      </c>
      <c r="E1621" t="s">
        <v>19</v>
      </c>
      <c r="F1621" t="s">
        <v>88</v>
      </c>
      <c r="G1621">
        <v>2</v>
      </c>
      <c r="H1621" s="5">
        <v>3</v>
      </c>
      <c r="I1621" t="s">
        <v>36</v>
      </c>
      <c r="J1621" t="s">
        <v>37</v>
      </c>
      <c r="K1621" t="s">
        <v>276</v>
      </c>
      <c r="L1621" t="s">
        <v>2124</v>
      </c>
      <c r="M1621" s="5">
        <f t="shared" si="151"/>
        <v>6</v>
      </c>
      <c r="N1621" t="str">
        <f t="shared" si="152"/>
        <v>May</v>
      </c>
      <c r="O1621" t="str">
        <f t="shared" si="153"/>
        <v>Sunday</v>
      </c>
      <c r="P1621">
        <f t="shared" si="150"/>
        <v>15</v>
      </c>
      <c r="Q1621" s="2">
        <f t="shared" si="154"/>
        <v>7</v>
      </c>
      <c r="R1621" s="2">
        <f t="shared" si="155"/>
        <v>5</v>
      </c>
      <c r="S1621">
        <f>SUMIF(Table1[product_category],"Bakery",Table1[Total_bill])</f>
        <v>2951.25</v>
      </c>
    </row>
    <row r="1622" spans="1:19" x14ac:dyDescent="0.3">
      <c r="A1622" s="2">
        <v>11621</v>
      </c>
      <c r="B1622" s="4">
        <v>47252</v>
      </c>
      <c r="C1622" t="s">
        <v>1753</v>
      </c>
      <c r="D1622" t="s">
        <v>18</v>
      </c>
      <c r="E1622" t="s">
        <v>19</v>
      </c>
      <c r="F1622" t="s">
        <v>93</v>
      </c>
      <c r="G1622">
        <v>4</v>
      </c>
      <c r="H1622" s="5">
        <v>5.5</v>
      </c>
      <c r="I1622" t="s">
        <v>72</v>
      </c>
      <c r="J1622" t="s">
        <v>72</v>
      </c>
      <c r="K1622" t="s">
        <v>73</v>
      </c>
      <c r="L1622" t="s">
        <v>2125</v>
      </c>
      <c r="M1622" s="5">
        <f t="shared" si="151"/>
        <v>22</v>
      </c>
      <c r="N1622" t="str">
        <f t="shared" si="152"/>
        <v>May</v>
      </c>
      <c r="O1622" t="str">
        <f t="shared" si="153"/>
        <v>Monday</v>
      </c>
      <c r="P1622">
        <f t="shared" si="150"/>
        <v>11</v>
      </c>
      <c r="Q1622" s="2">
        <f t="shared" si="154"/>
        <v>1</v>
      </c>
      <c r="R1622" s="2">
        <f t="shared" si="155"/>
        <v>5</v>
      </c>
      <c r="S1622">
        <f>SUMIF(Table1[product_category],"Bakery",Table1[Total_bill])</f>
        <v>2951.25</v>
      </c>
    </row>
    <row r="1623" spans="1:19" x14ac:dyDescent="0.3">
      <c r="A1623" s="2">
        <v>11622</v>
      </c>
      <c r="B1623" s="4">
        <v>47253</v>
      </c>
      <c r="C1623" t="s">
        <v>1754</v>
      </c>
      <c r="D1623" t="s">
        <v>40</v>
      </c>
      <c r="E1623" t="s">
        <v>41</v>
      </c>
      <c r="F1623" t="s">
        <v>97</v>
      </c>
      <c r="G1623">
        <v>4</v>
      </c>
      <c r="H1623" s="5">
        <v>3</v>
      </c>
      <c r="I1623" t="s">
        <v>36</v>
      </c>
      <c r="J1623" t="s">
        <v>37</v>
      </c>
      <c r="K1623" t="s">
        <v>38</v>
      </c>
      <c r="L1623" t="s">
        <v>2124</v>
      </c>
      <c r="M1623" s="5">
        <f t="shared" si="151"/>
        <v>12</v>
      </c>
      <c r="N1623" t="str">
        <f t="shared" si="152"/>
        <v>May</v>
      </c>
      <c r="O1623" t="str">
        <f t="shared" si="153"/>
        <v>Tuesday</v>
      </c>
      <c r="P1623">
        <f t="shared" si="150"/>
        <v>7</v>
      </c>
      <c r="Q1623" s="2">
        <f t="shared" si="154"/>
        <v>2</v>
      </c>
      <c r="R1623" s="2">
        <f t="shared" si="155"/>
        <v>5</v>
      </c>
      <c r="S1623">
        <f>SUMIF(Table1[product_category],"Bakery",Table1[Total_bill])</f>
        <v>2951.25</v>
      </c>
    </row>
    <row r="1624" spans="1:19" x14ac:dyDescent="0.3">
      <c r="A1624" s="2">
        <v>11623</v>
      </c>
      <c r="B1624" s="4">
        <v>47254</v>
      </c>
      <c r="C1624" t="s">
        <v>1755</v>
      </c>
      <c r="D1624" t="s">
        <v>18</v>
      </c>
      <c r="E1624" t="s">
        <v>19</v>
      </c>
      <c r="F1624" t="s">
        <v>100</v>
      </c>
      <c r="G1624">
        <v>2</v>
      </c>
      <c r="H1624" s="5">
        <v>3</v>
      </c>
      <c r="I1624" t="s">
        <v>32</v>
      </c>
      <c r="J1624" t="s">
        <v>226</v>
      </c>
      <c r="K1624" t="s">
        <v>227</v>
      </c>
      <c r="L1624" t="s">
        <v>2124</v>
      </c>
      <c r="M1624" s="5">
        <f t="shared" si="151"/>
        <v>6</v>
      </c>
      <c r="N1624" t="str">
        <f t="shared" si="152"/>
        <v>May</v>
      </c>
      <c r="O1624" t="str">
        <f t="shared" si="153"/>
        <v>Wednesday</v>
      </c>
      <c r="P1624">
        <f t="shared" si="150"/>
        <v>12</v>
      </c>
      <c r="Q1624" s="2">
        <f t="shared" si="154"/>
        <v>3</v>
      </c>
      <c r="R1624" s="2">
        <f t="shared" si="155"/>
        <v>5</v>
      </c>
      <c r="S1624">
        <f>SUMIF(Table1[product_category],"Bakery",Table1[Total_bill])</f>
        <v>2951.25</v>
      </c>
    </row>
    <row r="1625" spans="1:19" x14ac:dyDescent="0.3">
      <c r="A1625" s="2">
        <v>11624</v>
      </c>
      <c r="B1625" s="4">
        <v>47255</v>
      </c>
      <c r="C1625" t="s">
        <v>1756</v>
      </c>
      <c r="D1625" t="s">
        <v>40</v>
      </c>
      <c r="E1625" t="s">
        <v>41</v>
      </c>
      <c r="F1625" t="s">
        <v>105</v>
      </c>
      <c r="G1625">
        <v>3</v>
      </c>
      <c r="H1625" s="5">
        <v>2.25</v>
      </c>
      <c r="I1625" t="s">
        <v>32</v>
      </c>
      <c r="J1625" t="s">
        <v>43</v>
      </c>
      <c r="K1625" t="s">
        <v>44</v>
      </c>
      <c r="L1625" t="s">
        <v>2124</v>
      </c>
      <c r="M1625" s="5">
        <f t="shared" si="151"/>
        <v>6.75</v>
      </c>
      <c r="N1625" t="str">
        <f t="shared" si="152"/>
        <v>May</v>
      </c>
      <c r="O1625" t="str">
        <f t="shared" si="153"/>
        <v>Thursday</v>
      </c>
      <c r="P1625">
        <f t="shared" si="150"/>
        <v>20</v>
      </c>
      <c r="Q1625" s="2">
        <f t="shared" si="154"/>
        <v>4</v>
      </c>
      <c r="R1625" s="2">
        <f t="shared" si="155"/>
        <v>5</v>
      </c>
      <c r="S1625">
        <f>SUMIF(Table1[product_category],"Bakery",Table1[Total_bill])</f>
        <v>2951.25</v>
      </c>
    </row>
    <row r="1626" spans="1:19" x14ac:dyDescent="0.3">
      <c r="A1626" s="2">
        <v>11625</v>
      </c>
      <c r="B1626" s="4">
        <v>47256</v>
      </c>
      <c r="C1626" t="s">
        <v>1757</v>
      </c>
      <c r="D1626" t="s">
        <v>40</v>
      </c>
      <c r="E1626" t="s">
        <v>41</v>
      </c>
      <c r="F1626" t="s">
        <v>107</v>
      </c>
      <c r="G1626">
        <v>3</v>
      </c>
      <c r="H1626" s="5">
        <v>5</v>
      </c>
      <c r="I1626" t="s">
        <v>89</v>
      </c>
      <c r="J1626" t="s">
        <v>90</v>
      </c>
      <c r="K1626" t="s">
        <v>91</v>
      </c>
      <c r="L1626" t="s">
        <v>2123</v>
      </c>
      <c r="M1626" s="5">
        <f t="shared" si="151"/>
        <v>15</v>
      </c>
      <c r="N1626" t="str">
        <f t="shared" si="152"/>
        <v>May</v>
      </c>
      <c r="O1626" t="str">
        <f t="shared" si="153"/>
        <v>Friday</v>
      </c>
      <c r="P1626">
        <f t="shared" si="150"/>
        <v>8</v>
      </c>
      <c r="Q1626" s="2">
        <f t="shared" si="154"/>
        <v>5</v>
      </c>
      <c r="R1626" s="2">
        <f t="shared" si="155"/>
        <v>5</v>
      </c>
      <c r="S1626">
        <f>SUMIF(Table1[product_category],"Bakery",Table1[Total_bill])</f>
        <v>2951.25</v>
      </c>
    </row>
    <row r="1627" spans="1:19" x14ac:dyDescent="0.3">
      <c r="A1627" s="2">
        <v>11626</v>
      </c>
      <c r="B1627" s="4">
        <v>47257</v>
      </c>
      <c r="C1627" t="s">
        <v>1758</v>
      </c>
      <c r="D1627" t="s">
        <v>18</v>
      </c>
      <c r="E1627" t="s">
        <v>19</v>
      </c>
      <c r="F1627" t="s">
        <v>109</v>
      </c>
      <c r="G1627">
        <v>2</v>
      </c>
      <c r="H1627" s="5">
        <v>2.75</v>
      </c>
      <c r="I1627" t="s">
        <v>32</v>
      </c>
      <c r="J1627" t="s">
        <v>226</v>
      </c>
      <c r="K1627" t="s">
        <v>273</v>
      </c>
      <c r="L1627" t="s">
        <v>2122</v>
      </c>
      <c r="M1627" s="5">
        <f t="shared" si="151"/>
        <v>5.5</v>
      </c>
      <c r="N1627" t="str">
        <f t="shared" si="152"/>
        <v>May</v>
      </c>
      <c r="O1627" t="str">
        <f t="shared" si="153"/>
        <v>Saturday</v>
      </c>
      <c r="P1627">
        <f t="shared" si="150"/>
        <v>14</v>
      </c>
      <c r="Q1627" s="2">
        <f t="shared" si="154"/>
        <v>6</v>
      </c>
      <c r="R1627" s="2">
        <f t="shared" si="155"/>
        <v>5</v>
      </c>
      <c r="S1627">
        <f>SUMIF(Table1[product_category],"Bakery",Table1[Total_bill])</f>
        <v>2951.25</v>
      </c>
    </row>
    <row r="1628" spans="1:19" x14ac:dyDescent="0.3">
      <c r="A1628" s="2">
        <v>11627</v>
      </c>
      <c r="B1628" s="4">
        <v>47258</v>
      </c>
      <c r="C1628" t="s">
        <v>1759</v>
      </c>
      <c r="D1628" t="s">
        <v>18</v>
      </c>
      <c r="E1628" t="s">
        <v>19</v>
      </c>
      <c r="F1628" t="s">
        <v>112</v>
      </c>
      <c r="G1628">
        <v>2</v>
      </c>
      <c r="H1628" s="5">
        <v>4.5</v>
      </c>
      <c r="I1628" t="s">
        <v>89</v>
      </c>
      <c r="J1628" t="s">
        <v>90</v>
      </c>
      <c r="K1628" t="s">
        <v>91</v>
      </c>
      <c r="L1628" t="s">
        <v>2124</v>
      </c>
      <c r="M1628" s="5">
        <f t="shared" si="151"/>
        <v>9</v>
      </c>
      <c r="N1628" t="str">
        <f t="shared" si="152"/>
        <v>May</v>
      </c>
      <c r="O1628" t="str">
        <f t="shared" si="153"/>
        <v>Sunday</v>
      </c>
      <c r="P1628">
        <f t="shared" si="150"/>
        <v>8</v>
      </c>
      <c r="Q1628" s="2">
        <f t="shared" si="154"/>
        <v>7</v>
      </c>
      <c r="R1628" s="2">
        <f t="shared" si="155"/>
        <v>5</v>
      </c>
      <c r="S1628">
        <f>SUMIF(Table1[product_category],"Bakery",Table1[Total_bill])</f>
        <v>2951.25</v>
      </c>
    </row>
    <row r="1629" spans="1:19" x14ac:dyDescent="0.3">
      <c r="A1629" s="2">
        <v>11628</v>
      </c>
      <c r="B1629" s="4">
        <v>47259</v>
      </c>
      <c r="C1629" t="s">
        <v>1760</v>
      </c>
      <c r="D1629" t="s">
        <v>40</v>
      </c>
      <c r="E1629" t="s">
        <v>41</v>
      </c>
      <c r="F1629" t="s">
        <v>115</v>
      </c>
      <c r="G1629">
        <v>1</v>
      </c>
      <c r="H1629" s="5">
        <v>3</v>
      </c>
      <c r="I1629" t="s">
        <v>36</v>
      </c>
      <c r="J1629" t="s">
        <v>37</v>
      </c>
      <c r="K1629" t="s">
        <v>38</v>
      </c>
      <c r="L1629" t="s">
        <v>2124</v>
      </c>
      <c r="M1629" s="5">
        <f t="shared" si="151"/>
        <v>3</v>
      </c>
      <c r="N1629" t="str">
        <f t="shared" si="152"/>
        <v>May</v>
      </c>
      <c r="O1629" t="str">
        <f t="shared" si="153"/>
        <v>Monday</v>
      </c>
      <c r="P1629">
        <f t="shared" si="150"/>
        <v>12</v>
      </c>
      <c r="Q1629" s="2">
        <f t="shared" si="154"/>
        <v>1</v>
      </c>
      <c r="R1629" s="2">
        <f t="shared" si="155"/>
        <v>5</v>
      </c>
      <c r="S1629">
        <f>SUMIF(Table1[product_category],"Bakery",Table1[Total_bill])</f>
        <v>2951.25</v>
      </c>
    </row>
    <row r="1630" spans="1:19" x14ac:dyDescent="0.3">
      <c r="A1630" s="2">
        <v>11629</v>
      </c>
      <c r="B1630" s="4">
        <v>47260</v>
      </c>
      <c r="C1630" t="s">
        <v>1761</v>
      </c>
      <c r="D1630" t="s">
        <v>18</v>
      </c>
      <c r="E1630" t="s">
        <v>19</v>
      </c>
      <c r="F1630" t="s">
        <v>117</v>
      </c>
      <c r="G1630">
        <v>1</v>
      </c>
      <c r="H1630" s="5">
        <v>3.25</v>
      </c>
      <c r="I1630" t="s">
        <v>21</v>
      </c>
      <c r="J1630" t="s">
        <v>81</v>
      </c>
      <c r="K1630" t="s">
        <v>113</v>
      </c>
      <c r="L1630" t="s">
        <v>2125</v>
      </c>
      <c r="M1630" s="5">
        <f t="shared" si="151"/>
        <v>3.25</v>
      </c>
      <c r="N1630" t="str">
        <f t="shared" si="152"/>
        <v>May</v>
      </c>
      <c r="O1630" t="str">
        <f t="shared" si="153"/>
        <v>Tuesday</v>
      </c>
      <c r="P1630">
        <f t="shared" si="150"/>
        <v>7</v>
      </c>
      <c r="Q1630" s="2">
        <f t="shared" si="154"/>
        <v>2</v>
      </c>
      <c r="R1630" s="2">
        <f t="shared" si="155"/>
        <v>5</v>
      </c>
      <c r="S1630">
        <f>SUMIF(Table1[product_category],"Bakery",Table1[Total_bill])</f>
        <v>2951.25</v>
      </c>
    </row>
    <row r="1631" spans="1:19" x14ac:dyDescent="0.3">
      <c r="A1631" s="2">
        <v>11630</v>
      </c>
      <c r="B1631" s="4">
        <v>47261</v>
      </c>
      <c r="C1631" t="s">
        <v>1762</v>
      </c>
      <c r="D1631" t="s">
        <v>18</v>
      </c>
      <c r="E1631" t="s">
        <v>19</v>
      </c>
      <c r="F1631" t="s">
        <v>119</v>
      </c>
      <c r="G1631">
        <v>4</v>
      </c>
      <c r="H1631" s="5">
        <v>3.25</v>
      </c>
      <c r="I1631" t="s">
        <v>36</v>
      </c>
      <c r="J1631" t="s">
        <v>211</v>
      </c>
      <c r="K1631" t="s">
        <v>239</v>
      </c>
      <c r="L1631" t="s">
        <v>2122</v>
      </c>
      <c r="M1631" s="5">
        <f t="shared" si="151"/>
        <v>13</v>
      </c>
      <c r="N1631" t="str">
        <f t="shared" si="152"/>
        <v>May</v>
      </c>
      <c r="O1631" t="str">
        <f t="shared" si="153"/>
        <v>Wednesday</v>
      </c>
      <c r="P1631">
        <f t="shared" si="150"/>
        <v>11</v>
      </c>
      <c r="Q1631" s="2">
        <f t="shared" si="154"/>
        <v>3</v>
      </c>
      <c r="R1631" s="2">
        <f t="shared" si="155"/>
        <v>5</v>
      </c>
      <c r="S1631">
        <f>SUMIF(Table1[product_category],"Bakery",Table1[Total_bill])</f>
        <v>2951.25</v>
      </c>
    </row>
    <row r="1632" spans="1:19" x14ac:dyDescent="0.3">
      <c r="A1632" s="2">
        <v>11631</v>
      </c>
      <c r="B1632" s="4">
        <v>47262</v>
      </c>
      <c r="C1632" t="s">
        <v>1763</v>
      </c>
      <c r="D1632" t="s">
        <v>25</v>
      </c>
      <c r="E1632" t="s">
        <v>26</v>
      </c>
      <c r="F1632" t="s">
        <v>121</v>
      </c>
      <c r="G1632">
        <v>2</v>
      </c>
      <c r="H1632" s="5">
        <v>4</v>
      </c>
      <c r="I1632" t="s">
        <v>89</v>
      </c>
      <c r="J1632" t="s">
        <v>261</v>
      </c>
      <c r="K1632" t="s">
        <v>261</v>
      </c>
      <c r="L1632" t="s">
        <v>2124</v>
      </c>
      <c r="M1632" s="5">
        <f t="shared" si="151"/>
        <v>8</v>
      </c>
      <c r="N1632" t="str">
        <f t="shared" si="152"/>
        <v>May</v>
      </c>
      <c r="O1632" t="str">
        <f t="shared" si="153"/>
        <v>Thursday</v>
      </c>
      <c r="P1632">
        <f t="shared" si="150"/>
        <v>15</v>
      </c>
      <c r="Q1632" s="2">
        <f t="shared" si="154"/>
        <v>4</v>
      </c>
      <c r="R1632" s="2">
        <f t="shared" si="155"/>
        <v>5</v>
      </c>
      <c r="S1632">
        <f>SUMIF(Table1[product_category],"Bakery",Table1[Total_bill])</f>
        <v>2951.25</v>
      </c>
    </row>
    <row r="1633" spans="1:19" x14ac:dyDescent="0.3">
      <c r="A1633" s="2">
        <v>11632</v>
      </c>
      <c r="B1633" s="4">
        <v>47263</v>
      </c>
      <c r="C1633" t="s">
        <v>1764</v>
      </c>
      <c r="D1633" t="s">
        <v>18</v>
      </c>
      <c r="E1633" t="s">
        <v>19</v>
      </c>
      <c r="F1633" t="s">
        <v>124</v>
      </c>
      <c r="G1633">
        <v>1</v>
      </c>
      <c r="H1633" s="5">
        <v>4.25</v>
      </c>
      <c r="I1633" t="s">
        <v>32</v>
      </c>
      <c r="J1633" t="s">
        <v>69</v>
      </c>
      <c r="K1633" t="s">
        <v>69</v>
      </c>
      <c r="L1633" t="s">
        <v>2124</v>
      </c>
      <c r="M1633" s="5">
        <f t="shared" si="151"/>
        <v>4.25</v>
      </c>
      <c r="N1633" t="str">
        <f t="shared" si="152"/>
        <v>May</v>
      </c>
      <c r="O1633" t="str">
        <f t="shared" si="153"/>
        <v>Friday</v>
      </c>
      <c r="P1633">
        <f t="shared" si="150"/>
        <v>9</v>
      </c>
      <c r="Q1633" s="2">
        <f t="shared" si="154"/>
        <v>5</v>
      </c>
      <c r="R1633" s="2">
        <f t="shared" si="155"/>
        <v>5</v>
      </c>
      <c r="S1633">
        <f>SUMIF(Table1[product_category],"Bakery",Table1[Total_bill])</f>
        <v>2951.25</v>
      </c>
    </row>
    <row r="1634" spans="1:19" x14ac:dyDescent="0.3">
      <c r="A1634" s="2">
        <v>11633</v>
      </c>
      <c r="B1634" s="4">
        <v>47264</v>
      </c>
      <c r="C1634" t="s">
        <v>1765</v>
      </c>
      <c r="D1634" t="s">
        <v>25</v>
      </c>
      <c r="E1634" t="s">
        <v>26</v>
      </c>
      <c r="F1634" t="s">
        <v>126</v>
      </c>
      <c r="G1634">
        <v>4</v>
      </c>
      <c r="H1634" s="5">
        <v>3.25</v>
      </c>
      <c r="I1634" t="s">
        <v>21</v>
      </c>
      <c r="J1634" t="s">
        <v>81</v>
      </c>
      <c r="K1634" t="s">
        <v>82</v>
      </c>
      <c r="L1634" t="s">
        <v>2125</v>
      </c>
      <c r="M1634" s="5">
        <f t="shared" si="151"/>
        <v>13</v>
      </c>
      <c r="N1634" t="str">
        <f t="shared" si="152"/>
        <v>May</v>
      </c>
      <c r="O1634" t="str">
        <f t="shared" si="153"/>
        <v>Saturday</v>
      </c>
      <c r="P1634">
        <f t="shared" si="150"/>
        <v>14</v>
      </c>
      <c r="Q1634" s="2">
        <f t="shared" si="154"/>
        <v>6</v>
      </c>
      <c r="R1634" s="2">
        <f t="shared" si="155"/>
        <v>5</v>
      </c>
      <c r="S1634">
        <f>SUMIF(Table1[product_category],"Bakery",Table1[Total_bill])</f>
        <v>2951.25</v>
      </c>
    </row>
    <row r="1635" spans="1:19" x14ac:dyDescent="0.3">
      <c r="A1635" s="2">
        <v>11634</v>
      </c>
      <c r="B1635" s="4">
        <v>47265</v>
      </c>
      <c r="C1635" t="s">
        <v>1766</v>
      </c>
      <c r="D1635" t="s">
        <v>25</v>
      </c>
      <c r="E1635" t="s">
        <v>26</v>
      </c>
      <c r="F1635" t="s">
        <v>128</v>
      </c>
      <c r="G1635">
        <v>4</v>
      </c>
      <c r="H1635" s="5">
        <v>9.5</v>
      </c>
      <c r="I1635" t="s">
        <v>28</v>
      </c>
      <c r="J1635" t="s">
        <v>28</v>
      </c>
      <c r="K1635" t="s">
        <v>29</v>
      </c>
      <c r="L1635" t="s">
        <v>2125</v>
      </c>
      <c r="M1635" s="5">
        <f t="shared" si="151"/>
        <v>38</v>
      </c>
      <c r="N1635" t="str">
        <f t="shared" si="152"/>
        <v>May</v>
      </c>
      <c r="O1635" t="str">
        <f t="shared" si="153"/>
        <v>Sunday</v>
      </c>
      <c r="P1635">
        <f t="shared" si="150"/>
        <v>16</v>
      </c>
      <c r="Q1635" s="2">
        <f t="shared" si="154"/>
        <v>7</v>
      </c>
      <c r="R1635" s="2">
        <f t="shared" si="155"/>
        <v>5</v>
      </c>
      <c r="S1635">
        <f>SUMIF(Table1[product_category],"Bakery",Table1[Total_bill])</f>
        <v>2951.25</v>
      </c>
    </row>
    <row r="1636" spans="1:19" x14ac:dyDescent="0.3">
      <c r="A1636" s="2">
        <v>11635</v>
      </c>
      <c r="B1636" s="4">
        <v>47266</v>
      </c>
      <c r="C1636" t="s">
        <v>1767</v>
      </c>
      <c r="D1636" t="s">
        <v>40</v>
      </c>
      <c r="E1636" t="s">
        <v>41</v>
      </c>
      <c r="F1636" t="s">
        <v>131</v>
      </c>
      <c r="G1636">
        <v>2</v>
      </c>
      <c r="H1636" s="5">
        <v>2.5</v>
      </c>
      <c r="I1636" t="s">
        <v>36</v>
      </c>
      <c r="J1636" t="s">
        <v>37</v>
      </c>
      <c r="K1636" t="s">
        <v>276</v>
      </c>
      <c r="L1636" t="s">
        <v>2122</v>
      </c>
      <c r="M1636" s="5">
        <f t="shared" si="151"/>
        <v>5</v>
      </c>
      <c r="N1636" t="str">
        <f t="shared" si="152"/>
        <v>May</v>
      </c>
      <c r="O1636" t="str">
        <f t="shared" si="153"/>
        <v>Monday</v>
      </c>
      <c r="P1636">
        <f t="shared" si="150"/>
        <v>18</v>
      </c>
      <c r="Q1636" s="2">
        <f t="shared" si="154"/>
        <v>1</v>
      </c>
      <c r="R1636" s="2">
        <f t="shared" si="155"/>
        <v>5</v>
      </c>
      <c r="S1636">
        <f>SUMIF(Table1[product_category],"Bakery",Table1[Total_bill])</f>
        <v>2951.25</v>
      </c>
    </row>
    <row r="1637" spans="1:19" x14ac:dyDescent="0.3">
      <c r="A1637" s="2">
        <v>11636</v>
      </c>
      <c r="B1637" s="4">
        <v>47267</v>
      </c>
      <c r="C1637" t="s">
        <v>1768</v>
      </c>
      <c r="D1637" t="s">
        <v>18</v>
      </c>
      <c r="E1637" t="s">
        <v>19</v>
      </c>
      <c r="F1637" t="s">
        <v>133</v>
      </c>
      <c r="G1637">
        <v>2</v>
      </c>
      <c r="H1637" s="5">
        <v>5.5</v>
      </c>
      <c r="I1637" t="s">
        <v>72</v>
      </c>
      <c r="J1637" t="s">
        <v>72</v>
      </c>
      <c r="K1637" t="s">
        <v>141</v>
      </c>
      <c r="L1637" t="s">
        <v>2125</v>
      </c>
      <c r="M1637" s="5">
        <f t="shared" si="151"/>
        <v>11</v>
      </c>
      <c r="N1637" t="str">
        <f t="shared" si="152"/>
        <v>May</v>
      </c>
      <c r="O1637" t="str">
        <f t="shared" si="153"/>
        <v>Tuesday</v>
      </c>
      <c r="P1637">
        <f t="shared" si="150"/>
        <v>8</v>
      </c>
      <c r="Q1637" s="2">
        <f t="shared" si="154"/>
        <v>2</v>
      </c>
      <c r="R1637" s="2">
        <f t="shared" si="155"/>
        <v>5</v>
      </c>
      <c r="S1637">
        <f>SUMIF(Table1[product_category],"Bakery",Table1[Total_bill])</f>
        <v>2951.25</v>
      </c>
    </row>
    <row r="1638" spans="1:19" x14ac:dyDescent="0.3">
      <c r="A1638" s="2">
        <v>11637</v>
      </c>
      <c r="B1638" s="4">
        <v>47268</v>
      </c>
      <c r="C1638" t="s">
        <v>1769</v>
      </c>
      <c r="D1638" t="s">
        <v>18</v>
      </c>
      <c r="E1638" t="s">
        <v>19</v>
      </c>
      <c r="F1638" t="s">
        <v>135</v>
      </c>
      <c r="G1638">
        <v>4</v>
      </c>
      <c r="H1638" s="5">
        <v>3.5</v>
      </c>
      <c r="I1638" t="s">
        <v>36</v>
      </c>
      <c r="J1638" t="s">
        <v>37</v>
      </c>
      <c r="K1638" t="s">
        <v>38</v>
      </c>
      <c r="L1638" t="s">
        <v>2123</v>
      </c>
      <c r="M1638" s="5">
        <f t="shared" si="151"/>
        <v>14</v>
      </c>
      <c r="N1638" t="str">
        <f t="shared" si="152"/>
        <v>May</v>
      </c>
      <c r="O1638" t="str">
        <f t="shared" si="153"/>
        <v>Wednesday</v>
      </c>
      <c r="P1638">
        <f t="shared" si="150"/>
        <v>10</v>
      </c>
      <c r="Q1638" s="2">
        <f t="shared" si="154"/>
        <v>3</v>
      </c>
      <c r="R1638" s="2">
        <f t="shared" si="155"/>
        <v>5</v>
      </c>
      <c r="S1638">
        <f>SUMIF(Table1[product_category],"Bakery",Table1[Total_bill])</f>
        <v>2951.25</v>
      </c>
    </row>
    <row r="1639" spans="1:19" x14ac:dyDescent="0.3">
      <c r="A1639" s="2">
        <v>11638</v>
      </c>
      <c r="B1639" s="4">
        <v>47269</v>
      </c>
      <c r="C1639" t="s">
        <v>1770</v>
      </c>
      <c r="D1639" t="s">
        <v>25</v>
      </c>
      <c r="E1639" t="s">
        <v>26</v>
      </c>
      <c r="F1639" t="s">
        <v>137</v>
      </c>
      <c r="G1639">
        <v>1</v>
      </c>
      <c r="H1639" s="5">
        <v>14</v>
      </c>
      <c r="I1639" t="s">
        <v>98</v>
      </c>
      <c r="J1639" t="s">
        <v>98</v>
      </c>
      <c r="K1639" t="s">
        <v>129</v>
      </c>
      <c r="L1639" t="s">
        <v>2125</v>
      </c>
      <c r="M1639" s="5">
        <f t="shared" si="151"/>
        <v>14</v>
      </c>
      <c r="N1639" t="str">
        <f t="shared" si="152"/>
        <v>May</v>
      </c>
      <c r="O1639" t="str">
        <f t="shared" si="153"/>
        <v>Thursday</v>
      </c>
      <c r="P1639">
        <f t="shared" si="150"/>
        <v>7</v>
      </c>
      <c r="Q1639" s="2">
        <f t="shared" si="154"/>
        <v>4</v>
      </c>
      <c r="R1639" s="2">
        <f t="shared" si="155"/>
        <v>5</v>
      </c>
      <c r="S1639">
        <f>SUMIF(Table1[product_category],"Bakery",Table1[Total_bill])</f>
        <v>2951.25</v>
      </c>
    </row>
    <row r="1640" spans="1:19" x14ac:dyDescent="0.3">
      <c r="A1640" s="2">
        <v>11639</v>
      </c>
      <c r="B1640" s="4">
        <v>47270</v>
      </c>
      <c r="C1640" t="s">
        <v>1771</v>
      </c>
      <c r="D1640" t="s">
        <v>25</v>
      </c>
      <c r="E1640" t="s">
        <v>26</v>
      </c>
      <c r="F1640" t="s">
        <v>140</v>
      </c>
      <c r="G1640">
        <v>3</v>
      </c>
      <c r="H1640" s="5">
        <v>24</v>
      </c>
      <c r="I1640" t="s">
        <v>101</v>
      </c>
      <c r="J1640" t="s">
        <v>102</v>
      </c>
      <c r="K1640" t="s">
        <v>103</v>
      </c>
      <c r="L1640" t="s">
        <v>2125</v>
      </c>
      <c r="M1640" s="5">
        <f t="shared" si="151"/>
        <v>72</v>
      </c>
      <c r="N1640" t="str">
        <f t="shared" si="152"/>
        <v>June</v>
      </c>
      <c r="O1640" t="str">
        <f t="shared" si="153"/>
        <v>Friday</v>
      </c>
      <c r="P1640">
        <f t="shared" si="150"/>
        <v>20</v>
      </c>
      <c r="Q1640" s="2">
        <f t="shared" si="154"/>
        <v>5</v>
      </c>
      <c r="R1640" s="2">
        <f t="shared" si="155"/>
        <v>6</v>
      </c>
      <c r="S1640">
        <f>SUMIF(Table1[product_category],"Bakery",Table1[Total_bill])</f>
        <v>2951.25</v>
      </c>
    </row>
    <row r="1641" spans="1:19" x14ac:dyDescent="0.3">
      <c r="A1641" s="2">
        <v>11640</v>
      </c>
      <c r="B1641" s="4">
        <v>47271</v>
      </c>
      <c r="C1641" t="s">
        <v>1772</v>
      </c>
      <c r="D1641" t="s">
        <v>40</v>
      </c>
      <c r="E1641" t="s">
        <v>41</v>
      </c>
      <c r="F1641" t="s">
        <v>143</v>
      </c>
      <c r="G1641">
        <v>1</v>
      </c>
      <c r="H1641" s="5">
        <v>5.5</v>
      </c>
      <c r="I1641" t="s">
        <v>72</v>
      </c>
      <c r="J1641" t="s">
        <v>72</v>
      </c>
      <c r="K1641" t="s">
        <v>73</v>
      </c>
      <c r="L1641" t="s">
        <v>2125</v>
      </c>
      <c r="M1641" s="5">
        <f t="shared" si="151"/>
        <v>5.5</v>
      </c>
      <c r="N1641" t="str">
        <f t="shared" si="152"/>
        <v>June</v>
      </c>
      <c r="O1641" t="str">
        <f t="shared" si="153"/>
        <v>Saturday</v>
      </c>
      <c r="P1641">
        <f t="shared" si="150"/>
        <v>18</v>
      </c>
      <c r="Q1641" s="2">
        <f t="shared" si="154"/>
        <v>6</v>
      </c>
      <c r="R1641" s="2">
        <f t="shared" si="155"/>
        <v>6</v>
      </c>
      <c r="S1641">
        <f>SUMIF(Table1[product_category],"Bakery",Table1[Total_bill])</f>
        <v>2951.25</v>
      </c>
    </row>
    <row r="1642" spans="1:19" x14ac:dyDescent="0.3">
      <c r="A1642" s="2">
        <v>11641</v>
      </c>
      <c r="B1642" s="4">
        <v>47272</v>
      </c>
      <c r="C1642" t="s">
        <v>1773</v>
      </c>
      <c r="D1642" t="s">
        <v>40</v>
      </c>
      <c r="E1642" t="s">
        <v>41</v>
      </c>
      <c r="F1642" t="s">
        <v>146</v>
      </c>
      <c r="G1642">
        <v>3</v>
      </c>
      <c r="H1642" s="5">
        <v>3.5</v>
      </c>
      <c r="I1642" t="s">
        <v>21</v>
      </c>
      <c r="J1642" t="s">
        <v>51</v>
      </c>
      <c r="K1642" t="s">
        <v>52</v>
      </c>
      <c r="L1642" t="s">
        <v>2125</v>
      </c>
      <c r="M1642" s="5">
        <f t="shared" si="151"/>
        <v>10.5</v>
      </c>
      <c r="N1642" t="str">
        <f t="shared" si="152"/>
        <v>June</v>
      </c>
      <c r="O1642" t="str">
        <f t="shared" si="153"/>
        <v>Sunday</v>
      </c>
      <c r="P1642">
        <f t="shared" si="150"/>
        <v>12</v>
      </c>
      <c r="Q1642" s="2">
        <f t="shared" si="154"/>
        <v>7</v>
      </c>
      <c r="R1642" s="2">
        <f t="shared" si="155"/>
        <v>6</v>
      </c>
      <c r="S1642">
        <f>SUMIF(Table1[product_category],"Bakery",Table1[Total_bill])</f>
        <v>2951.25</v>
      </c>
    </row>
    <row r="1643" spans="1:19" x14ac:dyDescent="0.3">
      <c r="A1643" s="2">
        <v>11642</v>
      </c>
      <c r="B1643" s="4">
        <v>47273</v>
      </c>
      <c r="C1643" t="s">
        <v>1774</v>
      </c>
      <c r="D1643" t="s">
        <v>25</v>
      </c>
      <c r="E1643" t="s">
        <v>26</v>
      </c>
      <c r="F1643" t="s">
        <v>148</v>
      </c>
      <c r="G1643">
        <v>2</v>
      </c>
      <c r="H1643" s="5">
        <v>11</v>
      </c>
      <c r="I1643" t="s">
        <v>98</v>
      </c>
      <c r="J1643" t="s">
        <v>98</v>
      </c>
      <c r="K1643" t="s">
        <v>215</v>
      </c>
      <c r="L1643" t="s">
        <v>2125</v>
      </c>
      <c r="M1643" s="5">
        <f t="shared" si="151"/>
        <v>22</v>
      </c>
      <c r="N1643" t="str">
        <f t="shared" si="152"/>
        <v>June</v>
      </c>
      <c r="O1643" t="str">
        <f t="shared" si="153"/>
        <v>Monday</v>
      </c>
      <c r="P1643">
        <f t="shared" si="150"/>
        <v>17</v>
      </c>
      <c r="Q1643" s="2">
        <f t="shared" si="154"/>
        <v>1</v>
      </c>
      <c r="R1643" s="2">
        <f t="shared" si="155"/>
        <v>6</v>
      </c>
      <c r="S1643">
        <f>SUMIF(Table1[product_category],"Bakery",Table1[Total_bill])</f>
        <v>2951.25</v>
      </c>
    </row>
    <row r="1644" spans="1:19" x14ac:dyDescent="0.3">
      <c r="A1644" s="2">
        <v>11643</v>
      </c>
      <c r="B1644" s="4">
        <v>47274</v>
      </c>
      <c r="C1644" t="s">
        <v>1775</v>
      </c>
      <c r="D1644" t="s">
        <v>18</v>
      </c>
      <c r="E1644" t="s">
        <v>19</v>
      </c>
      <c r="F1644" t="s">
        <v>150</v>
      </c>
      <c r="G1644">
        <v>4</v>
      </c>
      <c r="H1644" s="5">
        <v>13</v>
      </c>
      <c r="I1644" t="s">
        <v>98</v>
      </c>
      <c r="J1644" t="s">
        <v>98</v>
      </c>
      <c r="K1644" t="s">
        <v>95</v>
      </c>
      <c r="L1644" t="s">
        <v>2125</v>
      </c>
      <c r="M1644" s="5">
        <f t="shared" si="151"/>
        <v>52</v>
      </c>
      <c r="N1644" t="str">
        <f t="shared" si="152"/>
        <v>June</v>
      </c>
      <c r="O1644" t="str">
        <f t="shared" si="153"/>
        <v>Tuesday</v>
      </c>
      <c r="P1644">
        <f t="shared" si="150"/>
        <v>12</v>
      </c>
      <c r="Q1644" s="2">
        <f t="shared" si="154"/>
        <v>2</v>
      </c>
      <c r="R1644" s="2">
        <f t="shared" si="155"/>
        <v>6</v>
      </c>
      <c r="S1644">
        <f>SUMIF(Table1[product_category],"Bakery",Table1[Total_bill])</f>
        <v>2951.25</v>
      </c>
    </row>
    <row r="1645" spans="1:19" x14ac:dyDescent="0.3">
      <c r="A1645" s="2">
        <v>11644</v>
      </c>
      <c r="B1645" s="4">
        <v>47275</v>
      </c>
      <c r="C1645" t="s">
        <v>1776</v>
      </c>
      <c r="D1645" t="s">
        <v>25</v>
      </c>
      <c r="E1645" t="s">
        <v>26</v>
      </c>
      <c r="F1645" t="s">
        <v>152</v>
      </c>
      <c r="G1645">
        <v>1</v>
      </c>
      <c r="H1645" s="5">
        <v>3.25</v>
      </c>
      <c r="I1645" t="s">
        <v>32</v>
      </c>
      <c r="J1645" t="s">
        <v>144</v>
      </c>
      <c r="K1645" t="s">
        <v>144</v>
      </c>
      <c r="L1645" t="s">
        <v>2124</v>
      </c>
      <c r="M1645" s="5">
        <f t="shared" si="151"/>
        <v>3.25</v>
      </c>
      <c r="N1645" t="str">
        <f t="shared" si="152"/>
        <v>June</v>
      </c>
      <c r="O1645" t="str">
        <f t="shared" si="153"/>
        <v>Wednesday</v>
      </c>
      <c r="P1645">
        <f t="shared" si="150"/>
        <v>13</v>
      </c>
      <c r="Q1645" s="2">
        <f t="shared" si="154"/>
        <v>3</v>
      </c>
      <c r="R1645" s="2">
        <f t="shared" si="155"/>
        <v>6</v>
      </c>
      <c r="S1645">
        <f>SUMIF(Table1[product_category],"Bakery",Table1[Total_bill])</f>
        <v>2951.25</v>
      </c>
    </row>
    <row r="1646" spans="1:19" x14ac:dyDescent="0.3">
      <c r="A1646" s="2">
        <v>11645</v>
      </c>
      <c r="B1646" s="4">
        <v>47276</v>
      </c>
      <c r="C1646" t="s">
        <v>1777</v>
      </c>
      <c r="D1646" t="s">
        <v>25</v>
      </c>
      <c r="E1646" t="s">
        <v>26</v>
      </c>
      <c r="F1646" t="s">
        <v>154</v>
      </c>
      <c r="G1646">
        <v>3</v>
      </c>
      <c r="H1646" s="5">
        <v>2.75</v>
      </c>
      <c r="I1646" t="s">
        <v>21</v>
      </c>
      <c r="J1646" t="s">
        <v>22</v>
      </c>
      <c r="K1646" t="s">
        <v>23</v>
      </c>
      <c r="L1646" t="s">
        <v>2125</v>
      </c>
      <c r="M1646" s="5">
        <f t="shared" si="151"/>
        <v>8.25</v>
      </c>
      <c r="N1646" t="str">
        <f t="shared" si="152"/>
        <v>June</v>
      </c>
      <c r="O1646" t="str">
        <f t="shared" si="153"/>
        <v>Thursday</v>
      </c>
      <c r="P1646">
        <f t="shared" si="150"/>
        <v>7</v>
      </c>
      <c r="Q1646" s="2">
        <f t="shared" si="154"/>
        <v>4</v>
      </c>
      <c r="R1646" s="2">
        <f t="shared" si="155"/>
        <v>6</v>
      </c>
      <c r="S1646">
        <f>SUMIF(Table1[product_category],"Bakery",Table1[Total_bill])</f>
        <v>2951.25</v>
      </c>
    </row>
    <row r="1647" spans="1:19" x14ac:dyDescent="0.3">
      <c r="A1647" s="2">
        <v>11646</v>
      </c>
      <c r="B1647" s="4">
        <v>47277</v>
      </c>
      <c r="C1647" t="s">
        <v>1778</v>
      </c>
      <c r="D1647" t="s">
        <v>18</v>
      </c>
      <c r="E1647" t="s">
        <v>19</v>
      </c>
      <c r="F1647" t="s">
        <v>156</v>
      </c>
      <c r="G1647">
        <v>4</v>
      </c>
      <c r="H1647" s="5">
        <v>3</v>
      </c>
      <c r="I1647" t="s">
        <v>36</v>
      </c>
      <c r="J1647" t="s">
        <v>37</v>
      </c>
      <c r="K1647" t="s">
        <v>276</v>
      </c>
      <c r="L1647" t="s">
        <v>2124</v>
      </c>
      <c r="M1647" s="5">
        <f t="shared" si="151"/>
        <v>12</v>
      </c>
      <c r="N1647" t="str">
        <f t="shared" si="152"/>
        <v>June</v>
      </c>
      <c r="O1647" t="str">
        <f t="shared" si="153"/>
        <v>Friday</v>
      </c>
      <c r="P1647">
        <f t="shared" si="150"/>
        <v>15</v>
      </c>
      <c r="Q1647" s="2">
        <f t="shared" si="154"/>
        <v>5</v>
      </c>
      <c r="R1647" s="2">
        <f t="shared" si="155"/>
        <v>6</v>
      </c>
      <c r="S1647">
        <f>SUMIF(Table1[product_category],"Bakery",Table1[Total_bill])</f>
        <v>2951.25</v>
      </c>
    </row>
    <row r="1648" spans="1:19" x14ac:dyDescent="0.3">
      <c r="A1648" s="2">
        <v>11647</v>
      </c>
      <c r="B1648" s="4">
        <v>47278</v>
      </c>
      <c r="C1648" t="s">
        <v>1779</v>
      </c>
      <c r="D1648" t="s">
        <v>25</v>
      </c>
      <c r="E1648" t="s">
        <v>26</v>
      </c>
      <c r="F1648" t="s">
        <v>158</v>
      </c>
      <c r="G1648">
        <v>3</v>
      </c>
      <c r="H1648" s="5">
        <v>3.75</v>
      </c>
      <c r="I1648" t="s">
        <v>32</v>
      </c>
      <c r="J1648" t="s">
        <v>144</v>
      </c>
      <c r="K1648" t="s">
        <v>144</v>
      </c>
      <c r="L1648" t="s">
        <v>2123</v>
      </c>
      <c r="M1648" s="5">
        <f t="shared" si="151"/>
        <v>11.25</v>
      </c>
      <c r="N1648" t="str">
        <f t="shared" si="152"/>
        <v>June</v>
      </c>
      <c r="O1648" t="str">
        <f t="shared" si="153"/>
        <v>Saturday</v>
      </c>
      <c r="P1648">
        <f t="shared" si="150"/>
        <v>7</v>
      </c>
      <c r="Q1648" s="2">
        <f t="shared" si="154"/>
        <v>6</v>
      </c>
      <c r="R1648" s="2">
        <f t="shared" si="155"/>
        <v>6</v>
      </c>
      <c r="S1648">
        <f>SUMIF(Table1[product_category],"Bakery",Table1[Total_bill])</f>
        <v>2951.25</v>
      </c>
    </row>
    <row r="1649" spans="1:19" x14ac:dyDescent="0.3">
      <c r="A1649" s="2">
        <v>11648</v>
      </c>
      <c r="B1649" s="4">
        <v>47279</v>
      </c>
      <c r="C1649" t="s">
        <v>1780</v>
      </c>
      <c r="D1649" t="s">
        <v>40</v>
      </c>
      <c r="E1649" t="s">
        <v>41</v>
      </c>
      <c r="F1649" t="s">
        <v>160</v>
      </c>
      <c r="G1649">
        <v>1</v>
      </c>
      <c r="H1649" s="5">
        <v>3.5</v>
      </c>
      <c r="I1649" t="s">
        <v>36</v>
      </c>
      <c r="J1649" t="s">
        <v>37</v>
      </c>
      <c r="K1649" t="s">
        <v>276</v>
      </c>
      <c r="L1649" t="s">
        <v>2123</v>
      </c>
      <c r="M1649" s="5">
        <f t="shared" si="151"/>
        <v>3.5</v>
      </c>
      <c r="N1649" t="str">
        <f t="shared" si="152"/>
        <v>June</v>
      </c>
      <c r="O1649" t="str">
        <f t="shared" si="153"/>
        <v>Sunday</v>
      </c>
      <c r="P1649">
        <f t="shared" si="150"/>
        <v>16</v>
      </c>
      <c r="Q1649" s="2">
        <f t="shared" si="154"/>
        <v>7</v>
      </c>
      <c r="R1649" s="2">
        <f t="shared" si="155"/>
        <v>6</v>
      </c>
      <c r="S1649">
        <f>SUMIF(Table1[product_category],"Bakery",Table1[Total_bill])</f>
        <v>2951.25</v>
      </c>
    </row>
    <row r="1650" spans="1:19" x14ac:dyDescent="0.3">
      <c r="A1650" s="2">
        <v>11649</v>
      </c>
      <c r="B1650" s="4">
        <v>47280</v>
      </c>
      <c r="C1650" t="s">
        <v>1781</v>
      </c>
      <c r="D1650" t="s">
        <v>18</v>
      </c>
      <c r="E1650" t="s">
        <v>19</v>
      </c>
      <c r="F1650" t="s">
        <v>162</v>
      </c>
      <c r="G1650">
        <v>4</v>
      </c>
      <c r="H1650" s="5">
        <v>5.5</v>
      </c>
      <c r="I1650" t="s">
        <v>72</v>
      </c>
      <c r="J1650" t="s">
        <v>72</v>
      </c>
      <c r="K1650" t="s">
        <v>73</v>
      </c>
      <c r="L1650" t="s">
        <v>2125</v>
      </c>
      <c r="M1650" s="5">
        <f t="shared" si="151"/>
        <v>22</v>
      </c>
      <c r="N1650" t="str">
        <f t="shared" si="152"/>
        <v>June</v>
      </c>
      <c r="O1650" t="str">
        <f t="shared" si="153"/>
        <v>Monday</v>
      </c>
      <c r="P1650">
        <f t="shared" si="150"/>
        <v>16</v>
      </c>
      <c r="Q1650" s="2">
        <f t="shared" si="154"/>
        <v>1</v>
      </c>
      <c r="R1650" s="2">
        <f t="shared" si="155"/>
        <v>6</v>
      </c>
      <c r="S1650">
        <f>SUMIF(Table1[product_category],"Bakery",Table1[Total_bill])</f>
        <v>2951.25</v>
      </c>
    </row>
    <row r="1651" spans="1:19" x14ac:dyDescent="0.3">
      <c r="A1651" s="2">
        <v>11650</v>
      </c>
      <c r="B1651" s="4">
        <v>47281</v>
      </c>
      <c r="C1651" t="s">
        <v>1782</v>
      </c>
      <c r="D1651" t="s">
        <v>25</v>
      </c>
      <c r="E1651" t="s">
        <v>26</v>
      </c>
      <c r="F1651" t="s">
        <v>164</v>
      </c>
      <c r="G1651">
        <v>1</v>
      </c>
      <c r="H1651" s="5">
        <v>4</v>
      </c>
      <c r="I1651" t="s">
        <v>89</v>
      </c>
      <c r="J1651" t="s">
        <v>90</v>
      </c>
      <c r="K1651" t="s">
        <v>91</v>
      </c>
      <c r="L1651" t="s">
        <v>2122</v>
      </c>
      <c r="M1651" s="5">
        <f t="shared" si="151"/>
        <v>4</v>
      </c>
      <c r="N1651" t="str">
        <f t="shared" si="152"/>
        <v>June</v>
      </c>
      <c r="O1651" t="str">
        <f t="shared" si="153"/>
        <v>Tuesday</v>
      </c>
      <c r="P1651">
        <f t="shared" si="150"/>
        <v>14</v>
      </c>
      <c r="Q1651" s="2">
        <f t="shared" si="154"/>
        <v>2</v>
      </c>
      <c r="R1651" s="2">
        <f t="shared" si="155"/>
        <v>6</v>
      </c>
      <c r="S1651">
        <f>SUMIF(Table1[product_category],"Bakery",Table1[Total_bill])</f>
        <v>2951.25</v>
      </c>
    </row>
    <row r="1652" spans="1:19" x14ac:dyDescent="0.3">
      <c r="A1652" s="2">
        <v>11651</v>
      </c>
      <c r="B1652" s="4">
        <v>47282</v>
      </c>
      <c r="C1652" t="s">
        <v>1199</v>
      </c>
      <c r="D1652" t="s">
        <v>25</v>
      </c>
      <c r="E1652" t="s">
        <v>26</v>
      </c>
      <c r="F1652" t="s">
        <v>166</v>
      </c>
      <c r="G1652">
        <v>4</v>
      </c>
      <c r="H1652" s="5">
        <v>3.25</v>
      </c>
      <c r="I1652" t="s">
        <v>21</v>
      </c>
      <c r="J1652" t="s">
        <v>81</v>
      </c>
      <c r="K1652" t="s">
        <v>82</v>
      </c>
      <c r="L1652" t="s">
        <v>2125</v>
      </c>
      <c r="M1652" s="5">
        <f t="shared" si="151"/>
        <v>13</v>
      </c>
      <c r="N1652" t="str">
        <f t="shared" si="152"/>
        <v>June</v>
      </c>
      <c r="O1652" t="str">
        <f t="shared" si="153"/>
        <v>Wednesday</v>
      </c>
      <c r="P1652">
        <f t="shared" si="150"/>
        <v>6</v>
      </c>
      <c r="Q1652" s="2">
        <f t="shared" si="154"/>
        <v>3</v>
      </c>
      <c r="R1652" s="2">
        <f t="shared" si="155"/>
        <v>6</v>
      </c>
      <c r="S1652">
        <f>SUMIF(Table1[product_category],"Bakery",Table1[Total_bill])</f>
        <v>2951.25</v>
      </c>
    </row>
    <row r="1653" spans="1:19" x14ac:dyDescent="0.3">
      <c r="A1653" s="2">
        <v>11652</v>
      </c>
      <c r="B1653" s="4">
        <v>47283</v>
      </c>
      <c r="C1653" t="s">
        <v>1783</v>
      </c>
      <c r="D1653" t="s">
        <v>25</v>
      </c>
      <c r="E1653" t="s">
        <v>26</v>
      </c>
      <c r="F1653" t="s">
        <v>168</v>
      </c>
      <c r="G1653">
        <v>2</v>
      </c>
      <c r="H1653" s="5">
        <v>8</v>
      </c>
      <c r="I1653" t="s">
        <v>28</v>
      </c>
      <c r="J1653" t="s">
        <v>28</v>
      </c>
      <c r="K1653" t="s">
        <v>76</v>
      </c>
      <c r="L1653" t="s">
        <v>2125</v>
      </c>
      <c r="M1653" s="5">
        <f t="shared" si="151"/>
        <v>16</v>
      </c>
      <c r="N1653" t="str">
        <f t="shared" si="152"/>
        <v>June</v>
      </c>
      <c r="O1653" t="str">
        <f t="shared" si="153"/>
        <v>Thursday</v>
      </c>
      <c r="P1653">
        <f t="shared" si="150"/>
        <v>9</v>
      </c>
      <c r="Q1653" s="2">
        <f t="shared" si="154"/>
        <v>4</v>
      </c>
      <c r="R1653" s="2">
        <f t="shared" si="155"/>
        <v>6</v>
      </c>
      <c r="S1653">
        <f>SUMIF(Table1[product_category],"Bakery",Table1[Total_bill])</f>
        <v>2951.25</v>
      </c>
    </row>
    <row r="1654" spans="1:19" x14ac:dyDescent="0.3">
      <c r="A1654" s="2">
        <v>11653</v>
      </c>
      <c r="B1654" s="4">
        <v>47284</v>
      </c>
      <c r="C1654" t="s">
        <v>1784</v>
      </c>
      <c r="D1654" t="s">
        <v>40</v>
      </c>
      <c r="E1654" t="s">
        <v>41</v>
      </c>
      <c r="F1654" t="s">
        <v>170</v>
      </c>
      <c r="G1654">
        <v>1</v>
      </c>
      <c r="H1654" s="5">
        <v>3.25</v>
      </c>
      <c r="I1654" t="s">
        <v>36</v>
      </c>
      <c r="J1654" t="s">
        <v>211</v>
      </c>
      <c r="K1654" t="s">
        <v>212</v>
      </c>
      <c r="L1654" t="s">
        <v>2122</v>
      </c>
      <c r="M1654" s="5">
        <f t="shared" si="151"/>
        <v>3.25</v>
      </c>
      <c r="N1654" t="str">
        <f t="shared" si="152"/>
        <v>June</v>
      </c>
      <c r="O1654" t="str">
        <f t="shared" si="153"/>
        <v>Friday</v>
      </c>
      <c r="P1654">
        <f t="shared" si="150"/>
        <v>9</v>
      </c>
      <c r="Q1654" s="2">
        <f t="shared" si="154"/>
        <v>5</v>
      </c>
      <c r="R1654" s="2">
        <f t="shared" si="155"/>
        <v>6</v>
      </c>
      <c r="S1654">
        <f>SUMIF(Table1[product_category],"Bakery",Table1[Total_bill])</f>
        <v>2951.25</v>
      </c>
    </row>
    <row r="1655" spans="1:19" x14ac:dyDescent="0.3">
      <c r="A1655" s="2">
        <v>11654</v>
      </c>
      <c r="B1655" s="4">
        <v>47285</v>
      </c>
      <c r="C1655" t="s">
        <v>1785</v>
      </c>
      <c r="D1655" t="s">
        <v>40</v>
      </c>
      <c r="E1655" t="s">
        <v>41</v>
      </c>
      <c r="F1655" t="s">
        <v>172</v>
      </c>
      <c r="G1655">
        <v>4</v>
      </c>
      <c r="H1655" s="5">
        <v>4</v>
      </c>
      <c r="I1655" t="s">
        <v>32</v>
      </c>
      <c r="J1655" t="s">
        <v>55</v>
      </c>
      <c r="K1655" t="s">
        <v>55</v>
      </c>
      <c r="L1655" t="s">
        <v>2123</v>
      </c>
      <c r="M1655" s="5">
        <f t="shared" si="151"/>
        <v>16</v>
      </c>
      <c r="N1655" t="str">
        <f t="shared" si="152"/>
        <v>June</v>
      </c>
      <c r="O1655" t="str">
        <f t="shared" si="153"/>
        <v>Saturday</v>
      </c>
      <c r="P1655">
        <f t="shared" si="150"/>
        <v>10</v>
      </c>
      <c r="Q1655" s="2">
        <f t="shared" si="154"/>
        <v>6</v>
      </c>
      <c r="R1655" s="2">
        <f t="shared" si="155"/>
        <v>6</v>
      </c>
      <c r="S1655">
        <f>SUMIF(Table1[product_category],"Bakery",Table1[Total_bill])</f>
        <v>2951.25</v>
      </c>
    </row>
    <row r="1656" spans="1:19" x14ac:dyDescent="0.3">
      <c r="A1656" s="2">
        <v>11655</v>
      </c>
      <c r="B1656" s="4">
        <v>47286</v>
      </c>
      <c r="C1656" t="s">
        <v>1786</v>
      </c>
      <c r="D1656" t="s">
        <v>25</v>
      </c>
      <c r="E1656" t="s">
        <v>26</v>
      </c>
      <c r="F1656" t="s">
        <v>174</v>
      </c>
      <c r="G1656">
        <v>2</v>
      </c>
      <c r="H1656" s="5">
        <v>2.75</v>
      </c>
      <c r="I1656" t="s">
        <v>21</v>
      </c>
      <c r="J1656" t="s">
        <v>22</v>
      </c>
      <c r="K1656" t="s">
        <v>23</v>
      </c>
      <c r="L1656" t="s">
        <v>2125</v>
      </c>
      <c r="M1656" s="5">
        <f t="shared" si="151"/>
        <v>5.5</v>
      </c>
      <c r="N1656" t="str">
        <f t="shared" si="152"/>
        <v>June</v>
      </c>
      <c r="O1656" t="str">
        <f t="shared" si="153"/>
        <v>Sunday</v>
      </c>
      <c r="P1656">
        <f t="shared" si="150"/>
        <v>7</v>
      </c>
      <c r="Q1656" s="2">
        <f t="shared" si="154"/>
        <v>7</v>
      </c>
      <c r="R1656" s="2">
        <f t="shared" si="155"/>
        <v>6</v>
      </c>
      <c r="S1656">
        <f>SUMIF(Table1[product_category],"Bakery",Table1[Total_bill])</f>
        <v>2951.25</v>
      </c>
    </row>
    <row r="1657" spans="1:19" x14ac:dyDescent="0.3">
      <c r="A1657" s="2">
        <v>11656</v>
      </c>
      <c r="B1657" s="4">
        <v>47287</v>
      </c>
      <c r="C1657" t="s">
        <v>1787</v>
      </c>
      <c r="D1657" t="s">
        <v>25</v>
      </c>
      <c r="E1657" t="s">
        <v>26</v>
      </c>
      <c r="F1657" t="s">
        <v>176</v>
      </c>
      <c r="G1657">
        <v>2</v>
      </c>
      <c r="H1657" s="5">
        <v>3.75</v>
      </c>
      <c r="I1657" t="s">
        <v>32</v>
      </c>
      <c r="J1657" t="s">
        <v>226</v>
      </c>
      <c r="K1657" t="s">
        <v>273</v>
      </c>
      <c r="L1657" t="s">
        <v>2123</v>
      </c>
      <c r="M1657" s="5">
        <f t="shared" si="151"/>
        <v>7.5</v>
      </c>
      <c r="N1657" t="str">
        <f t="shared" si="152"/>
        <v>June</v>
      </c>
      <c r="O1657" t="str">
        <f t="shared" si="153"/>
        <v>Monday</v>
      </c>
      <c r="P1657">
        <f t="shared" si="150"/>
        <v>19</v>
      </c>
      <c r="Q1657" s="2">
        <f t="shared" si="154"/>
        <v>1</v>
      </c>
      <c r="R1657" s="2">
        <f t="shared" si="155"/>
        <v>6</v>
      </c>
      <c r="S1657">
        <f>SUMIF(Table1[product_category],"Bakery",Table1[Total_bill])</f>
        <v>2951.25</v>
      </c>
    </row>
    <row r="1658" spans="1:19" x14ac:dyDescent="0.3">
      <c r="A1658" s="2">
        <v>11657</v>
      </c>
      <c r="B1658" s="4">
        <v>47288</v>
      </c>
      <c r="C1658" t="s">
        <v>1788</v>
      </c>
      <c r="D1658" t="s">
        <v>18</v>
      </c>
      <c r="E1658" t="s">
        <v>19</v>
      </c>
      <c r="F1658" t="s">
        <v>178</v>
      </c>
      <c r="G1658">
        <v>1</v>
      </c>
      <c r="H1658" s="5">
        <v>24</v>
      </c>
      <c r="I1658" t="s">
        <v>101</v>
      </c>
      <c r="J1658" t="s">
        <v>102</v>
      </c>
      <c r="K1658" t="s">
        <v>103</v>
      </c>
      <c r="L1658" t="s">
        <v>2125</v>
      </c>
      <c r="M1658" s="5">
        <f t="shared" si="151"/>
        <v>24</v>
      </c>
      <c r="N1658" t="str">
        <f t="shared" si="152"/>
        <v>June</v>
      </c>
      <c r="O1658" t="str">
        <f t="shared" si="153"/>
        <v>Tuesday</v>
      </c>
      <c r="P1658">
        <f t="shared" si="150"/>
        <v>12</v>
      </c>
      <c r="Q1658" s="2">
        <f t="shared" si="154"/>
        <v>2</v>
      </c>
      <c r="R1658" s="2">
        <f t="shared" si="155"/>
        <v>6</v>
      </c>
      <c r="S1658">
        <f>SUMIF(Table1[product_category],"Bakery",Table1[Total_bill])</f>
        <v>2951.25</v>
      </c>
    </row>
    <row r="1659" spans="1:19" x14ac:dyDescent="0.3">
      <c r="A1659" s="2">
        <v>11658</v>
      </c>
      <c r="B1659" s="4">
        <v>47289</v>
      </c>
      <c r="C1659" t="s">
        <v>1789</v>
      </c>
      <c r="D1659" t="s">
        <v>40</v>
      </c>
      <c r="E1659" t="s">
        <v>41</v>
      </c>
      <c r="F1659" t="s">
        <v>180</v>
      </c>
      <c r="G1659">
        <v>1</v>
      </c>
      <c r="H1659" s="5">
        <v>4.5</v>
      </c>
      <c r="I1659" t="s">
        <v>32</v>
      </c>
      <c r="J1659" t="s">
        <v>94</v>
      </c>
      <c r="K1659" t="s">
        <v>95</v>
      </c>
      <c r="L1659" t="s">
        <v>2123</v>
      </c>
      <c r="M1659" s="5">
        <f t="shared" si="151"/>
        <v>4.5</v>
      </c>
      <c r="N1659" t="str">
        <f t="shared" si="152"/>
        <v>June</v>
      </c>
      <c r="O1659" t="str">
        <f t="shared" si="153"/>
        <v>Wednesday</v>
      </c>
      <c r="P1659">
        <f t="shared" si="150"/>
        <v>9</v>
      </c>
      <c r="Q1659" s="2">
        <f t="shared" si="154"/>
        <v>3</v>
      </c>
      <c r="R1659" s="2">
        <f t="shared" si="155"/>
        <v>6</v>
      </c>
      <c r="S1659">
        <f>SUMIF(Table1[product_category],"Bakery",Table1[Total_bill])</f>
        <v>2951.25</v>
      </c>
    </row>
    <row r="1660" spans="1:19" x14ac:dyDescent="0.3">
      <c r="A1660" s="2">
        <v>11659</v>
      </c>
      <c r="B1660" s="4">
        <v>47290</v>
      </c>
      <c r="C1660" t="s">
        <v>1790</v>
      </c>
      <c r="D1660" t="s">
        <v>25</v>
      </c>
      <c r="E1660" t="s">
        <v>26</v>
      </c>
      <c r="F1660" t="s">
        <v>184</v>
      </c>
      <c r="G1660">
        <v>2</v>
      </c>
      <c r="H1660" s="5">
        <v>3.5</v>
      </c>
      <c r="I1660" t="s">
        <v>36</v>
      </c>
      <c r="J1660" t="s">
        <v>246</v>
      </c>
      <c r="K1660" t="s">
        <v>247</v>
      </c>
      <c r="L1660" t="s">
        <v>2123</v>
      </c>
      <c r="M1660" s="5">
        <f t="shared" si="151"/>
        <v>7</v>
      </c>
      <c r="N1660" t="str">
        <f t="shared" si="152"/>
        <v>June</v>
      </c>
      <c r="O1660" t="str">
        <f t="shared" si="153"/>
        <v>Thursday</v>
      </c>
      <c r="P1660">
        <f t="shared" si="150"/>
        <v>10</v>
      </c>
      <c r="Q1660" s="2">
        <f t="shared" si="154"/>
        <v>4</v>
      </c>
      <c r="R1660" s="2">
        <f t="shared" si="155"/>
        <v>6</v>
      </c>
      <c r="S1660">
        <f>SUMIF(Table1[product_category],"Bakery",Table1[Total_bill])</f>
        <v>2951.25</v>
      </c>
    </row>
    <row r="1661" spans="1:19" x14ac:dyDescent="0.3">
      <c r="A1661" s="2">
        <v>11660</v>
      </c>
      <c r="B1661" s="4">
        <v>47291</v>
      </c>
      <c r="C1661" t="s">
        <v>1791</v>
      </c>
      <c r="D1661" t="s">
        <v>40</v>
      </c>
      <c r="E1661" t="s">
        <v>41</v>
      </c>
      <c r="F1661" t="s">
        <v>186</v>
      </c>
      <c r="G1661">
        <v>3</v>
      </c>
      <c r="H1661" s="5">
        <v>2.5</v>
      </c>
      <c r="I1661" t="s">
        <v>32</v>
      </c>
      <c r="J1661" t="s">
        <v>226</v>
      </c>
      <c r="K1661" t="s">
        <v>227</v>
      </c>
      <c r="L1661" t="s">
        <v>2122</v>
      </c>
      <c r="M1661" s="5">
        <f t="shared" si="151"/>
        <v>7.5</v>
      </c>
      <c r="N1661" t="str">
        <f t="shared" si="152"/>
        <v>June</v>
      </c>
      <c r="O1661" t="str">
        <f t="shared" si="153"/>
        <v>Friday</v>
      </c>
      <c r="P1661">
        <f t="shared" si="150"/>
        <v>11</v>
      </c>
      <c r="Q1661" s="2">
        <f t="shared" si="154"/>
        <v>5</v>
      </c>
      <c r="R1661" s="2">
        <f t="shared" si="155"/>
        <v>6</v>
      </c>
      <c r="S1661">
        <f>SUMIF(Table1[product_category],"Bakery",Table1[Total_bill])</f>
        <v>2951.25</v>
      </c>
    </row>
    <row r="1662" spans="1:19" x14ac:dyDescent="0.3">
      <c r="A1662" s="2">
        <v>11661</v>
      </c>
      <c r="B1662" s="4">
        <v>47292</v>
      </c>
      <c r="C1662" t="s">
        <v>1792</v>
      </c>
      <c r="D1662" t="s">
        <v>25</v>
      </c>
      <c r="E1662" t="s">
        <v>26</v>
      </c>
      <c r="F1662" t="s">
        <v>188</v>
      </c>
      <c r="G1662">
        <v>2</v>
      </c>
      <c r="H1662" s="5">
        <v>2.5</v>
      </c>
      <c r="I1662" t="s">
        <v>36</v>
      </c>
      <c r="J1662" t="s">
        <v>37</v>
      </c>
      <c r="K1662" t="s">
        <v>62</v>
      </c>
      <c r="L1662" t="s">
        <v>2122</v>
      </c>
      <c r="M1662" s="5">
        <f t="shared" si="151"/>
        <v>5</v>
      </c>
      <c r="N1662" t="str">
        <f t="shared" si="152"/>
        <v>June</v>
      </c>
      <c r="O1662" t="str">
        <f t="shared" si="153"/>
        <v>Saturday</v>
      </c>
      <c r="P1662">
        <f t="shared" si="150"/>
        <v>13</v>
      </c>
      <c r="Q1662" s="2">
        <f t="shared" si="154"/>
        <v>6</v>
      </c>
      <c r="R1662" s="2">
        <f t="shared" si="155"/>
        <v>6</v>
      </c>
      <c r="S1662">
        <f>SUMIF(Table1[product_category],"Bakery",Table1[Total_bill])</f>
        <v>2951.25</v>
      </c>
    </row>
    <row r="1663" spans="1:19" x14ac:dyDescent="0.3">
      <c r="A1663" s="2">
        <v>11662</v>
      </c>
      <c r="B1663" s="4">
        <v>47293</v>
      </c>
      <c r="C1663" t="s">
        <v>1793</v>
      </c>
      <c r="D1663" t="s">
        <v>18</v>
      </c>
      <c r="E1663" t="s">
        <v>19</v>
      </c>
      <c r="F1663" t="s">
        <v>190</v>
      </c>
      <c r="G1663">
        <v>3</v>
      </c>
      <c r="H1663" s="5">
        <v>3.25</v>
      </c>
      <c r="I1663" t="s">
        <v>32</v>
      </c>
      <c r="J1663" t="s">
        <v>144</v>
      </c>
      <c r="K1663" t="s">
        <v>144</v>
      </c>
      <c r="L1663" t="s">
        <v>2124</v>
      </c>
      <c r="M1663" s="5">
        <f t="shared" si="151"/>
        <v>9.75</v>
      </c>
      <c r="N1663" t="str">
        <f t="shared" si="152"/>
        <v>June</v>
      </c>
      <c r="O1663" t="str">
        <f t="shared" si="153"/>
        <v>Sunday</v>
      </c>
      <c r="P1663">
        <f t="shared" si="150"/>
        <v>12</v>
      </c>
      <c r="Q1663" s="2">
        <f t="shared" si="154"/>
        <v>7</v>
      </c>
      <c r="R1663" s="2">
        <f t="shared" si="155"/>
        <v>6</v>
      </c>
      <c r="S1663">
        <f>SUMIF(Table1[product_category],"Bakery",Table1[Total_bill])</f>
        <v>2951.25</v>
      </c>
    </row>
    <row r="1664" spans="1:19" x14ac:dyDescent="0.3">
      <c r="A1664" s="2">
        <v>11663</v>
      </c>
      <c r="B1664" s="4">
        <v>47294</v>
      </c>
      <c r="C1664" t="s">
        <v>1794</v>
      </c>
      <c r="D1664" t="s">
        <v>18</v>
      </c>
      <c r="E1664" t="s">
        <v>19</v>
      </c>
      <c r="F1664" t="s">
        <v>192</v>
      </c>
      <c r="G1664">
        <v>4</v>
      </c>
      <c r="H1664" s="5">
        <v>3.5</v>
      </c>
      <c r="I1664" t="s">
        <v>36</v>
      </c>
      <c r="J1664" t="s">
        <v>37</v>
      </c>
      <c r="K1664" t="s">
        <v>276</v>
      </c>
      <c r="L1664" t="s">
        <v>2123</v>
      </c>
      <c r="M1664" s="5">
        <f t="shared" si="151"/>
        <v>14</v>
      </c>
      <c r="N1664" t="str">
        <f t="shared" si="152"/>
        <v>June</v>
      </c>
      <c r="O1664" t="str">
        <f t="shared" si="153"/>
        <v>Monday</v>
      </c>
      <c r="P1664">
        <f t="shared" si="150"/>
        <v>18</v>
      </c>
      <c r="Q1664" s="2">
        <f t="shared" si="154"/>
        <v>1</v>
      </c>
      <c r="R1664" s="2">
        <f t="shared" si="155"/>
        <v>6</v>
      </c>
      <c r="S1664">
        <f>SUMIF(Table1[product_category],"Bakery",Table1[Total_bill])</f>
        <v>2951.25</v>
      </c>
    </row>
    <row r="1665" spans="1:19" x14ac:dyDescent="0.3">
      <c r="A1665" s="2">
        <v>11664</v>
      </c>
      <c r="B1665" s="4">
        <v>47295</v>
      </c>
      <c r="C1665" t="s">
        <v>1795</v>
      </c>
      <c r="D1665" t="s">
        <v>25</v>
      </c>
      <c r="E1665" t="s">
        <v>26</v>
      </c>
      <c r="F1665" t="s">
        <v>195</v>
      </c>
      <c r="G1665">
        <v>3</v>
      </c>
      <c r="H1665" s="5">
        <v>3.25</v>
      </c>
      <c r="I1665" t="s">
        <v>32</v>
      </c>
      <c r="J1665" t="s">
        <v>144</v>
      </c>
      <c r="K1665" t="s">
        <v>144</v>
      </c>
      <c r="L1665" t="s">
        <v>2124</v>
      </c>
      <c r="M1665" s="5">
        <f t="shared" si="151"/>
        <v>9.75</v>
      </c>
      <c r="N1665" t="str">
        <f t="shared" si="152"/>
        <v>June</v>
      </c>
      <c r="O1665" t="str">
        <f t="shared" si="153"/>
        <v>Tuesday</v>
      </c>
      <c r="P1665">
        <f t="shared" si="150"/>
        <v>11</v>
      </c>
      <c r="Q1665" s="2">
        <f t="shared" si="154"/>
        <v>2</v>
      </c>
      <c r="R1665" s="2">
        <f t="shared" si="155"/>
        <v>6</v>
      </c>
      <c r="S1665">
        <f>SUMIF(Table1[product_category],"Bakery",Table1[Total_bill])</f>
        <v>2951.25</v>
      </c>
    </row>
    <row r="1666" spans="1:19" x14ac:dyDescent="0.3">
      <c r="A1666" s="2">
        <v>11665</v>
      </c>
      <c r="B1666" s="4">
        <v>47296</v>
      </c>
      <c r="C1666" t="s">
        <v>1796</v>
      </c>
      <c r="D1666" t="s">
        <v>18</v>
      </c>
      <c r="E1666" t="s">
        <v>19</v>
      </c>
      <c r="F1666" t="s">
        <v>197</v>
      </c>
      <c r="G1666">
        <v>1</v>
      </c>
      <c r="H1666" s="5">
        <v>3.25</v>
      </c>
      <c r="I1666" t="s">
        <v>21</v>
      </c>
      <c r="J1666" t="s">
        <v>81</v>
      </c>
      <c r="K1666" t="s">
        <v>82</v>
      </c>
      <c r="L1666" t="s">
        <v>2125</v>
      </c>
      <c r="M1666" s="5">
        <f t="shared" si="151"/>
        <v>3.25</v>
      </c>
      <c r="N1666" t="str">
        <f t="shared" si="152"/>
        <v>June</v>
      </c>
      <c r="O1666" t="str">
        <f t="shared" si="153"/>
        <v>Wednesday</v>
      </c>
      <c r="P1666">
        <f t="shared" ref="P1666:P1729" si="156">HOUR(TIMEVALUE(C1666))</f>
        <v>20</v>
      </c>
      <c r="Q1666" s="2">
        <f t="shared" si="154"/>
        <v>3</v>
      </c>
      <c r="R1666" s="2">
        <f t="shared" si="155"/>
        <v>6</v>
      </c>
      <c r="S1666">
        <f>SUMIF(Table1[product_category],"Bakery",Table1[Total_bill])</f>
        <v>2951.25</v>
      </c>
    </row>
    <row r="1667" spans="1:19" x14ac:dyDescent="0.3">
      <c r="A1667" s="2">
        <v>11666</v>
      </c>
      <c r="B1667" s="4">
        <v>47297</v>
      </c>
      <c r="C1667" t="s">
        <v>1797</v>
      </c>
      <c r="D1667" t="s">
        <v>25</v>
      </c>
      <c r="E1667" t="s">
        <v>26</v>
      </c>
      <c r="F1667" t="s">
        <v>199</v>
      </c>
      <c r="G1667">
        <v>3</v>
      </c>
      <c r="H1667" s="5">
        <v>4.75</v>
      </c>
      <c r="I1667" t="s">
        <v>32</v>
      </c>
      <c r="J1667" t="s">
        <v>69</v>
      </c>
      <c r="K1667" t="s">
        <v>69</v>
      </c>
      <c r="L1667" t="s">
        <v>2123</v>
      </c>
      <c r="M1667" s="5">
        <f t="shared" ref="M1667:M1730" si="157">G1667*H1667</f>
        <v>14.25</v>
      </c>
      <c r="N1667" t="str">
        <f t="shared" ref="N1667:N1730" si="158">TEXT(B1667,"mmmm")</f>
        <v>June</v>
      </c>
      <c r="O1667" t="str">
        <f t="shared" ref="O1667:O1730" si="159">TEXT(B1667,"dddd")</f>
        <v>Thursday</v>
      </c>
      <c r="P1667">
        <f t="shared" si="156"/>
        <v>17</v>
      </c>
      <c r="Q1667" s="2">
        <f t="shared" ref="Q1667:Q1730" si="160">WEEKDAY(B1667,2)</f>
        <v>4</v>
      </c>
      <c r="R1667" s="2">
        <f t="shared" ref="R1667:R1730" si="161">MONTH(B1667)</f>
        <v>6</v>
      </c>
      <c r="S1667">
        <f>SUMIF(Table1[product_category],"Bakery",Table1[Total_bill])</f>
        <v>2951.25</v>
      </c>
    </row>
    <row r="1668" spans="1:19" x14ac:dyDescent="0.3">
      <c r="A1668" s="2">
        <v>11667</v>
      </c>
      <c r="B1668" s="4">
        <v>47298</v>
      </c>
      <c r="C1668" t="s">
        <v>1798</v>
      </c>
      <c r="D1668" t="s">
        <v>25</v>
      </c>
      <c r="E1668" t="s">
        <v>26</v>
      </c>
      <c r="F1668" t="s">
        <v>201</v>
      </c>
      <c r="G1668">
        <v>4</v>
      </c>
      <c r="H1668" s="5">
        <v>3.75</v>
      </c>
      <c r="I1668" t="s">
        <v>32</v>
      </c>
      <c r="J1668" t="s">
        <v>69</v>
      </c>
      <c r="K1668" t="s">
        <v>69</v>
      </c>
      <c r="L1668" t="s">
        <v>2122</v>
      </c>
      <c r="M1668" s="5">
        <f t="shared" si="157"/>
        <v>15</v>
      </c>
      <c r="N1668" t="str">
        <f t="shared" si="158"/>
        <v>June</v>
      </c>
      <c r="O1668" t="str">
        <f t="shared" si="159"/>
        <v>Friday</v>
      </c>
      <c r="P1668">
        <f t="shared" si="156"/>
        <v>8</v>
      </c>
      <c r="Q1668" s="2">
        <f t="shared" si="160"/>
        <v>5</v>
      </c>
      <c r="R1668" s="2">
        <f t="shared" si="161"/>
        <v>6</v>
      </c>
      <c r="S1668">
        <f>SUMIF(Table1[product_category],"Bakery",Table1[Total_bill])</f>
        <v>2951.25</v>
      </c>
    </row>
    <row r="1669" spans="1:19" x14ac:dyDescent="0.3">
      <c r="A1669" s="2">
        <v>11668</v>
      </c>
      <c r="B1669" s="4">
        <v>47299</v>
      </c>
      <c r="C1669" t="s">
        <v>1799</v>
      </c>
      <c r="D1669" t="s">
        <v>40</v>
      </c>
      <c r="E1669" t="s">
        <v>41</v>
      </c>
      <c r="F1669" t="s">
        <v>204</v>
      </c>
      <c r="G1669">
        <v>2</v>
      </c>
      <c r="H1669" s="5">
        <v>3.75</v>
      </c>
      <c r="I1669" t="s">
        <v>32</v>
      </c>
      <c r="J1669" t="s">
        <v>144</v>
      </c>
      <c r="K1669" t="s">
        <v>144</v>
      </c>
      <c r="L1669" t="s">
        <v>2123</v>
      </c>
      <c r="M1669" s="5">
        <f t="shared" si="157"/>
        <v>7.5</v>
      </c>
      <c r="N1669" t="str">
        <f t="shared" si="158"/>
        <v>June</v>
      </c>
      <c r="O1669" t="str">
        <f t="shared" si="159"/>
        <v>Saturday</v>
      </c>
      <c r="P1669">
        <f t="shared" si="156"/>
        <v>19</v>
      </c>
      <c r="Q1669" s="2">
        <f t="shared" si="160"/>
        <v>6</v>
      </c>
      <c r="R1669" s="2">
        <f t="shared" si="161"/>
        <v>6</v>
      </c>
      <c r="S1669">
        <f>SUMIF(Table1[product_category],"Bakery",Table1[Total_bill])</f>
        <v>2951.25</v>
      </c>
    </row>
    <row r="1670" spans="1:19" x14ac:dyDescent="0.3">
      <c r="A1670" s="2">
        <v>11669</v>
      </c>
      <c r="B1670" s="4">
        <v>47300</v>
      </c>
      <c r="C1670" t="s">
        <v>1800</v>
      </c>
      <c r="D1670" t="s">
        <v>40</v>
      </c>
      <c r="E1670" t="s">
        <v>41</v>
      </c>
      <c r="F1670" t="s">
        <v>206</v>
      </c>
      <c r="G1670">
        <v>2</v>
      </c>
      <c r="H1670" s="5">
        <v>4.5</v>
      </c>
      <c r="I1670" t="s">
        <v>89</v>
      </c>
      <c r="J1670" t="s">
        <v>261</v>
      </c>
      <c r="K1670" t="s">
        <v>261</v>
      </c>
      <c r="L1670" t="s">
        <v>2123</v>
      </c>
      <c r="M1670" s="5">
        <f t="shared" si="157"/>
        <v>9</v>
      </c>
      <c r="N1670" t="str">
        <f t="shared" si="158"/>
        <v>July</v>
      </c>
      <c r="O1670" t="str">
        <f t="shared" si="159"/>
        <v>Sunday</v>
      </c>
      <c r="P1670">
        <f t="shared" si="156"/>
        <v>7</v>
      </c>
      <c r="Q1670" s="2">
        <f t="shared" si="160"/>
        <v>7</v>
      </c>
      <c r="R1670" s="2">
        <f t="shared" si="161"/>
        <v>7</v>
      </c>
      <c r="S1670">
        <f>SUMIF(Table1[product_category],"Bakery",Table1[Total_bill])</f>
        <v>2951.25</v>
      </c>
    </row>
    <row r="1671" spans="1:19" x14ac:dyDescent="0.3">
      <c r="A1671" s="2">
        <v>11670</v>
      </c>
      <c r="B1671" s="4">
        <v>47301</v>
      </c>
      <c r="C1671" t="s">
        <v>1801</v>
      </c>
      <c r="D1671" t="s">
        <v>18</v>
      </c>
      <c r="E1671" t="s">
        <v>19</v>
      </c>
      <c r="F1671" t="s">
        <v>208</v>
      </c>
      <c r="G1671">
        <v>4</v>
      </c>
      <c r="H1671" s="5">
        <v>3.25</v>
      </c>
      <c r="I1671" t="s">
        <v>21</v>
      </c>
      <c r="J1671" t="s">
        <v>81</v>
      </c>
      <c r="K1671" t="s">
        <v>82</v>
      </c>
      <c r="L1671" t="s">
        <v>2125</v>
      </c>
      <c r="M1671" s="5">
        <f t="shared" si="157"/>
        <v>13</v>
      </c>
      <c r="N1671" t="str">
        <f t="shared" si="158"/>
        <v>July</v>
      </c>
      <c r="O1671" t="str">
        <f t="shared" si="159"/>
        <v>Monday</v>
      </c>
      <c r="P1671">
        <f t="shared" si="156"/>
        <v>16</v>
      </c>
      <c r="Q1671" s="2">
        <f t="shared" si="160"/>
        <v>1</v>
      </c>
      <c r="R1671" s="2">
        <f t="shared" si="161"/>
        <v>7</v>
      </c>
      <c r="S1671">
        <f>SUMIF(Table1[product_category],"Bakery",Table1[Total_bill])</f>
        <v>2951.25</v>
      </c>
    </row>
    <row r="1672" spans="1:19" x14ac:dyDescent="0.3">
      <c r="A1672" s="2">
        <v>11671</v>
      </c>
      <c r="B1672" s="4">
        <v>47302</v>
      </c>
      <c r="C1672" t="s">
        <v>1802</v>
      </c>
      <c r="D1672" t="s">
        <v>18</v>
      </c>
      <c r="E1672" t="s">
        <v>19</v>
      </c>
      <c r="F1672" t="s">
        <v>210</v>
      </c>
      <c r="G1672">
        <v>4</v>
      </c>
      <c r="H1672" s="5">
        <v>14</v>
      </c>
      <c r="I1672" t="s">
        <v>98</v>
      </c>
      <c r="J1672" t="s">
        <v>98</v>
      </c>
      <c r="K1672" t="s">
        <v>129</v>
      </c>
      <c r="L1672" t="s">
        <v>2125</v>
      </c>
      <c r="M1672" s="5">
        <f t="shared" si="157"/>
        <v>56</v>
      </c>
      <c r="N1672" t="str">
        <f t="shared" si="158"/>
        <v>July</v>
      </c>
      <c r="O1672" t="str">
        <f t="shared" si="159"/>
        <v>Tuesday</v>
      </c>
      <c r="P1672">
        <f t="shared" si="156"/>
        <v>10</v>
      </c>
      <c r="Q1672" s="2">
        <f t="shared" si="160"/>
        <v>2</v>
      </c>
      <c r="R1672" s="2">
        <f t="shared" si="161"/>
        <v>7</v>
      </c>
      <c r="S1672">
        <f>SUMIF(Table1[product_category],"Bakery",Table1[Total_bill])</f>
        <v>2951.25</v>
      </c>
    </row>
    <row r="1673" spans="1:19" x14ac:dyDescent="0.3">
      <c r="A1673" s="2">
        <v>11672</v>
      </c>
      <c r="B1673" s="4">
        <v>47303</v>
      </c>
      <c r="C1673" t="s">
        <v>1803</v>
      </c>
      <c r="D1673" t="s">
        <v>25</v>
      </c>
      <c r="E1673" t="s">
        <v>26</v>
      </c>
      <c r="F1673" t="s">
        <v>214</v>
      </c>
      <c r="G1673">
        <v>1</v>
      </c>
      <c r="H1673" s="5">
        <v>14</v>
      </c>
      <c r="I1673" t="s">
        <v>101</v>
      </c>
      <c r="J1673" t="s">
        <v>102</v>
      </c>
      <c r="K1673" t="s">
        <v>193</v>
      </c>
      <c r="L1673" t="s">
        <v>2125</v>
      </c>
      <c r="M1673" s="5">
        <f t="shared" si="157"/>
        <v>14</v>
      </c>
      <c r="N1673" t="str">
        <f t="shared" si="158"/>
        <v>July</v>
      </c>
      <c r="O1673" t="str">
        <f t="shared" si="159"/>
        <v>Wednesday</v>
      </c>
      <c r="P1673">
        <f t="shared" si="156"/>
        <v>17</v>
      </c>
      <c r="Q1673" s="2">
        <f t="shared" si="160"/>
        <v>3</v>
      </c>
      <c r="R1673" s="2">
        <f t="shared" si="161"/>
        <v>7</v>
      </c>
      <c r="S1673">
        <f>SUMIF(Table1[product_category],"Bakery",Table1[Total_bill])</f>
        <v>2951.25</v>
      </c>
    </row>
    <row r="1674" spans="1:19" x14ac:dyDescent="0.3">
      <c r="A1674" s="2">
        <v>11673</v>
      </c>
      <c r="B1674" s="4">
        <v>47304</v>
      </c>
      <c r="C1674" t="s">
        <v>1804</v>
      </c>
      <c r="D1674" t="s">
        <v>25</v>
      </c>
      <c r="E1674" t="s">
        <v>26</v>
      </c>
      <c r="F1674" t="s">
        <v>217</v>
      </c>
      <c r="G1674">
        <v>2</v>
      </c>
      <c r="H1674" s="5">
        <v>3.25</v>
      </c>
      <c r="I1674" t="s">
        <v>21</v>
      </c>
      <c r="J1674" t="s">
        <v>81</v>
      </c>
      <c r="K1674" t="s">
        <v>113</v>
      </c>
      <c r="L1674" t="s">
        <v>2125</v>
      </c>
      <c r="M1674" s="5">
        <f t="shared" si="157"/>
        <v>6.5</v>
      </c>
      <c r="N1674" t="str">
        <f t="shared" si="158"/>
        <v>July</v>
      </c>
      <c r="O1674" t="str">
        <f t="shared" si="159"/>
        <v>Thursday</v>
      </c>
      <c r="P1674">
        <f t="shared" si="156"/>
        <v>17</v>
      </c>
      <c r="Q1674" s="2">
        <f t="shared" si="160"/>
        <v>4</v>
      </c>
      <c r="R1674" s="2">
        <f t="shared" si="161"/>
        <v>7</v>
      </c>
      <c r="S1674">
        <f>SUMIF(Table1[product_category],"Bakery",Table1[Total_bill])</f>
        <v>2951.25</v>
      </c>
    </row>
    <row r="1675" spans="1:19" x14ac:dyDescent="0.3">
      <c r="A1675" s="2">
        <v>11674</v>
      </c>
      <c r="B1675" s="4">
        <v>47305</v>
      </c>
      <c r="C1675" t="s">
        <v>1805</v>
      </c>
      <c r="D1675" t="s">
        <v>18</v>
      </c>
      <c r="E1675" t="s">
        <v>19</v>
      </c>
      <c r="F1675" t="s">
        <v>219</v>
      </c>
      <c r="G1675">
        <v>2</v>
      </c>
      <c r="H1675" s="5">
        <v>3.5</v>
      </c>
      <c r="I1675" t="s">
        <v>32</v>
      </c>
      <c r="J1675" t="s">
        <v>33</v>
      </c>
      <c r="K1675" t="s">
        <v>33</v>
      </c>
      <c r="L1675" t="s">
        <v>2122</v>
      </c>
      <c r="M1675" s="5">
        <f t="shared" si="157"/>
        <v>7</v>
      </c>
      <c r="N1675" t="str">
        <f t="shared" si="158"/>
        <v>July</v>
      </c>
      <c r="O1675" t="str">
        <f t="shared" si="159"/>
        <v>Friday</v>
      </c>
      <c r="P1675">
        <f t="shared" si="156"/>
        <v>16</v>
      </c>
      <c r="Q1675" s="2">
        <f t="shared" si="160"/>
        <v>5</v>
      </c>
      <c r="R1675" s="2">
        <f t="shared" si="161"/>
        <v>7</v>
      </c>
      <c r="S1675">
        <f>SUMIF(Table1[product_category],"Bakery",Table1[Total_bill])</f>
        <v>2951.25</v>
      </c>
    </row>
    <row r="1676" spans="1:19" x14ac:dyDescent="0.3">
      <c r="A1676" s="2">
        <v>11675</v>
      </c>
      <c r="B1676" s="4">
        <v>47306</v>
      </c>
      <c r="C1676" t="s">
        <v>1806</v>
      </c>
      <c r="D1676" t="s">
        <v>25</v>
      </c>
      <c r="E1676" t="s">
        <v>26</v>
      </c>
      <c r="F1676" t="s">
        <v>221</v>
      </c>
      <c r="G1676">
        <v>2</v>
      </c>
      <c r="H1676" s="5">
        <v>4.75</v>
      </c>
      <c r="I1676" t="s">
        <v>32</v>
      </c>
      <c r="J1676" t="s">
        <v>202</v>
      </c>
      <c r="K1676" t="s">
        <v>202</v>
      </c>
      <c r="L1676" t="s">
        <v>2123</v>
      </c>
      <c r="M1676" s="5">
        <f t="shared" si="157"/>
        <v>9.5</v>
      </c>
      <c r="N1676" t="str">
        <f t="shared" si="158"/>
        <v>July</v>
      </c>
      <c r="O1676" t="str">
        <f t="shared" si="159"/>
        <v>Saturday</v>
      </c>
      <c r="P1676">
        <f t="shared" si="156"/>
        <v>16</v>
      </c>
      <c r="Q1676" s="2">
        <f t="shared" si="160"/>
        <v>6</v>
      </c>
      <c r="R1676" s="2">
        <f t="shared" si="161"/>
        <v>7</v>
      </c>
      <c r="S1676">
        <f>SUMIF(Table1[product_category],"Bakery",Table1[Total_bill])</f>
        <v>2951.25</v>
      </c>
    </row>
    <row r="1677" spans="1:19" x14ac:dyDescent="0.3">
      <c r="A1677" s="2">
        <v>11676</v>
      </c>
      <c r="B1677" s="4">
        <v>47307</v>
      </c>
      <c r="C1677" t="s">
        <v>1807</v>
      </c>
      <c r="D1677" t="s">
        <v>18</v>
      </c>
      <c r="E1677" t="s">
        <v>19</v>
      </c>
      <c r="F1677" t="s">
        <v>223</v>
      </c>
      <c r="G1677">
        <v>3</v>
      </c>
      <c r="H1677" s="5">
        <v>14</v>
      </c>
      <c r="I1677" t="s">
        <v>98</v>
      </c>
      <c r="J1677" t="s">
        <v>98</v>
      </c>
      <c r="K1677" t="s">
        <v>129</v>
      </c>
      <c r="L1677" t="s">
        <v>2125</v>
      </c>
      <c r="M1677" s="5">
        <f t="shared" si="157"/>
        <v>42</v>
      </c>
      <c r="N1677" t="str">
        <f t="shared" si="158"/>
        <v>July</v>
      </c>
      <c r="O1677" t="str">
        <f t="shared" si="159"/>
        <v>Sunday</v>
      </c>
      <c r="P1677">
        <f t="shared" si="156"/>
        <v>9</v>
      </c>
      <c r="Q1677" s="2">
        <f t="shared" si="160"/>
        <v>7</v>
      </c>
      <c r="R1677" s="2">
        <f t="shared" si="161"/>
        <v>7</v>
      </c>
      <c r="S1677">
        <f>SUMIF(Table1[product_category],"Bakery",Table1[Total_bill])</f>
        <v>2951.25</v>
      </c>
    </row>
    <row r="1678" spans="1:19" x14ac:dyDescent="0.3">
      <c r="A1678" s="2">
        <v>11677</v>
      </c>
      <c r="B1678" s="4">
        <v>47308</v>
      </c>
      <c r="C1678" t="s">
        <v>1808</v>
      </c>
      <c r="D1678" t="s">
        <v>18</v>
      </c>
      <c r="E1678" t="s">
        <v>19</v>
      </c>
      <c r="F1678" t="s">
        <v>225</v>
      </c>
      <c r="G1678">
        <v>4</v>
      </c>
      <c r="H1678" s="5">
        <v>3.75</v>
      </c>
      <c r="I1678" t="s">
        <v>32</v>
      </c>
      <c r="J1678" t="s">
        <v>226</v>
      </c>
      <c r="K1678" t="s">
        <v>273</v>
      </c>
      <c r="L1678" t="s">
        <v>2123</v>
      </c>
      <c r="M1678" s="5">
        <f t="shared" si="157"/>
        <v>15</v>
      </c>
      <c r="N1678" t="str">
        <f t="shared" si="158"/>
        <v>July</v>
      </c>
      <c r="O1678" t="str">
        <f t="shared" si="159"/>
        <v>Monday</v>
      </c>
      <c r="P1678">
        <f t="shared" si="156"/>
        <v>7</v>
      </c>
      <c r="Q1678" s="2">
        <f t="shared" si="160"/>
        <v>1</v>
      </c>
      <c r="R1678" s="2">
        <f t="shared" si="161"/>
        <v>7</v>
      </c>
      <c r="S1678">
        <f>SUMIF(Table1[product_category],"Bakery",Table1[Total_bill])</f>
        <v>2951.25</v>
      </c>
    </row>
    <row r="1679" spans="1:19" x14ac:dyDescent="0.3">
      <c r="A1679" s="2">
        <v>11678</v>
      </c>
      <c r="B1679" s="4">
        <v>47309</v>
      </c>
      <c r="C1679" t="s">
        <v>1809</v>
      </c>
      <c r="D1679" t="s">
        <v>25</v>
      </c>
      <c r="E1679" t="s">
        <v>26</v>
      </c>
      <c r="F1679" t="s">
        <v>229</v>
      </c>
      <c r="G1679">
        <v>3</v>
      </c>
      <c r="H1679" s="5">
        <v>3.5</v>
      </c>
      <c r="I1679" t="s">
        <v>36</v>
      </c>
      <c r="J1679" t="s">
        <v>37</v>
      </c>
      <c r="K1679" t="s">
        <v>62</v>
      </c>
      <c r="L1679" t="s">
        <v>2123</v>
      </c>
      <c r="M1679" s="5">
        <f t="shared" si="157"/>
        <v>10.5</v>
      </c>
      <c r="N1679" t="str">
        <f t="shared" si="158"/>
        <v>July</v>
      </c>
      <c r="O1679" t="str">
        <f t="shared" si="159"/>
        <v>Tuesday</v>
      </c>
      <c r="P1679">
        <f t="shared" si="156"/>
        <v>10</v>
      </c>
      <c r="Q1679" s="2">
        <f t="shared" si="160"/>
        <v>2</v>
      </c>
      <c r="R1679" s="2">
        <f t="shared" si="161"/>
        <v>7</v>
      </c>
      <c r="S1679">
        <f>SUMIF(Table1[product_category],"Bakery",Table1[Total_bill])</f>
        <v>2951.25</v>
      </c>
    </row>
    <row r="1680" spans="1:19" x14ac:dyDescent="0.3">
      <c r="A1680" s="2">
        <v>11679</v>
      </c>
      <c r="B1680" s="4">
        <v>47310</v>
      </c>
      <c r="C1680" t="s">
        <v>1810</v>
      </c>
      <c r="D1680" t="s">
        <v>18</v>
      </c>
      <c r="E1680" t="s">
        <v>19</v>
      </c>
      <c r="F1680" t="s">
        <v>231</v>
      </c>
      <c r="G1680">
        <v>2</v>
      </c>
      <c r="H1680" s="5">
        <v>4.5</v>
      </c>
      <c r="I1680" t="s">
        <v>32</v>
      </c>
      <c r="J1680" t="s">
        <v>94</v>
      </c>
      <c r="K1680" t="s">
        <v>95</v>
      </c>
      <c r="L1680" t="s">
        <v>2123</v>
      </c>
      <c r="M1680" s="5">
        <f t="shared" si="157"/>
        <v>9</v>
      </c>
      <c r="N1680" t="str">
        <f t="shared" si="158"/>
        <v>July</v>
      </c>
      <c r="O1680" t="str">
        <f t="shared" si="159"/>
        <v>Wednesday</v>
      </c>
      <c r="P1680">
        <f t="shared" si="156"/>
        <v>8</v>
      </c>
      <c r="Q1680" s="2">
        <f t="shared" si="160"/>
        <v>3</v>
      </c>
      <c r="R1680" s="2">
        <f t="shared" si="161"/>
        <v>7</v>
      </c>
      <c r="S1680">
        <f>SUMIF(Table1[product_category],"Bakery",Table1[Total_bill])</f>
        <v>2951.25</v>
      </c>
    </row>
    <row r="1681" spans="1:19" x14ac:dyDescent="0.3">
      <c r="A1681" s="2">
        <v>11680</v>
      </c>
      <c r="B1681" s="4">
        <v>47311</v>
      </c>
      <c r="C1681" t="s">
        <v>1811</v>
      </c>
      <c r="D1681" t="s">
        <v>25</v>
      </c>
      <c r="E1681" t="s">
        <v>26</v>
      </c>
      <c r="F1681" t="s">
        <v>233</v>
      </c>
      <c r="G1681">
        <v>3</v>
      </c>
      <c r="H1681" s="5">
        <v>4.5</v>
      </c>
      <c r="I1681" t="s">
        <v>89</v>
      </c>
      <c r="J1681" t="s">
        <v>261</v>
      </c>
      <c r="K1681" t="s">
        <v>261</v>
      </c>
      <c r="L1681" t="s">
        <v>2123</v>
      </c>
      <c r="M1681" s="5">
        <f t="shared" si="157"/>
        <v>13.5</v>
      </c>
      <c r="N1681" t="str">
        <f t="shared" si="158"/>
        <v>July</v>
      </c>
      <c r="O1681" t="str">
        <f t="shared" si="159"/>
        <v>Thursday</v>
      </c>
      <c r="P1681">
        <f t="shared" si="156"/>
        <v>14</v>
      </c>
      <c r="Q1681" s="2">
        <f t="shared" si="160"/>
        <v>4</v>
      </c>
      <c r="R1681" s="2">
        <f t="shared" si="161"/>
        <v>7</v>
      </c>
      <c r="S1681">
        <f>SUMIF(Table1[product_category],"Bakery",Table1[Total_bill])</f>
        <v>2951.25</v>
      </c>
    </row>
    <row r="1682" spans="1:19" x14ac:dyDescent="0.3">
      <c r="A1682" s="2">
        <v>11681</v>
      </c>
      <c r="B1682" s="4">
        <v>47312</v>
      </c>
      <c r="C1682" t="s">
        <v>1812</v>
      </c>
      <c r="D1682" t="s">
        <v>25</v>
      </c>
      <c r="E1682" t="s">
        <v>26</v>
      </c>
      <c r="F1682" t="s">
        <v>20</v>
      </c>
      <c r="G1682">
        <v>1</v>
      </c>
      <c r="H1682" s="5">
        <v>4.25</v>
      </c>
      <c r="I1682" t="s">
        <v>32</v>
      </c>
      <c r="J1682" t="s">
        <v>69</v>
      </c>
      <c r="K1682" t="s">
        <v>69</v>
      </c>
      <c r="L1682" t="s">
        <v>2124</v>
      </c>
      <c r="M1682" s="5">
        <f t="shared" si="157"/>
        <v>4.25</v>
      </c>
      <c r="N1682" t="str">
        <f t="shared" si="158"/>
        <v>July</v>
      </c>
      <c r="O1682" t="str">
        <f t="shared" si="159"/>
        <v>Friday</v>
      </c>
      <c r="P1682">
        <f t="shared" si="156"/>
        <v>9</v>
      </c>
      <c r="Q1682" s="2">
        <f t="shared" si="160"/>
        <v>5</v>
      </c>
      <c r="R1682" s="2">
        <f t="shared" si="161"/>
        <v>7</v>
      </c>
      <c r="S1682">
        <f>SUMIF(Table1[product_category],"Bakery",Table1[Total_bill])</f>
        <v>2951.25</v>
      </c>
    </row>
    <row r="1683" spans="1:19" x14ac:dyDescent="0.3">
      <c r="A1683" s="2">
        <v>11682</v>
      </c>
      <c r="B1683" s="4">
        <v>47313</v>
      </c>
      <c r="C1683" t="s">
        <v>1813</v>
      </c>
      <c r="D1683" t="s">
        <v>25</v>
      </c>
      <c r="E1683" t="s">
        <v>26</v>
      </c>
      <c r="F1683" t="s">
        <v>27</v>
      </c>
      <c r="G1683">
        <v>1</v>
      </c>
      <c r="H1683" s="5">
        <v>2.5</v>
      </c>
      <c r="I1683" t="s">
        <v>36</v>
      </c>
      <c r="J1683" t="s">
        <v>37</v>
      </c>
      <c r="K1683" t="s">
        <v>276</v>
      </c>
      <c r="L1683" t="s">
        <v>2122</v>
      </c>
      <c r="M1683" s="5">
        <f t="shared" si="157"/>
        <v>2.5</v>
      </c>
      <c r="N1683" t="str">
        <f t="shared" si="158"/>
        <v>July</v>
      </c>
      <c r="O1683" t="str">
        <f t="shared" si="159"/>
        <v>Saturday</v>
      </c>
      <c r="P1683">
        <f t="shared" si="156"/>
        <v>20</v>
      </c>
      <c r="Q1683" s="2">
        <f t="shared" si="160"/>
        <v>6</v>
      </c>
      <c r="R1683" s="2">
        <f t="shared" si="161"/>
        <v>7</v>
      </c>
      <c r="S1683">
        <f>SUMIF(Table1[product_category],"Bakery",Table1[Total_bill])</f>
        <v>2951.25</v>
      </c>
    </row>
    <row r="1684" spans="1:19" x14ac:dyDescent="0.3">
      <c r="A1684" s="2">
        <v>11683</v>
      </c>
      <c r="B1684" s="4">
        <v>47314</v>
      </c>
      <c r="C1684" t="s">
        <v>1814</v>
      </c>
      <c r="D1684" t="s">
        <v>25</v>
      </c>
      <c r="E1684" t="s">
        <v>26</v>
      </c>
      <c r="F1684" t="s">
        <v>31</v>
      </c>
      <c r="G1684">
        <v>4</v>
      </c>
      <c r="H1684" s="5">
        <v>3</v>
      </c>
      <c r="I1684" t="s">
        <v>36</v>
      </c>
      <c r="J1684" t="s">
        <v>246</v>
      </c>
      <c r="K1684" t="s">
        <v>247</v>
      </c>
      <c r="L1684" t="s">
        <v>2124</v>
      </c>
      <c r="M1684" s="5">
        <f t="shared" si="157"/>
        <v>12</v>
      </c>
      <c r="N1684" t="str">
        <f t="shared" si="158"/>
        <v>July</v>
      </c>
      <c r="O1684" t="str">
        <f t="shared" si="159"/>
        <v>Sunday</v>
      </c>
      <c r="P1684">
        <f t="shared" si="156"/>
        <v>14</v>
      </c>
      <c r="Q1684" s="2">
        <f t="shared" si="160"/>
        <v>7</v>
      </c>
      <c r="R1684" s="2">
        <f t="shared" si="161"/>
        <v>7</v>
      </c>
      <c r="S1684">
        <f>SUMIF(Table1[product_category],"Bakery",Table1[Total_bill])</f>
        <v>2951.25</v>
      </c>
    </row>
    <row r="1685" spans="1:19" x14ac:dyDescent="0.3">
      <c r="A1685" s="2">
        <v>11684</v>
      </c>
      <c r="B1685" s="4">
        <v>47315</v>
      </c>
      <c r="C1685" t="s">
        <v>1815</v>
      </c>
      <c r="D1685" t="s">
        <v>18</v>
      </c>
      <c r="E1685" t="s">
        <v>19</v>
      </c>
      <c r="F1685" t="s">
        <v>35</v>
      </c>
      <c r="G1685">
        <v>4</v>
      </c>
      <c r="H1685" s="5">
        <v>2.5</v>
      </c>
      <c r="I1685" t="s">
        <v>36</v>
      </c>
      <c r="J1685" t="s">
        <v>37</v>
      </c>
      <c r="K1685" t="s">
        <v>38</v>
      </c>
      <c r="L1685" t="s">
        <v>2122</v>
      </c>
      <c r="M1685" s="5">
        <f t="shared" si="157"/>
        <v>10</v>
      </c>
      <c r="N1685" t="str">
        <f t="shared" si="158"/>
        <v>July</v>
      </c>
      <c r="O1685" t="str">
        <f t="shared" si="159"/>
        <v>Monday</v>
      </c>
      <c r="P1685">
        <f t="shared" si="156"/>
        <v>16</v>
      </c>
      <c r="Q1685" s="2">
        <f t="shared" si="160"/>
        <v>1</v>
      </c>
      <c r="R1685" s="2">
        <f t="shared" si="161"/>
        <v>7</v>
      </c>
      <c r="S1685">
        <f>SUMIF(Table1[product_category],"Bakery",Table1[Total_bill])</f>
        <v>2951.25</v>
      </c>
    </row>
    <row r="1686" spans="1:19" x14ac:dyDescent="0.3">
      <c r="A1686" s="2">
        <v>11685</v>
      </c>
      <c r="B1686" s="4">
        <v>47316</v>
      </c>
      <c r="C1686" t="s">
        <v>1816</v>
      </c>
      <c r="D1686" t="s">
        <v>40</v>
      </c>
      <c r="E1686" t="s">
        <v>41</v>
      </c>
      <c r="F1686" t="s">
        <v>42</v>
      </c>
      <c r="G1686">
        <v>4</v>
      </c>
      <c r="H1686" s="5">
        <v>3</v>
      </c>
      <c r="I1686" t="s">
        <v>21</v>
      </c>
      <c r="J1686" t="s">
        <v>181</v>
      </c>
      <c r="K1686" t="s">
        <v>182</v>
      </c>
      <c r="L1686" t="s">
        <v>2125</v>
      </c>
      <c r="M1686" s="5">
        <f t="shared" si="157"/>
        <v>12</v>
      </c>
      <c r="N1686" t="str">
        <f t="shared" si="158"/>
        <v>July</v>
      </c>
      <c r="O1686" t="str">
        <f t="shared" si="159"/>
        <v>Tuesday</v>
      </c>
      <c r="P1686">
        <f t="shared" si="156"/>
        <v>7</v>
      </c>
      <c r="Q1686" s="2">
        <f t="shared" si="160"/>
        <v>2</v>
      </c>
      <c r="R1686" s="2">
        <f t="shared" si="161"/>
        <v>7</v>
      </c>
      <c r="S1686">
        <f>SUMIF(Table1[product_category],"Bakery",Table1[Total_bill])</f>
        <v>2951.25</v>
      </c>
    </row>
    <row r="1687" spans="1:19" x14ac:dyDescent="0.3">
      <c r="A1687" s="2">
        <v>11686</v>
      </c>
      <c r="B1687" s="4">
        <v>47317</v>
      </c>
      <c r="C1687" t="s">
        <v>1817</v>
      </c>
      <c r="D1687" t="s">
        <v>40</v>
      </c>
      <c r="E1687" t="s">
        <v>41</v>
      </c>
      <c r="F1687" t="s">
        <v>46</v>
      </c>
      <c r="G1687">
        <v>4</v>
      </c>
      <c r="H1687" s="5">
        <v>4</v>
      </c>
      <c r="I1687" t="s">
        <v>32</v>
      </c>
      <c r="J1687" t="s">
        <v>33</v>
      </c>
      <c r="K1687" t="s">
        <v>33</v>
      </c>
      <c r="L1687" t="s">
        <v>2124</v>
      </c>
      <c r="M1687" s="5">
        <f t="shared" si="157"/>
        <v>16</v>
      </c>
      <c r="N1687" t="str">
        <f t="shared" si="158"/>
        <v>July</v>
      </c>
      <c r="O1687" t="str">
        <f t="shared" si="159"/>
        <v>Wednesday</v>
      </c>
      <c r="P1687">
        <f t="shared" si="156"/>
        <v>17</v>
      </c>
      <c r="Q1687" s="2">
        <f t="shared" si="160"/>
        <v>3</v>
      </c>
      <c r="R1687" s="2">
        <f t="shared" si="161"/>
        <v>7</v>
      </c>
      <c r="S1687">
        <f>SUMIF(Table1[product_category],"Bakery",Table1[Total_bill])</f>
        <v>2951.25</v>
      </c>
    </row>
    <row r="1688" spans="1:19" x14ac:dyDescent="0.3">
      <c r="A1688" s="2">
        <v>11687</v>
      </c>
      <c r="B1688" s="4">
        <v>47318</v>
      </c>
      <c r="C1688" t="s">
        <v>1818</v>
      </c>
      <c r="D1688" t="s">
        <v>40</v>
      </c>
      <c r="E1688" t="s">
        <v>41</v>
      </c>
      <c r="F1688" t="s">
        <v>50</v>
      </c>
      <c r="G1688">
        <v>4</v>
      </c>
      <c r="H1688" s="5">
        <v>13</v>
      </c>
      <c r="I1688" t="s">
        <v>98</v>
      </c>
      <c r="J1688" t="s">
        <v>98</v>
      </c>
      <c r="K1688" t="s">
        <v>95</v>
      </c>
      <c r="L1688" t="s">
        <v>2125</v>
      </c>
      <c r="M1688" s="5">
        <f t="shared" si="157"/>
        <v>52</v>
      </c>
      <c r="N1688" t="str">
        <f t="shared" si="158"/>
        <v>July</v>
      </c>
      <c r="O1688" t="str">
        <f t="shared" si="159"/>
        <v>Thursday</v>
      </c>
      <c r="P1688">
        <f t="shared" si="156"/>
        <v>18</v>
      </c>
      <c r="Q1688" s="2">
        <f t="shared" si="160"/>
        <v>4</v>
      </c>
      <c r="R1688" s="2">
        <f t="shared" si="161"/>
        <v>7</v>
      </c>
      <c r="S1688">
        <f>SUMIF(Table1[product_category],"Bakery",Table1[Total_bill])</f>
        <v>2951.25</v>
      </c>
    </row>
    <row r="1689" spans="1:19" x14ac:dyDescent="0.3">
      <c r="A1689" s="2">
        <v>11688</v>
      </c>
      <c r="B1689" s="4">
        <v>47319</v>
      </c>
      <c r="C1689" t="s">
        <v>1819</v>
      </c>
      <c r="D1689" t="s">
        <v>40</v>
      </c>
      <c r="E1689" t="s">
        <v>41</v>
      </c>
      <c r="F1689" t="s">
        <v>54</v>
      </c>
      <c r="G1689">
        <v>4</v>
      </c>
      <c r="H1689" s="5">
        <v>3</v>
      </c>
      <c r="I1689" t="s">
        <v>32</v>
      </c>
      <c r="J1689" t="s">
        <v>226</v>
      </c>
      <c r="K1689" t="s">
        <v>227</v>
      </c>
      <c r="L1689" t="s">
        <v>2124</v>
      </c>
      <c r="M1689" s="5">
        <f t="shared" si="157"/>
        <v>12</v>
      </c>
      <c r="N1689" t="str">
        <f t="shared" si="158"/>
        <v>July</v>
      </c>
      <c r="O1689" t="str">
        <f t="shared" si="159"/>
        <v>Friday</v>
      </c>
      <c r="P1689">
        <f t="shared" si="156"/>
        <v>11</v>
      </c>
      <c r="Q1689" s="2">
        <f t="shared" si="160"/>
        <v>5</v>
      </c>
      <c r="R1689" s="2">
        <f t="shared" si="161"/>
        <v>7</v>
      </c>
      <c r="S1689">
        <f>SUMIF(Table1[product_category],"Bakery",Table1[Total_bill])</f>
        <v>2951.25</v>
      </c>
    </row>
    <row r="1690" spans="1:19" x14ac:dyDescent="0.3">
      <c r="A1690" s="2">
        <v>11689</v>
      </c>
      <c r="B1690" s="4">
        <v>47320</v>
      </c>
      <c r="C1690" t="s">
        <v>1820</v>
      </c>
      <c r="D1690" t="s">
        <v>40</v>
      </c>
      <c r="E1690" t="s">
        <v>41</v>
      </c>
      <c r="F1690" t="s">
        <v>57</v>
      </c>
      <c r="G1690">
        <v>2</v>
      </c>
      <c r="H1690" s="5">
        <v>9.5</v>
      </c>
      <c r="I1690" t="s">
        <v>28</v>
      </c>
      <c r="J1690" t="s">
        <v>28</v>
      </c>
      <c r="K1690" t="s">
        <v>29</v>
      </c>
      <c r="L1690" t="s">
        <v>2125</v>
      </c>
      <c r="M1690" s="5">
        <f t="shared" si="157"/>
        <v>19</v>
      </c>
      <c r="N1690" t="str">
        <f t="shared" si="158"/>
        <v>July</v>
      </c>
      <c r="O1690" t="str">
        <f t="shared" si="159"/>
        <v>Saturday</v>
      </c>
      <c r="P1690">
        <f t="shared" si="156"/>
        <v>13</v>
      </c>
      <c r="Q1690" s="2">
        <f t="shared" si="160"/>
        <v>6</v>
      </c>
      <c r="R1690" s="2">
        <f t="shared" si="161"/>
        <v>7</v>
      </c>
      <c r="S1690">
        <f>SUMIF(Table1[product_category],"Bakery",Table1[Total_bill])</f>
        <v>2951.25</v>
      </c>
    </row>
    <row r="1691" spans="1:19" x14ac:dyDescent="0.3">
      <c r="A1691" s="2">
        <v>11690</v>
      </c>
      <c r="B1691" s="4">
        <v>47321</v>
      </c>
      <c r="C1691" t="s">
        <v>1821</v>
      </c>
      <c r="D1691" t="s">
        <v>40</v>
      </c>
      <c r="E1691" t="s">
        <v>41</v>
      </c>
      <c r="F1691" t="s">
        <v>61</v>
      </c>
      <c r="G1691">
        <v>3</v>
      </c>
      <c r="H1691" s="5">
        <v>4</v>
      </c>
      <c r="I1691" t="s">
        <v>89</v>
      </c>
      <c r="J1691" t="s">
        <v>261</v>
      </c>
      <c r="K1691" t="s">
        <v>261</v>
      </c>
      <c r="L1691" t="s">
        <v>2124</v>
      </c>
      <c r="M1691" s="5">
        <f t="shared" si="157"/>
        <v>12</v>
      </c>
      <c r="N1691" t="str">
        <f t="shared" si="158"/>
        <v>July</v>
      </c>
      <c r="O1691" t="str">
        <f t="shared" si="159"/>
        <v>Sunday</v>
      </c>
      <c r="P1691">
        <f t="shared" si="156"/>
        <v>15</v>
      </c>
      <c r="Q1691" s="2">
        <f t="shared" si="160"/>
        <v>7</v>
      </c>
      <c r="R1691" s="2">
        <f t="shared" si="161"/>
        <v>7</v>
      </c>
      <c r="S1691">
        <f>SUMIF(Table1[product_category],"Bakery",Table1[Total_bill])</f>
        <v>2951.25</v>
      </c>
    </row>
    <row r="1692" spans="1:19" x14ac:dyDescent="0.3">
      <c r="A1692" s="2">
        <v>11691</v>
      </c>
      <c r="B1692" s="4">
        <v>47322</v>
      </c>
      <c r="C1692" t="s">
        <v>1822</v>
      </c>
      <c r="D1692" t="s">
        <v>18</v>
      </c>
      <c r="E1692" t="s">
        <v>19</v>
      </c>
      <c r="F1692" t="s">
        <v>64</v>
      </c>
      <c r="G1692">
        <v>1</v>
      </c>
      <c r="H1692" s="5">
        <v>5.5</v>
      </c>
      <c r="I1692" t="s">
        <v>72</v>
      </c>
      <c r="J1692" t="s">
        <v>72</v>
      </c>
      <c r="K1692" t="s">
        <v>141</v>
      </c>
      <c r="L1692" t="s">
        <v>2125</v>
      </c>
      <c r="M1692" s="5">
        <f t="shared" si="157"/>
        <v>5.5</v>
      </c>
      <c r="N1692" t="str">
        <f t="shared" si="158"/>
        <v>July</v>
      </c>
      <c r="O1692" t="str">
        <f t="shared" si="159"/>
        <v>Monday</v>
      </c>
      <c r="P1692">
        <f t="shared" si="156"/>
        <v>8</v>
      </c>
      <c r="Q1692" s="2">
        <f t="shared" si="160"/>
        <v>1</v>
      </c>
      <c r="R1692" s="2">
        <f t="shared" si="161"/>
        <v>7</v>
      </c>
      <c r="S1692">
        <f>SUMIF(Table1[product_category],"Bakery",Table1[Total_bill])</f>
        <v>2951.25</v>
      </c>
    </row>
    <row r="1693" spans="1:19" x14ac:dyDescent="0.3">
      <c r="A1693" s="2">
        <v>11692</v>
      </c>
      <c r="B1693" s="4">
        <v>47323</v>
      </c>
      <c r="C1693" t="s">
        <v>1823</v>
      </c>
      <c r="D1693" t="s">
        <v>40</v>
      </c>
      <c r="E1693" t="s">
        <v>41</v>
      </c>
      <c r="F1693" t="s">
        <v>66</v>
      </c>
      <c r="G1693">
        <v>2</v>
      </c>
      <c r="H1693" s="5">
        <v>2.5</v>
      </c>
      <c r="I1693" t="s">
        <v>36</v>
      </c>
      <c r="J1693" t="s">
        <v>37</v>
      </c>
      <c r="K1693" t="s">
        <v>38</v>
      </c>
      <c r="L1693" t="s">
        <v>2122</v>
      </c>
      <c r="M1693" s="5">
        <f t="shared" si="157"/>
        <v>5</v>
      </c>
      <c r="N1693" t="str">
        <f t="shared" si="158"/>
        <v>July</v>
      </c>
      <c r="O1693" t="str">
        <f t="shared" si="159"/>
        <v>Tuesday</v>
      </c>
      <c r="P1693">
        <f t="shared" si="156"/>
        <v>12</v>
      </c>
      <c r="Q1693" s="2">
        <f t="shared" si="160"/>
        <v>2</v>
      </c>
      <c r="R1693" s="2">
        <f t="shared" si="161"/>
        <v>7</v>
      </c>
      <c r="S1693">
        <f>SUMIF(Table1[product_category],"Bakery",Table1[Total_bill])</f>
        <v>2951.25</v>
      </c>
    </row>
    <row r="1694" spans="1:19" x14ac:dyDescent="0.3">
      <c r="A1694" s="2">
        <v>11693</v>
      </c>
      <c r="B1694" s="4">
        <v>47324</v>
      </c>
      <c r="C1694" t="s">
        <v>1824</v>
      </c>
      <c r="D1694" t="s">
        <v>18</v>
      </c>
      <c r="E1694" t="s">
        <v>19</v>
      </c>
      <c r="F1694" t="s">
        <v>68</v>
      </c>
      <c r="G1694">
        <v>4</v>
      </c>
      <c r="H1694" s="5">
        <v>2.25</v>
      </c>
      <c r="I1694" t="s">
        <v>21</v>
      </c>
      <c r="J1694" t="s">
        <v>58</v>
      </c>
      <c r="K1694" t="s">
        <v>59</v>
      </c>
      <c r="L1694" t="s">
        <v>2125</v>
      </c>
      <c r="M1694" s="5">
        <f t="shared" si="157"/>
        <v>9</v>
      </c>
      <c r="N1694" t="str">
        <f t="shared" si="158"/>
        <v>July</v>
      </c>
      <c r="O1694" t="str">
        <f t="shared" si="159"/>
        <v>Wednesday</v>
      </c>
      <c r="P1694">
        <f t="shared" si="156"/>
        <v>10</v>
      </c>
      <c r="Q1694" s="2">
        <f t="shared" si="160"/>
        <v>3</v>
      </c>
      <c r="R1694" s="2">
        <f t="shared" si="161"/>
        <v>7</v>
      </c>
      <c r="S1694">
        <f>SUMIF(Table1[product_category],"Bakery",Table1[Total_bill])</f>
        <v>2951.25</v>
      </c>
    </row>
    <row r="1695" spans="1:19" x14ac:dyDescent="0.3">
      <c r="A1695" s="2">
        <v>11694</v>
      </c>
      <c r="B1695" s="4">
        <v>47325</v>
      </c>
      <c r="C1695" t="s">
        <v>1825</v>
      </c>
      <c r="D1695" t="s">
        <v>40</v>
      </c>
      <c r="E1695" t="s">
        <v>41</v>
      </c>
      <c r="F1695" t="s">
        <v>71</v>
      </c>
      <c r="G1695">
        <v>4</v>
      </c>
      <c r="H1695" s="5">
        <v>2.25</v>
      </c>
      <c r="I1695" t="s">
        <v>21</v>
      </c>
      <c r="J1695" t="s">
        <v>58</v>
      </c>
      <c r="K1695" t="s">
        <v>59</v>
      </c>
      <c r="L1695" t="s">
        <v>2125</v>
      </c>
      <c r="M1695" s="5">
        <f t="shared" si="157"/>
        <v>9</v>
      </c>
      <c r="N1695" t="str">
        <f t="shared" si="158"/>
        <v>July</v>
      </c>
      <c r="O1695" t="str">
        <f t="shared" si="159"/>
        <v>Thursday</v>
      </c>
      <c r="P1695">
        <f t="shared" si="156"/>
        <v>7</v>
      </c>
      <c r="Q1695" s="2">
        <f t="shared" si="160"/>
        <v>4</v>
      </c>
      <c r="R1695" s="2">
        <f t="shared" si="161"/>
        <v>7</v>
      </c>
      <c r="S1695">
        <f>SUMIF(Table1[product_category],"Bakery",Table1[Total_bill])</f>
        <v>2951.25</v>
      </c>
    </row>
    <row r="1696" spans="1:19" x14ac:dyDescent="0.3">
      <c r="A1696" s="2">
        <v>11695</v>
      </c>
      <c r="B1696" s="4">
        <v>47326</v>
      </c>
      <c r="C1696" t="s">
        <v>1826</v>
      </c>
      <c r="D1696" t="s">
        <v>18</v>
      </c>
      <c r="E1696" t="s">
        <v>19</v>
      </c>
      <c r="F1696" t="s">
        <v>75</v>
      </c>
      <c r="G1696">
        <v>1</v>
      </c>
      <c r="H1696" s="5">
        <v>4.25</v>
      </c>
      <c r="I1696" t="s">
        <v>32</v>
      </c>
      <c r="J1696" t="s">
        <v>69</v>
      </c>
      <c r="K1696" t="s">
        <v>69</v>
      </c>
      <c r="L1696" t="s">
        <v>2124</v>
      </c>
      <c r="M1696" s="5">
        <f t="shared" si="157"/>
        <v>4.25</v>
      </c>
      <c r="N1696" t="str">
        <f t="shared" si="158"/>
        <v>July</v>
      </c>
      <c r="O1696" t="str">
        <f t="shared" si="159"/>
        <v>Friday</v>
      </c>
      <c r="P1696">
        <f t="shared" si="156"/>
        <v>10</v>
      </c>
      <c r="Q1696" s="2">
        <f t="shared" si="160"/>
        <v>5</v>
      </c>
      <c r="R1696" s="2">
        <f t="shared" si="161"/>
        <v>7</v>
      </c>
      <c r="S1696">
        <f>SUMIF(Table1[product_category],"Bakery",Table1[Total_bill])</f>
        <v>2951.25</v>
      </c>
    </row>
    <row r="1697" spans="1:19" x14ac:dyDescent="0.3">
      <c r="A1697" s="2">
        <v>11696</v>
      </c>
      <c r="B1697" s="4">
        <v>47327</v>
      </c>
      <c r="C1697" t="s">
        <v>1827</v>
      </c>
      <c r="D1697" t="s">
        <v>18</v>
      </c>
      <c r="E1697" t="s">
        <v>19</v>
      </c>
      <c r="F1697" t="s">
        <v>78</v>
      </c>
      <c r="G1697">
        <v>4</v>
      </c>
      <c r="H1697" s="5">
        <v>3.25</v>
      </c>
      <c r="I1697" t="s">
        <v>36</v>
      </c>
      <c r="J1697" t="s">
        <v>211</v>
      </c>
      <c r="K1697" t="s">
        <v>212</v>
      </c>
      <c r="L1697" t="s">
        <v>2122</v>
      </c>
      <c r="M1697" s="5">
        <f t="shared" si="157"/>
        <v>13</v>
      </c>
      <c r="N1697" t="str">
        <f t="shared" si="158"/>
        <v>July</v>
      </c>
      <c r="O1697" t="str">
        <f t="shared" si="159"/>
        <v>Saturday</v>
      </c>
      <c r="P1697">
        <f t="shared" si="156"/>
        <v>7</v>
      </c>
      <c r="Q1697" s="2">
        <f t="shared" si="160"/>
        <v>6</v>
      </c>
      <c r="R1697" s="2">
        <f t="shared" si="161"/>
        <v>7</v>
      </c>
      <c r="S1697">
        <f>SUMIF(Table1[product_category],"Bakery",Table1[Total_bill])</f>
        <v>2951.25</v>
      </c>
    </row>
    <row r="1698" spans="1:19" x14ac:dyDescent="0.3">
      <c r="A1698" s="2">
        <v>11697</v>
      </c>
      <c r="B1698" s="4">
        <v>47328</v>
      </c>
      <c r="C1698" t="s">
        <v>1828</v>
      </c>
      <c r="D1698" t="s">
        <v>18</v>
      </c>
      <c r="E1698" t="s">
        <v>19</v>
      </c>
      <c r="F1698" t="s">
        <v>80</v>
      </c>
      <c r="G1698">
        <v>4</v>
      </c>
      <c r="H1698" s="5">
        <v>3.5</v>
      </c>
      <c r="I1698" t="s">
        <v>21</v>
      </c>
      <c r="J1698" t="s">
        <v>51</v>
      </c>
      <c r="K1698" t="s">
        <v>52</v>
      </c>
      <c r="L1698" t="s">
        <v>2125</v>
      </c>
      <c r="M1698" s="5">
        <f t="shared" si="157"/>
        <v>14</v>
      </c>
      <c r="N1698" t="str">
        <f t="shared" si="158"/>
        <v>July</v>
      </c>
      <c r="O1698" t="str">
        <f t="shared" si="159"/>
        <v>Sunday</v>
      </c>
      <c r="P1698">
        <f t="shared" si="156"/>
        <v>6</v>
      </c>
      <c r="Q1698" s="2">
        <f t="shared" si="160"/>
        <v>7</v>
      </c>
      <c r="R1698" s="2">
        <f t="shared" si="161"/>
        <v>7</v>
      </c>
      <c r="S1698">
        <f>SUMIF(Table1[product_category],"Bakery",Table1[Total_bill])</f>
        <v>2951.25</v>
      </c>
    </row>
    <row r="1699" spans="1:19" x14ac:dyDescent="0.3">
      <c r="A1699" s="2">
        <v>11698</v>
      </c>
      <c r="B1699" s="4">
        <v>47329</v>
      </c>
      <c r="C1699" t="s">
        <v>1829</v>
      </c>
      <c r="D1699" t="s">
        <v>18</v>
      </c>
      <c r="E1699" t="s">
        <v>19</v>
      </c>
      <c r="F1699" t="s">
        <v>84</v>
      </c>
      <c r="G1699">
        <v>4</v>
      </c>
      <c r="H1699" s="5">
        <v>4.5</v>
      </c>
      <c r="I1699" t="s">
        <v>32</v>
      </c>
      <c r="J1699" t="s">
        <v>94</v>
      </c>
      <c r="K1699" t="s">
        <v>95</v>
      </c>
      <c r="L1699" t="s">
        <v>2123</v>
      </c>
      <c r="M1699" s="5">
        <f t="shared" si="157"/>
        <v>18</v>
      </c>
      <c r="N1699" t="str">
        <f t="shared" si="158"/>
        <v>July</v>
      </c>
      <c r="O1699" t="str">
        <f t="shared" si="159"/>
        <v>Monday</v>
      </c>
      <c r="P1699">
        <f t="shared" si="156"/>
        <v>7</v>
      </c>
      <c r="Q1699" s="2">
        <f t="shared" si="160"/>
        <v>1</v>
      </c>
      <c r="R1699" s="2">
        <f t="shared" si="161"/>
        <v>7</v>
      </c>
      <c r="S1699">
        <f>SUMIF(Table1[product_category],"Bakery",Table1[Total_bill])</f>
        <v>2951.25</v>
      </c>
    </row>
    <row r="1700" spans="1:19" x14ac:dyDescent="0.3">
      <c r="A1700" s="2">
        <v>11699</v>
      </c>
      <c r="B1700" s="4">
        <v>47330</v>
      </c>
      <c r="C1700" t="s">
        <v>1830</v>
      </c>
      <c r="D1700" t="s">
        <v>25</v>
      </c>
      <c r="E1700" t="s">
        <v>26</v>
      </c>
      <c r="F1700" t="s">
        <v>86</v>
      </c>
      <c r="G1700">
        <v>1</v>
      </c>
      <c r="H1700" s="5">
        <v>5.5</v>
      </c>
      <c r="I1700" t="s">
        <v>72</v>
      </c>
      <c r="J1700" t="s">
        <v>72</v>
      </c>
      <c r="K1700" t="s">
        <v>141</v>
      </c>
      <c r="L1700" t="s">
        <v>2125</v>
      </c>
      <c r="M1700" s="5">
        <f t="shared" si="157"/>
        <v>5.5</v>
      </c>
      <c r="N1700" t="str">
        <f t="shared" si="158"/>
        <v>July</v>
      </c>
      <c r="O1700" t="str">
        <f t="shared" si="159"/>
        <v>Tuesday</v>
      </c>
      <c r="P1700">
        <f t="shared" si="156"/>
        <v>20</v>
      </c>
      <c r="Q1700" s="2">
        <f t="shared" si="160"/>
        <v>2</v>
      </c>
      <c r="R1700" s="2">
        <f t="shared" si="161"/>
        <v>7</v>
      </c>
      <c r="S1700">
        <f>SUMIF(Table1[product_category],"Bakery",Table1[Total_bill])</f>
        <v>2951.25</v>
      </c>
    </row>
    <row r="1701" spans="1:19" x14ac:dyDescent="0.3">
      <c r="A1701" s="2">
        <v>11700</v>
      </c>
      <c r="B1701" s="4">
        <v>47331</v>
      </c>
      <c r="C1701" t="s">
        <v>1831</v>
      </c>
      <c r="D1701" t="s">
        <v>18</v>
      </c>
      <c r="E1701" t="s">
        <v>19</v>
      </c>
      <c r="F1701" t="s">
        <v>88</v>
      </c>
      <c r="G1701">
        <v>2</v>
      </c>
      <c r="H1701" s="5">
        <v>3.5</v>
      </c>
      <c r="I1701" t="s">
        <v>32</v>
      </c>
      <c r="J1701" t="s">
        <v>226</v>
      </c>
      <c r="K1701" t="s">
        <v>227</v>
      </c>
      <c r="L1701" t="s">
        <v>2123</v>
      </c>
      <c r="M1701" s="5">
        <f t="shared" si="157"/>
        <v>7</v>
      </c>
      <c r="N1701" t="str">
        <f t="shared" si="158"/>
        <v>August</v>
      </c>
      <c r="O1701" t="str">
        <f t="shared" si="159"/>
        <v>Wednesday</v>
      </c>
      <c r="P1701">
        <f t="shared" si="156"/>
        <v>12</v>
      </c>
      <c r="Q1701" s="2">
        <f t="shared" si="160"/>
        <v>3</v>
      </c>
      <c r="R1701" s="2">
        <f t="shared" si="161"/>
        <v>8</v>
      </c>
      <c r="S1701">
        <f>SUMIF(Table1[product_category],"Bakery",Table1[Total_bill])</f>
        <v>2951.25</v>
      </c>
    </row>
    <row r="1702" spans="1:19" x14ac:dyDescent="0.3">
      <c r="A1702" s="2">
        <v>11701</v>
      </c>
      <c r="B1702" s="4">
        <v>47332</v>
      </c>
      <c r="C1702" t="s">
        <v>1832</v>
      </c>
      <c r="D1702" t="s">
        <v>18</v>
      </c>
      <c r="E1702" t="s">
        <v>19</v>
      </c>
      <c r="F1702" t="s">
        <v>93</v>
      </c>
      <c r="G1702">
        <v>2</v>
      </c>
      <c r="H1702" s="5">
        <v>4.75</v>
      </c>
      <c r="I1702" t="s">
        <v>32</v>
      </c>
      <c r="J1702" t="s">
        <v>202</v>
      </c>
      <c r="K1702" t="s">
        <v>202</v>
      </c>
      <c r="L1702" t="s">
        <v>2123</v>
      </c>
      <c r="M1702" s="5">
        <f t="shared" si="157"/>
        <v>9.5</v>
      </c>
      <c r="N1702" t="str">
        <f t="shared" si="158"/>
        <v>August</v>
      </c>
      <c r="O1702" t="str">
        <f t="shared" si="159"/>
        <v>Thursday</v>
      </c>
      <c r="P1702">
        <f t="shared" si="156"/>
        <v>20</v>
      </c>
      <c r="Q1702" s="2">
        <f t="shared" si="160"/>
        <v>4</v>
      </c>
      <c r="R1702" s="2">
        <f t="shared" si="161"/>
        <v>8</v>
      </c>
      <c r="S1702">
        <f>SUMIF(Table1[product_category],"Bakery",Table1[Total_bill])</f>
        <v>2951.25</v>
      </c>
    </row>
    <row r="1703" spans="1:19" x14ac:dyDescent="0.3">
      <c r="A1703" s="2">
        <v>11702</v>
      </c>
      <c r="B1703" s="4">
        <v>47333</v>
      </c>
      <c r="C1703" t="s">
        <v>1833</v>
      </c>
      <c r="D1703" t="s">
        <v>25</v>
      </c>
      <c r="E1703" t="s">
        <v>26</v>
      </c>
      <c r="F1703" t="s">
        <v>97</v>
      </c>
      <c r="G1703">
        <v>1</v>
      </c>
      <c r="H1703" s="5">
        <v>1.75</v>
      </c>
      <c r="I1703" t="s">
        <v>32</v>
      </c>
      <c r="J1703" t="s">
        <v>43</v>
      </c>
      <c r="K1703" t="s">
        <v>44</v>
      </c>
      <c r="L1703" t="s">
        <v>2122</v>
      </c>
      <c r="M1703" s="5">
        <f t="shared" si="157"/>
        <v>1.75</v>
      </c>
      <c r="N1703" t="str">
        <f t="shared" si="158"/>
        <v>August</v>
      </c>
      <c r="O1703" t="str">
        <f t="shared" si="159"/>
        <v>Friday</v>
      </c>
      <c r="P1703">
        <f t="shared" si="156"/>
        <v>11</v>
      </c>
      <c r="Q1703" s="2">
        <f t="shared" si="160"/>
        <v>5</v>
      </c>
      <c r="R1703" s="2">
        <f t="shared" si="161"/>
        <v>8</v>
      </c>
      <c r="S1703">
        <f>SUMIF(Table1[product_category],"Bakery",Table1[Total_bill])</f>
        <v>2951.25</v>
      </c>
    </row>
    <row r="1704" spans="1:19" x14ac:dyDescent="0.3">
      <c r="A1704" s="2">
        <v>11703</v>
      </c>
      <c r="B1704" s="4">
        <v>47334</v>
      </c>
      <c r="C1704" t="s">
        <v>1834</v>
      </c>
      <c r="D1704" t="s">
        <v>40</v>
      </c>
      <c r="E1704" t="s">
        <v>41</v>
      </c>
      <c r="F1704" t="s">
        <v>100</v>
      </c>
      <c r="G1704">
        <v>1</v>
      </c>
      <c r="H1704" s="5">
        <v>5</v>
      </c>
      <c r="I1704" t="s">
        <v>89</v>
      </c>
      <c r="J1704" t="s">
        <v>90</v>
      </c>
      <c r="K1704" t="s">
        <v>91</v>
      </c>
      <c r="L1704" t="s">
        <v>2123</v>
      </c>
      <c r="M1704" s="5">
        <f t="shared" si="157"/>
        <v>5</v>
      </c>
      <c r="N1704" t="str">
        <f t="shared" si="158"/>
        <v>August</v>
      </c>
      <c r="O1704" t="str">
        <f t="shared" si="159"/>
        <v>Saturday</v>
      </c>
      <c r="P1704">
        <f t="shared" si="156"/>
        <v>9</v>
      </c>
      <c r="Q1704" s="2">
        <f t="shared" si="160"/>
        <v>6</v>
      </c>
      <c r="R1704" s="2">
        <f t="shared" si="161"/>
        <v>8</v>
      </c>
      <c r="S1704">
        <f>SUMIF(Table1[product_category],"Bakery",Table1[Total_bill])</f>
        <v>2951.25</v>
      </c>
    </row>
    <row r="1705" spans="1:19" x14ac:dyDescent="0.3">
      <c r="A1705" s="2">
        <v>11704</v>
      </c>
      <c r="B1705" s="4">
        <v>47335</v>
      </c>
      <c r="C1705" t="s">
        <v>1835</v>
      </c>
      <c r="D1705" t="s">
        <v>40</v>
      </c>
      <c r="E1705" t="s">
        <v>41</v>
      </c>
      <c r="F1705" t="s">
        <v>105</v>
      </c>
      <c r="G1705">
        <v>3</v>
      </c>
      <c r="H1705" s="5">
        <v>3.75</v>
      </c>
      <c r="I1705" t="s">
        <v>36</v>
      </c>
      <c r="J1705" t="s">
        <v>211</v>
      </c>
      <c r="K1705" t="s">
        <v>212</v>
      </c>
      <c r="L1705" t="s">
        <v>2124</v>
      </c>
      <c r="M1705" s="5">
        <f t="shared" si="157"/>
        <v>11.25</v>
      </c>
      <c r="N1705" t="str">
        <f t="shared" si="158"/>
        <v>August</v>
      </c>
      <c r="O1705" t="str">
        <f t="shared" si="159"/>
        <v>Sunday</v>
      </c>
      <c r="P1705">
        <f t="shared" si="156"/>
        <v>12</v>
      </c>
      <c r="Q1705" s="2">
        <f t="shared" si="160"/>
        <v>7</v>
      </c>
      <c r="R1705" s="2">
        <f t="shared" si="161"/>
        <v>8</v>
      </c>
      <c r="S1705">
        <f>SUMIF(Table1[product_category],"Bakery",Table1[Total_bill])</f>
        <v>2951.25</v>
      </c>
    </row>
    <row r="1706" spans="1:19" x14ac:dyDescent="0.3">
      <c r="A1706" s="2">
        <v>11705</v>
      </c>
      <c r="B1706" s="4">
        <v>47336</v>
      </c>
      <c r="C1706" t="s">
        <v>1836</v>
      </c>
      <c r="D1706" t="s">
        <v>18</v>
      </c>
      <c r="E1706" t="s">
        <v>19</v>
      </c>
      <c r="F1706" t="s">
        <v>107</v>
      </c>
      <c r="G1706">
        <v>3</v>
      </c>
      <c r="H1706" s="5">
        <v>4.5</v>
      </c>
      <c r="I1706" t="s">
        <v>89</v>
      </c>
      <c r="J1706" t="s">
        <v>261</v>
      </c>
      <c r="K1706" t="s">
        <v>261</v>
      </c>
      <c r="L1706" t="s">
        <v>2123</v>
      </c>
      <c r="M1706" s="5">
        <f t="shared" si="157"/>
        <v>13.5</v>
      </c>
      <c r="N1706" t="str">
        <f t="shared" si="158"/>
        <v>August</v>
      </c>
      <c r="O1706" t="str">
        <f t="shared" si="159"/>
        <v>Monday</v>
      </c>
      <c r="P1706">
        <f t="shared" si="156"/>
        <v>11</v>
      </c>
      <c r="Q1706" s="2">
        <f t="shared" si="160"/>
        <v>1</v>
      </c>
      <c r="R1706" s="2">
        <f t="shared" si="161"/>
        <v>8</v>
      </c>
      <c r="S1706">
        <f>SUMIF(Table1[product_category],"Bakery",Table1[Total_bill])</f>
        <v>2951.25</v>
      </c>
    </row>
    <row r="1707" spans="1:19" x14ac:dyDescent="0.3">
      <c r="A1707" s="2">
        <v>11706</v>
      </c>
      <c r="B1707" s="4">
        <v>47337</v>
      </c>
      <c r="C1707" t="s">
        <v>1837</v>
      </c>
      <c r="D1707" t="s">
        <v>18</v>
      </c>
      <c r="E1707" t="s">
        <v>19</v>
      </c>
      <c r="F1707" t="s">
        <v>109</v>
      </c>
      <c r="G1707">
        <v>3</v>
      </c>
      <c r="H1707" s="5">
        <v>3.5</v>
      </c>
      <c r="I1707" t="s">
        <v>32</v>
      </c>
      <c r="J1707" t="s">
        <v>33</v>
      </c>
      <c r="K1707" t="s">
        <v>33</v>
      </c>
      <c r="L1707" t="s">
        <v>2122</v>
      </c>
      <c r="M1707" s="5">
        <f t="shared" si="157"/>
        <v>10.5</v>
      </c>
      <c r="N1707" t="str">
        <f t="shared" si="158"/>
        <v>August</v>
      </c>
      <c r="O1707" t="str">
        <f t="shared" si="159"/>
        <v>Tuesday</v>
      </c>
      <c r="P1707">
        <f t="shared" si="156"/>
        <v>7</v>
      </c>
      <c r="Q1707" s="2">
        <f t="shared" si="160"/>
        <v>2</v>
      </c>
      <c r="R1707" s="2">
        <f t="shared" si="161"/>
        <v>8</v>
      </c>
      <c r="S1707">
        <f>SUMIF(Table1[product_category],"Bakery",Table1[Total_bill])</f>
        <v>2951.25</v>
      </c>
    </row>
    <row r="1708" spans="1:19" x14ac:dyDescent="0.3">
      <c r="A1708" s="2">
        <v>11707</v>
      </c>
      <c r="B1708" s="4">
        <v>47338</v>
      </c>
      <c r="C1708" t="s">
        <v>1838</v>
      </c>
      <c r="D1708" t="s">
        <v>25</v>
      </c>
      <c r="E1708" t="s">
        <v>26</v>
      </c>
      <c r="F1708" t="s">
        <v>112</v>
      </c>
      <c r="G1708">
        <v>3</v>
      </c>
      <c r="H1708" s="5">
        <v>5</v>
      </c>
      <c r="I1708" t="s">
        <v>89</v>
      </c>
      <c r="J1708" t="s">
        <v>90</v>
      </c>
      <c r="K1708" t="s">
        <v>91</v>
      </c>
      <c r="L1708" t="s">
        <v>2123</v>
      </c>
      <c r="M1708" s="5">
        <f t="shared" si="157"/>
        <v>15</v>
      </c>
      <c r="N1708" t="str">
        <f t="shared" si="158"/>
        <v>August</v>
      </c>
      <c r="O1708" t="str">
        <f t="shared" si="159"/>
        <v>Wednesday</v>
      </c>
      <c r="P1708">
        <f t="shared" si="156"/>
        <v>14</v>
      </c>
      <c r="Q1708" s="2">
        <f t="shared" si="160"/>
        <v>3</v>
      </c>
      <c r="R1708" s="2">
        <f t="shared" si="161"/>
        <v>8</v>
      </c>
      <c r="S1708">
        <f>SUMIF(Table1[product_category],"Bakery",Table1[Total_bill])</f>
        <v>2951.25</v>
      </c>
    </row>
    <row r="1709" spans="1:19" x14ac:dyDescent="0.3">
      <c r="A1709" s="2">
        <v>11708</v>
      </c>
      <c r="B1709" s="4">
        <v>47339</v>
      </c>
      <c r="C1709" t="s">
        <v>1839</v>
      </c>
      <c r="D1709" t="s">
        <v>40</v>
      </c>
      <c r="E1709" t="s">
        <v>41</v>
      </c>
      <c r="F1709" t="s">
        <v>115</v>
      </c>
      <c r="G1709">
        <v>1</v>
      </c>
      <c r="H1709" s="5">
        <v>1.75</v>
      </c>
      <c r="I1709" t="s">
        <v>32</v>
      </c>
      <c r="J1709" t="s">
        <v>43</v>
      </c>
      <c r="K1709" t="s">
        <v>44</v>
      </c>
      <c r="L1709" t="s">
        <v>2122</v>
      </c>
      <c r="M1709" s="5">
        <f t="shared" si="157"/>
        <v>1.75</v>
      </c>
      <c r="N1709" t="str">
        <f t="shared" si="158"/>
        <v>August</v>
      </c>
      <c r="O1709" t="str">
        <f t="shared" si="159"/>
        <v>Thursday</v>
      </c>
      <c r="P1709">
        <f t="shared" si="156"/>
        <v>8</v>
      </c>
      <c r="Q1709" s="2">
        <f t="shared" si="160"/>
        <v>4</v>
      </c>
      <c r="R1709" s="2">
        <f t="shared" si="161"/>
        <v>8</v>
      </c>
      <c r="S1709">
        <f>SUMIF(Table1[product_category],"Bakery",Table1[Total_bill])</f>
        <v>2951.25</v>
      </c>
    </row>
    <row r="1710" spans="1:19" x14ac:dyDescent="0.3">
      <c r="A1710" s="2">
        <v>11709</v>
      </c>
      <c r="B1710" s="4">
        <v>47340</v>
      </c>
      <c r="C1710" t="s">
        <v>1840</v>
      </c>
      <c r="D1710" t="s">
        <v>40</v>
      </c>
      <c r="E1710" t="s">
        <v>41</v>
      </c>
      <c r="F1710" t="s">
        <v>117</v>
      </c>
      <c r="G1710">
        <v>4</v>
      </c>
      <c r="H1710" s="5">
        <v>3</v>
      </c>
      <c r="I1710" t="s">
        <v>21</v>
      </c>
      <c r="J1710" t="s">
        <v>181</v>
      </c>
      <c r="K1710" t="s">
        <v>182</v>
      </c>
      <c r="L1710" t="s">
        <v>2125</v>
      </c>
      <c r="M1710" s="5">
        <f t="shared" si="157"/>
        <v>12</v>
      </c>
      <c r="N1710" t="str">
        <f t="shared" si="158"/>
        <v>August</v>
      </c>
      <c r="O1710" t="str">
        <f t="shared" si="159"/>
        <v>Friday</v>
      </c>
      <c r="P1710">
        <f t="shared" si="156"/>
        <v>13</v>
      </c>
      <c r="Q1710" s="2">
        <f t="shared" si="160"/>
        <v>5</v>
      </c>
      <c r="R1710" s="2">
        <f t="shared" si="161"/>
        <v>8</v>
      </c>
      <c r="S1710">
        <f>SUMIF(Table1[product_category],"Bakery",Table1[Total_bill])</f>
        <v>2951.25</v>
      </c>
    </row>
    <row r="1711" spans="1:19" x14ac:dyDescent="0.3">
      <c r="A1711" s="2">
        <v>11710</v>
      </c>
      <c r="B1711" s="4">
        <v>47341</v>
      </c>
      <c r="C1711" t="s">
        <v>1841</v>
      </c>
      <c r="D1711" t="s">
        <v>25</v>
      </c>
      <c r="E1711" t="s">
        <v>26</v>
      </c>
      <c r="F1711" t="s">
        <v>119</v>
      </c>
      <c r="G1711">
        <v>4</v>
      </c>
      <c r="H1711" s="5">
        <v>4</v>
      </c>
      <c r="I1711" t="s">
        <v>32</v>
      </c>
      <c r="J1711" t="s">
        <v>122</v>
      </c>
      <c r="K1711" t="s">
        <v>122</v>
      </c>
      <c r="L1711" t="s">
        <v>2124</v>
      </c>
      <c r="M1711" s="5">
        <f t="shared" si="157"/>
        <v>16</v>
      </c>
      <c r="N1711" t="str">
        <f t="shared" si="158"/>
        <v>August</v>
      </c>
      <c r="O1711" t="str">
        <f t="shared" si="159"/>
        <v>Saturday</v>
      </c>
      <c r="P1711">
        <f t="shared" si="156"/>
        <v>14</v>
      </c>
      <c r="Q1711" s="2">
        <f t="shared" si="160"/>
        <v>6</v>
      </c>
      <c r="R1711" s="2">
        <f t="shared" si="161"/>
        <v>8</v>
      </c>
      <c r="S1711">
        <f>SUMIF(Table1[product_category],"Bakery",Table1[Total_bill])</f>
        <v>2951.25</v>
      </c>
    </row>
    <row r="1712" spans="1:19" x14ac:dyDescent="0.3">
      <c r="A1712" s="2">
        <v>11711</v>
      </c>
      <c r="B1712" s="4">
        <v>47342</v>
      </c>
      <c r="C1712" t="s">
        <v>1842</v>
      </c>
      <c r="D1712" t="s">
        <v>40</v>
      </c>
      <c r="E1712" t="s">
        <v>41</v>
      </c>
      <c r="F1712" t="s">
        <v>121</v>
      </c>
      <c r="G1712">
        <v>2</v>
      </c>
      <c r="H1712" s="5">
        <v>2.5</v>
      </c>
      <c r="I1712" t="s">
        <v>36</v>
      </c>
      <c r="J1712" t="s">
        <v>37</v>
      </c>
      <c r="K1712" t="s">
        <v>276</v>
      </c>
      <c r="L1712" t="s">
        <v>2122</v>
      </c>
      <c r="M1712" s="5">
        <f t="shared" si="157"/>
        <v>5</v>
      </c>
      <c r="N1712" t="str">
        <f t="shared" si="158"/>
        <v>August</v>
      </c>
      <c r="O1712" t="str">
        <f t="shared" si="159"/>
        <v>Sunday</v>
      </c>
      <c r="P1712">
        <f t="shared" si="156"/>
        <v>7</v>
      </c>
      <c r="Q1712" s="2">
        <f t="shared" si="160"/>
        <v>7</v>
      </c>
      <c r="R1712" s="2">
        <f t="shared" si="161"/>
        <v>8</v>
      </c>
      <c r="S1712">
        <f>SUMIF(Table1[product_category],"Bakery",Table1[Total_bill])</f>
        <v>2951.25</v>
      </c>
    </row>
    <row r="1713" spans="1:19" x14ac:dyDescent="0.3">
      <c r="A1713" s="2">
        <v>11712</v>
      </c>
      <c r="B1713" s="4">
        <v>47343</v>
      </c>
      <c r="C1713" t="s">
        <v>1843</v>
      </c>
      <c r="D1713" t="s">
        <v>25</v>
      </c>
      <c r="E1713" t="s">
        <v>26</v>
      </c>
      <c r="F1713" t="s">
        <v>124</v>
      </c>
      <c r="G1713">
        <v>4</v>
      </c>
      <c r="H1713" s="5">
        <v>4.5</v>
      </c>
      <c r="I1713" t="s">
        <v>36</v>
      </c>
      <c r="J1713" t="s">
        <v>110</v>
      </c>
      <c r="K1713" t="s">
        <v>110</v>
      </c>
      <c r="L1713" t="s">
        <v>2124</v>
      </c>
      <c r="M1713" s="5">
        <f t="shared" si="157"/>
        <v>18</v>
      </c>
      <c r="N1713" t="str">
        <f t="shared" si="158"/>
        <v>August</v>
      </c>
      <c r="O1713" t="str">
        <f t="shared" si="159"/>
        <v>Monday</v>
      </c>
      <c r="P1713">
        <f t="shared" si="156"/>
        <v>7</v>
      </c>
      <c r="Q1713" s="2">
        <f t="shared" si="160"/>
        <v>1</v>
      </c>
      <c r="R1713" s="2">
        <f t="shared" si="161"/>
        <v>8</v>
      </c>
      <c r="S1713">
        <f>SUMIF(Table1[product_category],"Bakery",Table1[Total_bill])</f>
        <v>2951.25</v>
      </c>
    </row>
    <row r="1714" spans="1:19" x14ac:dyDescent="0.3">
      <c r="A1714" s="2">
        <v>11713</v>
      </c>
      <c r="B1714" s="4">
        <v>47344</v>
      </c>
      <c r="C1714" t="s">
        <v>1844</v>
      </c>
      <c r="D1714" t="s">
        <v>25</v>
      </c>
      <c r="E1714" t="s">
        <v>26</v>
      </c>
      <c r="F1714" t="s">
        <v>126</v>
      </c>
      <c r="G1714">
        <v>3</v>
      </c>
      <c r="H1714" s="5">
        <v>3.25</v>
      </c>
      <c r="I1714" t="s">
        <v>36</v>
      </c>
      <c r="J1714" t="s">
        <v>211</v>
      </c>
      <c r="K1714" t="s">
        <v>212</v>
      </c>
      <c r="L1714" t="s">
        <v>2122</v>
      </c>
      <c r="M1714" s="5">
        <f t="shared" si="157"/>
        <v>9.75</v>
      </c>
      <c r="N1714" t="str">
        <f t="shared" si="158"/>
        <v>August</v>
      </c>
      <c r="O1714" t="str">
        <f t="shared" si="159"/>
        <v>Tuesday</v>
      </c>
      <c r="P1714">
        <f t="shared" si="156"/>
        <v>16</v>
      </c>
      <c r="Q1714" s="2">
        <f t="shared" si="160"/>
        <v>2</v>
      </c>
      <c r="R1714" s="2">
        <f t="shared" si="161"/>
        <v>8</v>
      </c>
      <c r="S1714">
        <f>SUMIF(Table1[product_category],"Bakery",Table1[Total_bill])</f>
        <v>2951.25</v>
      </c>
    </row>
    <row r="1715" spans="1:19" x14ac:dyDescent="0.3">
      <c r="A1715" s="2">
        <v>11714</v>
      </c>
      <c r="B1715" s="4">
        <v>47345</v>
      </c>
      <c r="C1715" t="s">
        <v>1845</v>
      </c>
      <c r="D1715" t="s">
        <v>40</v>
      </c>
      <c r="E1715" t="s">
        <v>41</v>
      </c>
      <c r="F1715" t="s">
        <v>128</v>
      </c>
      <c r="G1715">
        <v>1</v>
      </c>
      <c r="H1715" s="5">
        <v>4.25</v>
      </c>
      <c r="I1715" t="s">
        <v>32</v>
      </c>
      <c r="J1715" t="s">
        <v>69</v>
      </c>
      <c r="K1715" t="s">
        <v>69</v>
      </c>
      <c r="L1715" t="s">
        <v>2124</v>
      </c>
      <c r="M1715" s="5">
        <f t="shared" si="157"/>
        <v>4.25</v>
      </c>
      <c r="N1715" t="str">
        <f t="shared" si="158"/>
        <v>August</v>
      </c>
      <c r="O1715" t="str">
        <f t="shared" si="159"/>
        <v>Wednesday</v>
      </c>
      <c r="P1715">
        <f t="shared" si="156"/>
        <v>11</v>
      </c>
      <c r="Q1715" s="2">
        <f t="shared" si="160"/>
        <v>3</v>
      </c>
      <c r="R1715" s="2">
        <f t="shared" si="161"/>
        <v>8</v>
      </c>
      <c r="S1715">
        <f>SUMIF(Table1[product_category],"Bakery",Table1[Total_bill])</f>
        <v>2951.25</v>
      </c>
    </row>
    <row r="1716" spans="1:19" x14ac:dyDescent="0.3">
      <c r="A1716" s="2">
        <v>11715</v>
      </c>
      <c r="B1716" s="4">
        <v>47346</v>
      </c>
      <c r="C1716" t="s">
        <v>1846</v>
      </c>
      <c r="D1716" t="s">
        <v>40</v>
      </c>
      <c r="E1716" t="s">
        <v>41</v>
      </c>
      <c r="F1716" t="s">
        <v>131</v>
      </c>
      <c r="G1716">
        <v>1</v>
      </c>
      <c r="H1716" s="5">
        <v>2.75</v>
      </c>
      <c r="I1716" t="s">
        <v>32</v>
      </c>
      <c r="J1716" t="s">
        <v>144</v>
      </c>
      <c r="K1716" t="s">
        <v>144</v>
      </c>
      <c r="L1716" t="s">
        <v>2122</v>
      </c>
      <c r="M1716" s="5">
        <f t="shared" si="157"/>
        <v>2.75</v>
      </c>
      <c r="N1716" t="str">
        <f t="shared" si="158"/>
        <v>August</v>
      </c>
      <c r="O1716" t="str">
        <f t="shared" si="159"/>
        <v>Thursday</v>
      </c>
      <c r="P1716">
        <f t="shared" si="156"/>
        <v>6</v>
      </c>
      <c r="Q1716" s="2">
        <f t="shared" si="160"/>
        <v>4</v>
      </c>
      <c r="R1716" s="2">
        <f t="shared" si="161"/>
        <v>8</v>
      </c>
      <c r="S1716">
        <f>SUMIF(Table1[product_category],"Bakery",Table1[Total_bill])</f>
        <v>2951.25</v>
      </c>
    </row>
    <row r="1717" spans="1:19" x14ac:dyDescent="0.3">
      <c r="A1717" s="2">
        <v>11716</v>
      </c>
      <c r="B1717" s="4">
        <v>47347</v>
      </c>
      <c r="C1717" t="s">
        <v>1847</v>
      </c>
      <c r="D1717" t="s">
        <v>18</v>
      </c>
      <c r="E1717" t="s">
        <v>19</v>
      </c>
      <c r="F1717" t="s">
        <v>133</v>
      </c>
      <c r="G1717">
        <v>2</v>
      </c>
      <c r="H1717" s="5">
        <v>2.75</v>
      </c>
      <c r="I1717" t="s">
        <v>32</v>
      </c>
      <c r="J1717" t="s">
        <v>226</v>
      </c>
      <c r="K1717" t="s">
        <v>273</v>
      </c>
      <c r="L1717" t="s">
        <v>2122</v>
      </c>
      <c r="M1717" s="5">
        <f t="shared" si="157"/>
        <v>5.5</v>
      </c>
      <c r="N1717" t="str">
        <f t="shared" si="158"/>
        <v>August</v>
      </c>
      <c r="O1717" t="str">
        <f t="shared" si="159"/>
        <v>Friday</v>
      </c>
      <c r="P1717">
        <f t="shared" si="156"/>
        <v>20</v>
      </c>
      <c r="Q1717" s="2">
        <f t="shared" si="160"/>
        <v>5</v>
      </c>
      <c r="R1717" s="2">
        <f t="shared" si="161"/>
        <v>8</v>
      </c>
      <c r="S1717">
        <f>SUMIF(Table1[product_category],"Bakery",Table1[Total_bill])</f>
        <v>2951.25</v>
      </c>
    </row>
    <row r="1718" spans="1:19" x14ac:dyDescent="0.3">
      <c r="A1718" s="2">
        <v>11717</v>
      </c>
      <c r="B1718" s="4">
        <v>47348</v>
      </c>
      <c r="C1718" t="s">
        <v>1848</v>
      </c>
      <c r="D1718" t="s">
        <v>40</v>
      </c>
      <c r="E1718" t="s">
        <v>41</v>
      </c>
      <c r="F1718" t="s">
        <v>135</v>
      </c>
      <c r="G1718">
        <v>3</v>
      </c>
      <c r="H1718" s="5">
        <v>24</v>
      </c>
      <c r="I1718" t="s">
        <v>101</v>
      </c>
      <c r="J1718" t="s">
        <v>102</v>
      </c>
      <c r="K1718" t="s">
        <v>103</v>
      </c>
      <c r="L1718" t="s">
        <v>2125</v>
      </c>
      <c r="M1718" s="5">
        <f t="shared" si="157"/>
        <v>72</v>
      </c>
      <c r="N1718" t="str">
        <f t="shared" si="158"/>
        <v>August</v>
      </c>
      <c r="O1718" t="str">
        <f t="shared" si="159"/>
        <v>Saturday</v>
      </c>
      <c r="P1718">
        <f t="shared" si="156"/>
        <v>6</v>
      </c>
      <c r="Q1718" s="2">
        <f t="shared" si="160"/>
        <v>6</v>
      </c>
      <c r="R1718" s="2">
        <f t="shared" si="161"/>
        <v>8</v>
      </c>
      <c r="S1718">
        <f>SUMIF(Table1[product_category],"Bakery",Table1[Total_bill])</f>
        <v>2951.25</v>
      </c>
    </row>
    <row r="1719" spans="1:19" x14ac:dyDescent="0.3">
      <c r="A1719" s="2">
        <v>11718</v>
      </c>
      <c r="B1719" s="4">
        <v>47349</v>
      </c>
      <c r="C1719" t="s">
        <v>1849</v>
      </c>
      <c r="D1719" t="s">
        <v>40</v>
      </c>
      <c r="E1719" t="s">
        <v>41</v>
      </c>
      <c r="F1719" t="s">
        <v>137</v>
      </c>
      <c r="G1719">
        <v>3</v>
      </c>
      <c r="H1719" s="5">
        <v>13</v>
      </c>
      <c r="I1719" t="s">
        <v>98</v>
      </c>
      <c r="J1719" t="s">
        <v>98</v>
      </c>
      <c r="K1719" t="s">
        <v>95</v>
      </c>
      <c r="L1719" t="s">
        <v>2125</v>
      </c>
      <c r="M1719" s="5">
        <f t="shared" si="157"/>
        <v>39</v>
      </c>
      <c r="N1719" t="str">
        <f t="shared" si="158"/>
        <v>August</v>
      </c>
      <c r="O1719" t="str">
        <f t="shared" si="159"/>
        <v>Sunday</v>
      </c>
      <c r="P1719">
        <f t="shared" si="156"/>
        <v>14</v>
      </c>
      <c r="Q1719" s="2">
        <f t="shared" si="160"/>
        <v>7</v>
      </c>
      <c r="R1719" s="2">
        <f t="shared" si="161"/>
        <v>8</v>
      </c>
      <c r="S1719">
        <f>SUMIF(Table1[product_category],"Bakery",Table1[Total_bill])</f>
        <v>2951.25</v>
      </c>
    </row>
    <row r="1720" spans="1:19" x14ac:dyDescent="0.3">
      <c r="A1720" s="2">
        <v>11719</v>
      </c>
      <c r="B1720" s="4">
        <v>47350</v>
      </c>
      <c r="C1720" t="s">
        <v>1850</v>
      </c>
      <c r="D1720" t="s">
        <v>40</v>
      </c>
      <c r="E1720" t="s">
        <v>41</v>
      </c>
      <c r="F1720" t="s">
        <v>140</v>
      </c>
      <c r="G1720">
        <v>2</v>
      </c>
      <c r="H1720" s="5">
        <v>3.25</v>
      </c>
      <c r="I1720" t="s">
        <v>21</v>
      </c>
      <c r="J1720" t="s">
        <v>81</v>
      </c>
      <c r="K1720" t="s">
        <v>82</v>
      </c>
      <c r="L1720" t="s">
        <v>2125</v>
      </c>
      <c r="M1720" s="5">
        <f t="shared" si="157"/>
        <v>6.5</v>
      </c>
      <c r="N1720" t="str">
        <f t="shared" si="158"/>
        <v>August</v>
      </c>
      <c r="O1720" t="str">
        <f t="shared" si="159"/>
        <v>Monday</v>
      </c>
      <c r="P1720">
        <f t="shared" si="156"/>
        <v>20</v>
      </c>
      <c r="Q1720" s="2">
        <f t="shared" si="160"/>
        <v>1</v>
      </c>
      <c r="R1720" s="2">
        <f t="shared" si="161"/>
        <v>8</v>
      </c>
      <c r="S1720">
        <f>SUMIF(Table1[product_category],"Bakery",Table1[Total_bill])</f>
        <v>2951.25</v>
      </c>
    </row>
    <row r="1721" spans="1:19" x14ac:dyDescent="0.3">
      <c r="A1721" s="2">
        <v>11720</v>
      </c>
      <c r="B1721" s="4">
        <v>47351</v>
      </c>
      <c r="C1721" t="s">
        <v>1851</v>
      </c>
      <c r="D1721" t="s">
        <v>40</v>
      </c>
      <c r="E1721" t="s">
        <v>41</v>
      </c>
      <c r="F1721" t="s">
        <v>143</v>
      </c>
      <c r="G1721">
        <v>3</v>
      </c>
      <c r="H1721" s="5">
        <v>4</v>
      </c>
      <c r="I1721" t="s">
        <v>32</v>
      </c>
      <c r="J1721" t="s">
        <v>94</v>
      </c>
      <c r="K1721" t="s">
        <v>95</v>
      </c>
      <c r="L1721" t="s">
        <v>2124</v>
      </c>
      <c r="M1721" s="5">
        <f t="shared" si="157"/>
        <v>12</v>
      </c>
      <c r="N1721" t="str">
        <f t="shared" si="158"/>
        <v>August</v>
      </c>
      <c r="O1721" t="str">
        <f t="shared" si="159"/>
        <v>Tuesday</v>
      </c>
      <c r="P1721">
        <f t="shared" si="156"/>
        <v>8</v>
      </c>
      <c r="Q1721" s="2">
        <f t="shared" si="160"/>
        <v>2</v>
      </c>
      <c r="R1721" s="2">
        <f t="shared" si="161"/>
        <v>8</v>
      </c>
      <c r="S1721">
        <f>SUMIF(Table1[product_category],"Bakery",Table1[Total_bill])</f>
        <v>2951.25</v>
      </c>
    </row>
    <row r="1722" spans="1:19" x14ac:dyDescent="0.3">
      <c r="A1722" s="2">
        <v>11721</v>
      </c>
      <c r="B1722" s="4">
        <v>47352</v>
      </c>
      <c r="C1722" t="s">
        <v>1852</v>
      </c>
      <c r="D1722" t="s">
        <v>18</v>
      </c>
      <c r="E1722" t="s">
        <v>19</v>
      </c>
      <c r="F1722" t="s">
        <v>146</v>
      </c>
      <c r="G1722">
        <v>2</v>
      </c>
      <c r="H1722" s="5">
        <v>5</v>
      </c>
      <c r="I1722" t="s">
        <v>89</v>
      </c>
      <c r="J1722" t="s">
        <v>90</v>
      </c>
      <c r="K1722" t="s">
        <v>91</v>
      </c>
      <c r="L1722" t="s">
        <v>2123</v>
      </c>
      <c r="M1722" s="5">
        <f t="shared" si="157"/>
        <v>10</v>
      </c>
      <c r="N1722" t="str">
        <f t="shared" si="158"/>
        <v>August</v>
      </c>
      <c r="O1722" t="str">
        <f t="shared" si="159"/>
        <v>Wednesday</v>
      </c>
      <c r="P1722">
        <f t="shared" si="156"/>
        <v>7</v>
      </c>
      <c r="Q1722" s="2">
        <f t="shared" si="160"/>
        <v>3</v>
      </c>
      <c r="R1722" s="2">
        <f t="shared" si="161"/>
        <v>8</v>
      </c>
      <c r="S1722">
        <f>SUMIF(Table1[product_category],"Bakery",Table1[Total_bill])</f>
        <v>2951.25</v>
      </c>
    </row>
    <row r="1723" spans="1:19" x14ac:dyDescent="0.3">
      <c r="A1723" s="2">
        <v>11722</v>
      </c>
      <c r="B1723" s="4">
        <v>47353</v>
      </c>
      <c r="C1723" t="s">
        <v>1853</v>
      </c>
      <c r="D1723" t="s">
        <v>18</v>
      </c>
      <c r="E1723" t="s">
        <v>19</v>
      </c>
      <c r="F1723" t="s">
        <v>148</v>
      </c>
      <c r="G1723">
        <v>2</v>
      </c>
      <c r="H1723" s="5">
        <v>2.75</v>
      </c>
      <c r="I1723" t="s">
        <v>21</v>
      </c>
      <c r="J1723" t="s">
        <v>22</v>
      </c>
      <c r="K1723" t="s">
        <v>23</v>
      </c>
      <c r="L1723" t="s">
        <v>2125</v>
      </c>
      <c r="M1723" s="5">
        <f t="shared" si="157"/>
        <v>5.5</v>
      </c>
      <c r="N1723" t="str">
        <f t="shared" si="158"/>
        <v>August</v>
      </c>
      <c r="O1723" t="str">
        <f t="shared" si="159"/>
        <v>Thursday</v>
      </c>
      <c r="P1723">
        <f t="shared" si="156"/>
        <v>7</v>
      </c>
      <c r="Q1723" s="2">
        <f t="shared" si="160"/>
        <v>4</v>
      </c>
      <c r="R1723" s="2">
        <f t="shared" si="161"/>
        <v>8</v>
      </c>
      <c r="S1723">
        <f>SUMIF(Table1[product_category],"Bakery",Table1[Total_bill])</f>
        <v>2951.25</v>
      </c>
    </row>
    <row r="1724" spans="1:19" x14ac:dyDescent="0.3">
      <c r="A1724" s="2">
        <v>11723</v>
      </c>
      <c r="B1724" s="4">
        <v>47354</v>
      </c>
      <c r="C1724" t="s">
        <v>1854</v>
      </c>
      <c r="D1724" t="s">
        <v>18</v>
      </c>
      <c r="E1724" t="s">
        <v>19</v>
      </c>
      <c r="F1724" t="s">
        <v>150</v>
      </c>
      <c r="G1724">
        <v>4</v>
      </c>
      <c r="H1724" s="5">
        <v>5.5</v>
      </c>
      <c r="I1724" t="s">
        <v>72</v>
      </c>
      <c r="J1724" t="s">
        <v>72</v>
      </c>
      <c r="K1724" t="s">
        <v>141</v>
      </c>
      <c r="L1724" t="s">
        <v>2125</v>
      </c>
      <c r="M1724" s="5">
        <f t="shared" si="157"/>
        <v>22</v>
      </c>
      <c r="N1724" t="str">
        <f t="shared" si="158"/>
        <v>August</v>
      </c>
      <c r="O1724" t="str">
        <f t="shared" si="159"/>
        <v>Friday</v>
      </c>
      <c r="P1724">
        <f t="shared" si="156"/>
        <v>9</v>
      </c>
      <c r="Q1724" s="2">
        <f t="shared" si="160"/>
        <v>5</v>
      </c>
      <c r="R1724" s="2">
        <f t="shared" si="161"/>
        <v>8</v>
      </c>
      <c r="S1724">
        <f>SUMIF(Table1[product_category],"Bakery",Table1[Total_bill])</f>
        <v>2951.25</v>
      </c>
    </row>
    <row r="1725" spans="1:19" x14ac:dyDescent="0.3">
      <c r="A1725" s="2">
        <v>11724</v>
      </c>
      <c r="B1725" s="4">
        <v>47355</v>
      </c>
      <c r="C1725" t="s">
        <v>1770</v>
      </c>
      <c r="D1725" t="s">
        <v>18</v>
      </c>
      <c r="E1725" t="s">
        <v>19</v>
      </c>
      <c r="F1725" t="s">
        <v>152</v>
      </c>
      <c r="G1725">
        <v>1</v>
      </c>
      <c r="H1725" s="5">
        <v>3.25</v>
      </c>
      <c r="I1725" t="s">
        <v>21</v>
      </c>
      <c r="J1725" t="s">
        <v>81</v>
      </c>
      <c r="K1725" t="s">
        <v>82</v>
      </c>
      <c r="L1725" t="s">
        <v>2125</v>
      </c>
      <c r="M1725" s="5">
        <f t="shared" si="157"/>
        <v>3.25</v>
      </c>
      <c r="N1725" t="str">
        <f t="shared" si="158"/>
        <v>August</v>
      </c>
      <c r="O1725" t="str">
        <f t="shared" si="159"/>
        <v>Saturday</v>
      </c>
      <c r="P1725">
        <f t="shared" si="156"/>
        <v>7</v>
      </c>
      <c r="Q1725" s="2">
        <f t="shared" si="160"/>
        <v>6</v>
      </c>
      <c r="R1725" s="2">
        <f t="shared" si="161"/>
        <v>8</v>
      </c>
      <c r="S1725">
        <f>SUMIF(Table1[product_category],"Bakery",Table1[Total_bill])</f>
        <v>2951.25</v>
      </c>
    </row>
    <row r="1726" spans="1:19" x14ac:dyDescent="0.3">
      <c r="A1726" s="2">
        <v>11725</v>
      </c>
      <c r="B1726" s="4">
        <v>47356</v>
      </c>
      <c r="C1726" t="s">
        <v>1855</v>
      </c>
      <c r="D1726" t="s">
        <v>25</v>
      </c>
      <c r="E1726" t="s">
        <v>26</v>
      </c>
      <c r="F1726" t="s">
        <v>154</v>
      </c>
      <c r="G1726">
        <v>4</v>
      </c>
      <c r="H1726" s="5">
        <v>3.25</v>
      </c>
      <c r="I1726" t="s">
        <v>21</v>
      </c>
      <c r="J1726" t="s">
        <v>81</v>
      </c>
      <c r="K1726" t="s">
        <v>82</v>
      </c>
      <c r="L1726" t="s">
        <v>2125</v>
      </c>
      <c r="M1726" s="5">
        <f t="shared" si="157"/>
        <v>13</v>
      </c>
      <c r="N1726" t="str">
        <f t="shared" si="158"/>
        <v>August</v>
      </c>
      <c r="O1726" t="str">
        <f t="shared" si="159"/>
        <v>Sunday</v>
      </c>
      <c r="P1726">
        <f t="shared" si="156"/>
        <v>14</v>
      </c>
      <c r="Q1726" s="2">
        <f t="shared" si="160"/>
        <v>7</v>
      </c>
      <c r="R1726" s="2">
        <f t="shared" si="161"/>
        <v>8</v>
      </c>
      <c r="S1726">
        <f>SUMIF(Table1[product_category],"Bakery",Table1[Total_bill])</f>
        <v>2951.25</v>
      </c>
    </row>
    <row r="1727" spans="1:19" x14ac:dyDescent="0.3">
      <c r="A1727" s="2">
        <v>11726</v>
      </c>
      <c r="B1727" s="4">
        <v>47357</v>
      </c>
      <c r="C1727" t="s">
        <v>1856</v>
      </c>
      <c r="D1727" t="s">
        <v>40</v>
      </c>
      <c r="E1727" t="s">
        <v>41</v>
      </c>
      <c r="F1727" t="s">
        <v>156</v>
      </c>
      <c r="G1727">
        <v>4</v>
      </c>
      <c r="H1727" s="5">
        <v>4</v>
      </c>
      <c r="I1727" t="s">
        <v>32</v>
      </c>
      <c r="J1727" t="s">
        <v>33</v>
      </c>
      <c r="K1727" t="s">
        <v>33</v>
      </c>
      <c r="L1727" t="s">
        <v>2124</v>
      </c>
      <c r="M1727" s="5">
        <f t="shared" si="157"/>
        <v>16</v>
      </c>
      <c r="N1727" t="str">
        <f t="shared" si="158"/>
        <v>August</v>
      </c>
      <c r="O1727" t="str">
        <f t="shared" si="159"/>
        <v>Monday</v>
      </c>
      <c r="P1727">
        <f t="shared" si="156"/>
        <v>7</v>
      </c>
      <c r="Q1727" s="2">
        <f t="shared" si="160"/>
        <v>1</v>
      </c>
      <c r="R1727" s="2">
        <f t="shared" si="161"/>
        <v>8</v>
      </c>
      <c r="S1727">
        <f>SUMIF(Table1[product_category],"Bakery",Table1[Total_bill])</f>
        <v>2951.25</v>
      </c>
    </row>
    <row r="1728" spans="1:19" x14ac:dyDescent="0.3">
      <c r="A1728" s="2">
        <v>11727</v>
      </c>
      <c r="B1728" s="4">
        <v>47358</v>
      </c>
      <c r="C1728" t="s">
        <v>1857</v>
      </c>
      <c r="D1728" t="s">
        <v>18</v>
      </c>
      <c r="E1728" t="s">
        <v>19</v>
      </c>
      <c r="F1728" t="s">
        <v>158</v>
      </c>
      <c r="G1728">
        <v>4</v>
      </c>
      <c r="H1728" s="5">
        <v>3.75</v>
      </c>
      <c r="I1728" t="s">
        <v>32</v>
      </c>
      <c r="J1728" t="s">
        <v>144</v>
      </c>
      <c r="K1728" t="s">
        <v>144</v>
      </c>
      <c r="L1728" t="s">
        <v>2123</v>
      </c>
      <c r="M1728" s="5">
        <f t="shared" si="157"/>
        <v>15</v>
      </c>
      <c r="N1728" t="str">
        <f t="shared" si="158"/>
        <v>August</v>
      </c>
      <c r="O1728" t="str">
        <f t="shared" si="159"/>
        <v>Tuesday</v>
      </c>
      <c r="P1728">
        <f t="shared" si="156"/>
        <v>12</v>
      </c>
      <c r="Q1728" s="2">
        <f t="shared" si="160"/>
        <v>2</v>
      </c>
      <c r="R1728" s="2">
        <f t="shared" si="161"/>
        <v>8</v>
      </c>
      <c r="S1728">
        <f>SUMIF(Table1[product_category],"Bakery",Table1[Total_bill])</f>
        <v>2951.25</v>
      </c>
    </row>
    <row r="1729" spans="1:19" x14ac:dyDescent="0.3">
      <c r="A1729" s="2">
        <v>11728</v>
      </c>
      <c r="B1729" s="4">
        <v>47359</v>
      </c>
      <c r="C1729" t="s">
        <v>1858</v>
      </c>
      <c r="D1729" t="s">
        <v>18</v>
      </c>
      <c r="E1729" t="s">
        <v>19</v>
      </c>
      <c r="F1729" t="s">
        <v>160</v>
      </c>
      <c r="G1729">
        <v>2</v>
      </c>
      <c r="H1729" s="5">
        <v>4.25</v>
      </c>
      <c r="I1729" t="s">
        <v>32</v>
      </c>
      <c r="J1729" t="s">
        <v>202</v>
      </c>
      <c r="K1729" t="s">
        <v>202</v>
      </c>
      <c r="L1729" t="s">
        <v>2124</v>
      </c>
      <c r="M1729" s="5">
        <f t="shared" si="157"/>
        <v>8.5</v>
      </c>
      <c r="N1729" t="str">
        <f t="shared" si="158"/>
        <v>August</v>
      </c>
      <c r="O1729" t="str">
        <f t="shared" si="159"/>
        <v>Wednesday</v>
      </c>
      <c r="P1729">
        <f t="shared" si="156"/>
        <v>20</v>
      </c>
      <c r="Q1729" s="2">
        <f t="shared" si="160"/>
        <v>3</v>
      </c>
      <c r="R1729" s="2">
        <f t="shared" si="161"/>
        <v>8</v>
      </c>
      <c r="S1729">
        <f>SUMIF(Table1[product_category],"Bakery",Table1[Total_bill])</f>
        <v>2951.25</v>
      </c>
    </row>
    <row r="1730" spans="1:19" x14ac:dyDescent="0.3">
      <c r="A1730" s="2">
        <v>11729</v>
      </c>
      <c r="B1730" s="4">
        <v>47360</v>
      </c>
      <c r="C1730" t="s">
        <v>1859</v>
      </c>
      <c r="D1730" t="s">
        <v>40</v>
      </c>
      <c r="E1730" t="s">
        <v>41</v>
      </c>
      <c r="F1730" t="s">
        <v>162</v>
      </c>
      <c r="G1730">
        <v>4</v>
      </c>
      <c r="H1730" s="5">
        <v>8</v>
      </c>
      <c r="I1730" t="s">
        <v>28</v>
      </c>
      <c r="J1730" t="s">
        <v>28</v>
      </c>
      <c r="K1730" t="s">
        <v>76</v>
      </c>
      <c r="L1730" t="s">
        <v>2125</v>
      </c>
      <c r="M1730" s="5">
        <f t="shared" si="157"/>
        <v>32</v>
      </c>
      <c r="N1730" t="str">
        <f t="shared" si="158"/>
        <v>August</v>
      </c>
      <c r="O1730" t="str">
        <f t="shared" si="159"/>
        <v>Thursday</v>
      </c>
      <c r="P1730">
        <f t="shared" ref="P1730:P1793" si="162">HOUR(TIMEVALUE(C1730))</f>
        <v>16</v>
      </c>
      <c r="Q1730" s="2">
        <f t="shared" si="160"/>
        <v>4</v>
      </c>
      <c r="R1730" s="2">
        <f t="shared" si="161"/>
        <v>8</v>
      </c>
      <c r="S1730">
        <f>SUMIF(Table1[product_category],"Bakery",Table1[Total_bill])</f>
        <v>2951.25</v>
      </c>
    </row>
    <row r="1731" spans="1:19" x14ac:dyDescent="0.3">
      <c r="A1731" s="2">
        <v>11730</v>
      </c>
      <c r="B1731" s="4">
        <v>47361</v>
      </c>
      <c r="C1731" t="s">
        <v>1860</v>
      </c>
      <c r="D1731" t="s">
        <v>25</v>
      </c>
      <c r="E1731" t="s">
        <v>26</v>
      </c>
      <c r="F1731" t="s">
        <v>164</v>
      </c>
      <c r="G1731">
        <v>2</v>
      </c>
      <c r="H1731" s="5">
        <v>5.5</v>
      </c>
      <c r="I1731" t="s">
        <v>72</v>
      </c>
      <c r="J1731" t="s">
        <v>72</v>
      </c>
      <c r="K1731" t="s">
        <v>141</v>
      </c>
      <c r="L1731" t="s">
        <v>2125</v>
      </c>
      <c r="M1731" s="5">
        <f t="shared" ref="M1731:M1794" si="163">G1731*H1731</f>
        <v>11</v>
      </c>
      <c r="N1731" t="str">
        <f t="shared" ref="N1731:N1794" si="164">TEXT(B1731,"mmmm")</f>
        <v>August</v>
      </c>
      <c r="O1731" t="str">
        <f t="shared" ref="O1731:O1794" si="165">TEXT(B1731,"dddd")</f>
        <v>Friday</v>
      </c>
      <c r="P1731">
        <f t="shared" si="162"/>
        <v>13</v>
      </c>
      <c r="Q1731" s="2">
        <f t="shared" ref="Q1731:Q1794" si="166">WEEKDAY(B1731,2)</f>
        <v>5</v>
      </c>
      <c r="R1731" s="2">
        <f t="shared" ref="R1731:R1794" si="167">MONTH(B1731)</f>
        <v>8</v>
      </c>
      <c r="S1731">
        <f>SUMIF(Table1[product_category],"Bakery",Table1[Total_bill])</f>
        <v>2951.25</v>
      </c>
    </row>
    <row r="1732" spans="1:19" x14ac:dyDescent="0.3">
      <c r="A1732" s="2">
        <v>11731</v>
      </c>
      <c r="B1732" s="4">
        <v>47362</v>
      </c>
      <c r="C1732" t="s">
        <v>1861</v>
      </c>
      <c r="D1732" t="s">
        <v>18</v>
      </c>
      <c r="E1732" t="s">
        <v>19</v>
      </c>
      <c r="F1732" t="s">
        <v>166</v>
      </c>
      <c r="G1732">
        <v>4</v>
      </c>
      <c r="H1732" s="5">
        <v>3.5</v>
      </c>
      <c r="I1732" t="s">
        <v>32</v>
      </c>
      <c r="J1732" t="s">
        <v>33</v>
      </c>
      <c r="K1732" t="s">
        <v>33</v>
      </c>
      <c r="L1732" t="s">
        <v>2122</v>
      </c>
      <c r="M1732" s="5">
        <f t="shared" si="163"/>
        <v>14</v>
      </c>
      <c r="N1732" t="str">
        <f t="shared" si="164"/>
        <v>September</v>
      </c>
      <c r="O1732" t="str">
        <f t="shared" si="165"/>
        <v>Saturday</v>
      </c>
      <c r="P1732">
        <f t="shared" si="162"/>
        <v>9</v>
      </c>
      <c r="Q1732" s="2">
        <f t="shared" si="166"/>
        <v>6</v>
      </c>
      <c r="R1732" s="2">
        <f t="shared" si="167"/>
        <v>9</v>
      </c>
      <c r="S1732">
        <f>SUMIF(Table1[product_category],"Bakery",Table1[Total_bill])</f>
        <v>2951.25</v>
      </c>
    </row>
    <row r="1733" spans="1:19" x14ac:dyDescent="0.3">
      <c r="A1733" s="2">
        <v>11732</v>
      </c>
      <c r="B1733" s="4">
        <v>47363</v>
      </c>
      <c r="C1733" t="s">
        <v>1862</v>
      </c>
      <c r="D1733" t="s">
        <v>40</v>
      </c>
      <c r="E1733" t="s">
        <v>41</v>
      </c>
      <c r="F1733" t="s">
        <v>168</v>
      </c>
      <c r="G1733">
        <v>2</v>
      </c>
      <c r="H1733" s="5">
        <v>4</v>
      </c>
      <c r="I1733" t="s">
        <v>89</v>
      </c>
      <c r="J1733" t="s">
        <v>261</v>
      </c>
      <c r="K1733" t="s">
        <v>261</v>
      </c>
      <c r="L1733" t="s">
        <v>2124</v>
      </c>
      <c r="M1733" s="5">
        <f t="shared" si="163"/>
        <v>8</v>
      </c>
      <c r="N1733" t="str">
        <f t="shared" si="164"/>
        <v>September</v>
      </c>
      <c r="O1733" t="str">
        <f t="shared" si="165"/>
        <v>Sunday</v>
      </c>
      <c r="P1733">
        <f t="shared" si="162"/>
        <v>13</v>
      </c>
      <c r="Q1733" s="2">
        <f t="shared" si="166"/>
        <v>7</v>
      </c>
      <c r="R1733" s="2">
        <f t="shared" si="167"/>
        <v>9</v>
      </c>
      <c r="S1733">
        <f>SUMIF(Table1[product_category],"Bakery",Table1[Total_bill])</f>
        <v>2951.25</v>
      </c>
    </row>
    <row r="1734" spans="1:19" x14ac:dyDescent="0.3">
      <c r="A1734" s="2">
        <v>11733</v>
      </c>
      <c r="B1734" s="4">
        <v>47364</v>
      </c>
      <c r="C1734" t="s">
        <v>1863</v>
      </c>
      <c r="D1734" t="s">
        <v>18</v>
      </c>
      <c r="E1734" t="s">
        <v>19</v>
      </c>
      <c r="F1734" t="s">
        <v>170</v>
      </c>
      <c r="G1734">
        <v>2</v>
      </c>
      <c r="H1734" s="5">
        <v>4</v>
      </c>
      <c r="I1734" t="s">
        <v>32</v>
      </c>
      <c r="J1734" t="s">
        <v>55</v>
      </c>
      <c r="K1734" t="s">
        <v>55</v>
      </c>
      <c r="L1734" t="s">
        <v>2123</v>
      </c>
      <c r="M1734" s="5">
        <f t="shared" si="163"/>
        <v>8</v>
      </c>
      <c r="N1734" t="str">
        <f t="shared" si="164"/>
        <v>September</v>
      </c>
      <c r="O1734" t="str">
        <f t="shared" si="165"/>
        <v>Monday</v>
      </c>
      <c r="P1734">
        <f t="shared" si="162"/>
        <v>12</v>
      </c>
      <c r="Q1734" s="2">
        <f t="shared" si="166"/>
        <v>1</v>
      </c>
      <c r="R1734" s="2">
        <f t="shared" si="167"/>
        <v>9</v>
      </c>
      <c r="S1734">
        <f>SUMIF(Table1[product_category],"Bakery",Table1[Total_bill])</f>
        <v>2951.25</v>
      </c>
    </row>
    <row r="1735" spans="1:19" x14ac:dyDescent="0.3">
      <c r="A1735" s="2">
        <v>11734</v>
      </c>
      <c r="B1735" s="4">
        <v>47365</v>
      </c>
      <c r="C1735" t="s">
        <v>1864</v>
      </c>
      <c r="D1735" t="s">
        <v>40</v>
      </c>
      <c r="E1735" t="s">
        <v>41</v>
      </c>
      <c r="F1735" t="s">
        <v>172</v>
      </c>
      <c r="G1735">
        <v>3</v>
      </c>
      <c r="H1735" s="5">
        <v>4.5</v>
      </c>
      <c r="I1735" t="s">
        <v>32</v>
      </c>
      <c r="J1735" t="s">
        <v>33</v>
      </c>
      <c r="K1735" t="s">
        <v>33</v>
      </c>
      <c r="L1735" t="s">
        <v>2123</v>
      </c>
      <c r="M1735" s="5">
        <f t="shared" si="163"/>
        <v>13.5</v>
      </c>
      <c r="N1735" t="str">
        <f t="shared" si="164"/>
        <v>September</v>
      </c>
      <c r="O1735" t="str">
        <f t="shared" si="165"/>
        <v>Tuesday</v>
      </c>
      <c r="P1735">
        <f t="shared" si="162"/>
        <v>10</v>
      </c>
      <c r="Q1735" s="2">
        <f t="shared" si="166"/>
        <v>2</v>
      </c>
      <c r="R1735" s="2">
        <f t="shared" si="167"/>
        <v>9</v>
      </c>
      <c r="S1735">
        <f>SUMIF(Table1[product_category],"Bakery",Table1[Total_bill])</f>
        <v>2951.25</v>
      </c>
    </row>
    <row r="1736" spans="1:19" x14ac:dyDescent="0.3">
      <c r="A1736" s="2">
        <v>11735</v>
      </c>
      <c r="B1736" s="4">
        <v>47366</v>
      </c>
      <c r="C1736" t="s">
        <v>1865</v>
      </c>
      <c r="D1736" t="s">
        <v>18</v>
      </c>
      <c r="E1736" t="s">
        <v>19</v>
      </c>
      <c r="F1736" t="s">
        <v>174</v>
      </c>
      <c r="G1736">
        <v>3</v>
      </c>
      <c r="H1736" s="5">
        <v>4.75</v>
      </c>
      <c r="I1736" t="s">
        <v>32</v>
      </c>
      <c r="J1736" t="s">
        <v>69</v>
      </c>
      <c r="K1736" t="s">
        <v>69</v>
      </c>
      <c r="L1736" t="s">
        <v>2123</v>
      </c>
      <c r="M1736" s="5">
        <f t="shared" si="163"/>
        <v>14.25</v>
      </c>
      <c r="N1736" t="str">
        <f t="shared" si="164"/>
        <v>September</v>
      </c>
      <c r="O1736" t="str">
        <f t="shared" si="165"/>
        <v>Wednesday</v>
      </c>
      <c r="P1736">
        <f t="shared" si="162"/>
        <v>7</v>
      </c>
      <c r="Q1736" s="2">
        <f t="shared" si="166"/>
        <v>3</v>
      </c>
      <c r="R1736" s="2">
        <f t="shared" si="167"/>
        <v>9</v>
      </c>
      <c r="S1736">
        <f>SUMIF(Table1[product_category],"Bakery",Table1[Total_bill])</f>
        <v>2951.25</v>
      </c>
    </row>
    <row r="1737" spans="1:19" x14ac:dyDescent="0.3">
      <c r="A1737" s="2">
        <v>11736</v>
      </c>
      <c r="B1737" s="4">
        <v>47367</v>
      </c>
      <c r="C1737" t="s">
        <v>1866</v>
      </c>
      <c r="D1737" t="s">
        <v>18</v>
      </c>
      <c r="E1737" t="s">
        <v>19</v>
      </c>
      <c r="F1737" t="s">
        <v>176</v>
      </c>
      <c r="G1737">
        <v>4</v>
      </c>
      <c r="H1737" s="5">
        <v>4.5</v>
      </c>
      <c r="I1737" t="s">
        <v>89</v>
      </c>
      <c r="J1737" t="s">
        <v>261</v>
      </c>
      <c r="K1737" t="s">
        <v>261</v>
      </c>
      <c r="L1737" t="s">
        <v>2123</v>
      </c>
      <c r="M1737" s="5">
        <f t="shared" si="163"/>
        <v>18</v>
      </c>
      <c r="N1737" t="str">
        <f t="shared" si="164"/>
        <v>September</v>
      </c>
      <c r="O1737" t="str">
        <f t="shared" si="165"/>
        <v>Thursday</v>
      </c>
      <c r="P1737">
        <f t="shared" si="162"/>
        <v>17</v>
      </c>
      <c r="Q1737" s="2">
        <f t="shared" si="166"/>
        <v>4</v>
      </c>
      <c r="R1737" s="2">
        <f t="shared" si="167"/>
        <v>9</v>
      </c>
      <c r="S1737">
        <f>SUMIF(Table1[product_category],"Bakery",Table1[Total_bill])</f>
        <v>2951.25</v>
      </c>
    </row>
    <row r="1738" spans="1:19" x14ac:dyDescent="0.3">
      <c r="A1738" s="2">
        <v>11737</v>
      </c>
      <c r="B1738" s="4">
        <v>47368</v>
      </c>
      <c r="C1738" t="s">
        <v>1867</v>
      </c>
      <c r="D1738" t="s">
        <v>25</v>
      </c>
      <c r="E1738" t="s">
        <v>26</v>
      </c>
      <c r="F1738" t="s">
        <v>178</v>
      </c>
      <c r="G1738">
        <v>1</v>
      </c>
      <c r="H1738" s="5">
        <v>3</v>
      </c>
      <c r="I1738" t="s">
        <v>21</v>
      </c>
      <c r="J1738" t="s">
        <v>181</v>
      </c>
      <c r="K1738" t="s">
        <v>182</v>
      </c>
      <c r="L1738" t="s">
        <v>2125</v>
      </c>
      <c r="M1738" s="5">
        <f t="shared" si="163"/>
        <v>3</v>
      </c>
      <c r="N1738" t="str">
        <f t="shared" si="164"/>
        <v>September</v>
      </c>
      <c r="O1738" t="str">
        <f t="shared" si="165"/>
        <v>Friday</v>
      </c>
      <c r="P1738">
        <f t="shared" si="162"/>
        <v>11</v>
      </c>
      <c r="Q1738" s="2">
        <f t="shared" si="166"/>
        <v>5</v>
      </c>
      <c r="R1738" s="2">
        <f t="shared" si="167"/>
        <v>9</v>
      </c>
      <c r="S1738">
        <f>SUMIF(Table1[product_category],"Bakery",Table1[Total_bill])</f>
        <v>2951.25</v>
      </c>
    </row>
    <row r="1739" spans="1:19" x14ac:dyDescent="0.3">
      <c r="A1739" s="2">
        <v>11738</v>
      </c>
      <c r="B1739" s="4">
        <v>47369</v>
      </c>
      <c r="C1739" t="s">
        <v>1868</v>
      </c>
      <c r="D1739" t="s">
        <v>18</v>
      </c>
      <c r="E1739" t="s">
        <v>19</v>
      </c>
      <c r="F1739" t="s">
        <v>180</v>
      </c>
      <c r="G1739">
        <v>1</v>
      </c>
      <c r="H1739" s="5">
        <v>3.5</v>
      </c>
      <c r="I1739" t="s">
        <v>36</v>
      </c>
      <c r="J1739" t="s">
        <v>37</v>
      </c>
      <c r="K1739" t="s">
        <v>38</v>
      </c>
      <c r="L1739" t="s">
        <v>2123</v>
      </c>
      <c r="M1739" s="5">
        <f t="shared" si="163"/>
        <v>3.5</v>
      </c>
      <c r="N1739" t="str">
        <f t="shared" si="164"/>
        <v>September</v>
      </c>
      <c r="O1739" t="str">
        <f t="shared" si="165"/>
        <v>Saturday</v>
      </c>
      <c r="P1739">
        <f t="shared" si="162"/>
        <v>8</v>
      </c>
      <c r="Q1739" s="2">
        <f t="shared" si="166"/>
        <v>6</v>
      </c>
      <c r="R1739" s="2">
        <f t="shared" si="167"/>
        <v>9</v>
      </c>
      <c r="S1739">
        <f>SUMIF(Table1[product_category],"Bakery",Table1[Total_bill])</f>
        <v>2951.25</v>
      </c>
    </row>
    <row r="1740" spans="1:19" x14ac:dyDescent="0.3">
      <c r="A1740" s="2">
        <v>11739</v>
      </c>
      <c r="B1740" s="4">
        <v>47370</v>
      </c>
      <c r="C1740" t="s">
        <v>1869</v>
      </c>
      <c r="D1740" t="s">
        <v>40</v>
      </c>
      <c r="E1740" t="s">
        <v>41</v>
      </c>
      <c r="F1740" t="s">
        <v>184</v>
      </c>
      <c r="G1740">
        <v>1</v>
      </c>
      <c r="H1740" s="5">
        <v>4.5</v>
      </c>
      <c r="I1740" t="s">
        <v>89</v>
      </c>
      <c r="J1740" t="s">
        <v>261</v>
      </c>
      <c r="K1740" t="s">
        <v>261</v>
      </c>
      <c r="L1740" t="s">
        <v>2123</v>
      </c>
      <c r="M1740" s="5">
        <f t="shared" si="163"/>
        <v>4.5</v>
      </c>
      <c r="N1740" t="str">
        <f t="shared" si="164"/>
        <v>September</v>
      </c>
      <c r="O1740" t="str">
        <f t="shared" si="165"/>
        <v>Sunday</v>
      </c>
      <c r="P1740">
        <f t="shared" si="162"/>
        <v>10</v>
      </c>
      <c r="Q1740" s="2">
        <f t="shared" si="166"/>
        <v>7</v>
      </c>
      <c r="R1740" s="2">
        <f t="shared" si="167"/>
        <v>9</v>
      </c>
      <c r="S1740">
        <f>SUMIF(Table1[product_category],"Bakery",Table1[Total_bill])</f>
        <v>2951.25</v>
      </c>
    </row>
    <row r="1741" spans="1:19" x14ac:dyDescent="0.3">
      <c r="A1741" s="2">
        <v>11740</v>
      </c>
      <c r="B1741" s="4">
        <v>47371</v>
      </c>
      <c r="C1741" t="s">
        <v>1870</v>
      </c>
      <c r="D1741" t="s">
        <v>18</v>
      </c>
      <c r="E1741" t="s">
        <v>19</v>
      </c>
      <c r="F1741" t="s">
        <v>186</v>
      </c>
      <c r="G1741">
        <v>4</v>
      </c>
      <c r="H1741" s="5">
        <v>3</v>
      </c>
      <c r="I1741" t="s">
        <v>36</v>
      </c>
      <c r="J1741" t="s">
        <v>37</v>
      </c>
      <c r="K1741" t="s">
        <v>38</v>
      </c>
      <c r="L1741" t="s">
        <v>2124</v>
      </c>
      <c r="M1741" s="5">
        <f t="shared" si="163"/>
        <v>12</v>
      </c>
      <c r="N1741" t="str">
        <f t="shared" si="164"/>
        <v>September</v>
      </c>
      <c r="O1741" t="str">
        <f t="shared" si="165"/>
        <v>Monday</v>
      </c>
      <c r="P1741">
        <f t="shared" si="162"/>
        <v>10</v>
      </c>
      <c r="Q1741" s="2">
        <f t="shared" si="166"/>
        <v>1</v>
      </c>
      <c r="R1741" s="2">
        <f t="shared" si="167"/>
        <v>9</v>
      </c>
      <c r="S1741">
        <f>SUMIF(Table1[product_category],"Bakery",Table1[Total_bill])</f>
        <v>2951.25</v>
      </c>
    </row>
    <row r="1742" spans="1:19" x14ac:dyDescent="0.3">
      <c r="A1742" s="2">
        <v>11741</v>
      </c>
      <c r="B1742" s="4">
        <v>47372</v>
      </c>
      <c r="C1742" t="s">
        <v>1871</v>
      </c>
      <c r="D1742" t="s">
        <v>18</v>
      </c>
      <c r="E1742" t="s">
        <v>19</v>
      </c>
      <c r="F1742" t="s">
        <v>188</v>
      </c>
      <c r="G1742">
        <v>1</v>
      </c>
      <c r="H1742" s="5">
        <v>4</v>
      </c>
      <c r="I1742" t="s">
        <v>32</v>
      </c>
      <c r="J1742" t="s">
        <v>122</v>
      </c>
      <c r="K1742" t="s">
        <v>122</v>
      </c>
      <c r="L1742" t="s">
        <v>2124</v>
      </c>
      <c r="M1742" s="5">
        <f t="shared" si="163"/>
        <v>4</v>
      </c>
      <c r="N1742" t="str">
        <f t="shared" si="164"/>
        <v>September</v>
      </c>
      <c r="O1742" t="str">
        <f t="shared" si="165"/>
        <v>Tuesday</v>
      </c>
      <c r="P1742">
        <f t="shared" si="162"/>
        <v>16</v>
      </c>
      <c r="Q1742" s="2">
        <f t="shared" si="166"/>
        <v>2</v>
      </c>
      <c r="R1742" s="2">
        <f t="shared" si="167"/>
        <v>9</v>
      </c>
      <c r="S1742">
        <f>SUMIF(Table1[product_category],"Bakery",Table1[Total_bill])</f>
        <v>2951.25</v>
      </c>
    </row>
    <row r="1743" spans="1:19" x14ac:dyDescent="0.3">
      <c r="A1743" s="2">
        <v>11742</v>
      </c>
      <c r="B1743" s="4">
        <v>47373</v>
      </c>
      <c r="C1743" t="s">
        <v>1872</v>
      </c>
      <c r="D1743" t="s">
        <v>40</v>
      </c>
      <c r="E1743" t="s">
        <v>41</v>
      </c>
      <c r="F1743" t="s">
        <v>190</v>
      </c>
      <c r="G1743">
        <v>2</v>
      </c>
      <c r="H1743" s="5">
        <v>3.25</v>
      </c>
      <c r="I1743" t="s">
        <v>21</v>
      </c>
      <c r="J1743" t="s">
        <v>81</v>
      </c>
      <c r="K1743" t="s">
        <v>82</v>
      </c>
      <c r="L1743" t="s">
        <v>2125</v>
      </c>
      <c r="M1743" s="5">
        <f t="shared" si="163"/>
        <v>6.5</v>
      </c>
      <c r="N1743" t="str">
        <f t="shared" si="164"/>
        <v>September</v>
      </c>
      <c r="O1743" t="str">
        <f t="shared" si="165"/>
        <v>Wednesday</v>
      </c>
      <c r="P1743">
        <f t="shared" si="162"/>
        <v>15</v>
      </c>
      <c r="Q1743" s="2">
        <f t="shared" si="166"/>
        <v>3</v>
      </c>
      <c r="R1743" s="2">
        <f t="shared" si="167"/>
        <v>9</v>
      </c>
      <c r="S1743">
        <f>SUMIF(Table1[product_category],"Bakery",Table1[Total_bill])</f>
        <v>2951.25</v>
      </c>
    </row>
    <row r="1744" spans="1:19" x14ac:dyDescent="0.3">
      <c r="A1744" s="2">
        <v>11743</v>
      </c>
      <c r="B1744" s="4">
        <v>47374</v>
      </c>
      <c r="C1744" t="s">
        <v>1873</v>
      </c>
      <c r="D1744" t="s">
        <v>40</v>
      </c>
      <c r="E1744" t="s">
        <v>41</v>
      </c>
      <c r="F1744" t="s">
        <v>192</v>
      </c>
      <c r="G1744">
        <v>2</v>
      </c>
      <c r="H1744" s="5">
        <v>5.5</v>
      </c>
      <c r="I1744" t="s">
        <v>72</v>
      </c>
      <c r="J1744" t="s">
        <v>72</v>
      </c>
      <c r="K1744" t="s">
        <v>73</v>
      </c>
      <c r="L1744" t="s">
        <v>2125</v>
      </c>
      <c r="M1744" s="5">
        <f t="shared" si="163"/>
        <v>11</v>
      </c>
      <c r="N1744" t="str">
        <f t="shared" si="164"/>
        <v>September</v>
      </c>
      <c r="O1744" t="str">
        <f t="shared" si="165"/>
        <v>Thursday</v>
      </c>
      <c r="P1744">
        <f t="shared" si="162"/>
        <v>15</v>
      </c>
      <c r="Q1744" s="2">
        <f t="shared" si="166"/>
        <v>4</v>
      </c>
      <c r="R1744" s="2">
        <f t="shared" si="167"/>
        <v>9</v>
      </c>
      <c r="S1744">
        <f>SUMIF(Table1[product_category],"Bakery",Table1[Total_bill])</f>
        <v>2951.25</v>
      </c>
    </row>
    <row r="1745" spans="1:19" x14ac:dyDescent="0.3">
      <c r="A1745" s="2">
        <v>11744</v>
      </c>
      <c r="B1745" s="4">
        <v>47375</v>
      </c>
      <c r="C1745" t="s">
        <v>1874</v>
      </c>
      <c r="D1745" t="s">
        <v>18</v>
      </c>
      <c r="E1745" t="s">
        <v>19</v>
      </c>
      <c r="F1745" t="s">
        <v>195</v>
      </c>
      <c r="G1745">
        <v>3</v>
      </c>
      <c r="H1745" s="5">
        <v>3.75</v>
      </c>
      <c r="I1745" t="s">
        <v>32</v>
      </c>
      <c r="J1745" t="s">
        <v>226</v>
      </c>
      <c r="K1745" t="s">
        <v>273</v>
      </c>
      <c r="L1745" t="s">
        <v>2123</v>
      </c>
      <c r="M1745" s="5">
        <f t="shared" si="163"/>
        <v>11.25</v>
      </c>
      <c r="N1745" t="str">
        <f t="shared" si="164"/>
        <v>September</v>
      </c>
      <c r="O1745" t="str">
        <f t="shared" si="165"/>
        <v>Friday</v>
      </c>
      <c r="P1745">
        <f t="shared" si="162"/>
        <v>6</v>
      </c>
      <c r="Q1745" s="2">
        <f t="shared" si="166"/>
        <v>5</v>
      </c>
      <c r="R1745" s="2">
        <f t="shared" si="167"/>
        <v>9</v>
      </c>
      <c r="S1745">
        <f>SUMIF(Table1[product_category],"Bakery",Table1[Total_bill])</f>
        <v>2951.25</v>
      </c>
    </row>
    <row r="1746" spans="1:19" x14ac:dyDescent="0.3">
      <c r="A1746" s="2">
        <v>11745</v>
      </c>
      <c r="B1746" s="4">
        <v>47376</v>
      </c>
      <c r="C1746" t="s">
        <v>1875</v>
      </c>
      <c r="D1746" t="s">
        <v>25</v>
      </c>
      <c r="E1746" t="s">
        <v>26</v>
      </c>
      <c r="F1746" t="s">
        <v>197</v>
      </c>
      <c r="G1746">
        <v>4</v>
      </c>
      <c r="H1746" s="5">
        <v>2.75</v>
      </c>
      <c r="I1746" t="s">
        <v>21</v>
      </c>
      <c r="J1746" t="s">
        <v>22</v>
      </c>
      <c r="K1746" t="s">
        <v>23</v>
      </c>
      <c r="L1746" t="s">
        <v>2125</v>
      </c>
      <c r="M1746" s="5">
        <f t="shared" si="163"/>
        <v>11</v>
      </c>
      <c r="N1746" t="str">
        <f t="shared" si="164"/>
        <v>September</v>
      </c>
      <c r="O1746" t="str">
        <f t="shared" si="165"/>
        <v>Saturday</v>
      </c>
      <c r="P1746">
        <f t="shared" si="162"/>
        <v>10</v>
      </c>
      <c r="Q1746" s="2">
        <f t="shared" si="166"/>
        <v>6</v>
      </c>
      <c r="R1746" s="2">
        <f t="shared" si="167"/>
        <v>9</v>
      </c>
      <c r="S1746">
        <f>SUMIF(Table1[product_category],"Bakery",Table1[Total_bill])</f>
        <v>2951.25</v>
      </c>
    </row>
    <row r="1747" spans="1:19" x14ac:dyDescent="0.3">
      <c r="A1747" s="2">
        <v>11746</v>
      </c>
      <c r="B1747" s="4">
        <v>47377</v>
      </c>
      <c r="C1747" t="s">
        <v>1876</v>
      </c>
      <c r="D1747" t="s">
        <v>40</v>
      </c>
      <c r="E1747" t="s">
        <v>41</v>
      </c>
      <c r="F1747" t="s">
        <v>199</v>
      </c>
      <c r="G1747">
        <v>4</v>
      </c>
      <c r="H1747" s="5">
        <v>3</v>
      </c>
      <c r="I1747" t="s">
        <v>21</v>
      </c>
      <c r="J1747" t="s">
        <v>181</v>
      </c>
      <c r="K1747" t="s">
        <v>182</v>
      </c>
      <c r="L1747" t="s">
        <v>2125</v>
      </c>
      <c r="M1747" s="5">
        <f t="shared" si="163"/>
        <v>12</v>
      </c>
      <c r="N1747" t="str">
        <f t="shared" si="164"/>
        <v>September</v>
      </c>
      <c r="O1747" t="str">
        <f t="shared" si="165"/>
        <v>Sunday</v>
      </c>
      <c r="P1747">
        <f t="shared" si="162"/>
        <v>11</v>
      </c>
      <c r="Q1747" s="2">
        <f t="shared" si="166"/>
        <v>7</v>
      </c>
      <c r="R1747" s="2">
        <f t="shared" si="167"/>
        <v>9</v>
      </c>
      <c r="S1747">
        <f>SUMIF(Table1[product_category],"Bakery",Table1[Total_bill])</f>
        <v>2951.25</v>
      </c>
    </row>
    <row r="1748" spans="1:19" x14ac:dyDescent="0.3">
      <c r="A1748" s="2">
        <v>11747</v>
      </c>
      <c r="B1748" s="4">
        <v>47378</v>
      </c>
      <c r="C1748" t="s">
        <v>1877</v>
      </c>
      <c r="D1748" t="s">
        <v>25</v>
      </c>
      <c r="E1748" t="s">
        <v>26</v>
      </c>
      <c r="F1748" t="s">
        <v>201</v>
      </c>
      <c r="G1748">
        <v>2</v>
      </c>
      <c r="H1748" s="5">
        <v>3.5</v>
      </c>
      <c r="I1748" t="s">
        <v>36</v>
      </c>
      <c r="J1748" t="s">
        <v>37</v>
      </c>
      <c r="K1748" t="s">
        <v>276</v>
      </c>
      <c r="L1748" t="s">
        <v>2123</v>
      </c>
      <c r="M1748" s="5">
        <f t="shared" si="163"/>
        <v>7</v>
      </c>
      <c r="N1748" t="str">
        <f t="shared" si="164"/>
        <v>September</v>
      </c>
      <c r="O1748" t="str">
        <f t="shared" si="165"/>
        <v>Monday</v>
      </c>
      <c r="P1748">
        <f t="shared" si="162"/>
        <v>6</v>
      </c>
      <c r="Q1748" s="2">
        <f t="shared" si="166"/>
        <v>1</v>
      </c>
      <c r="R1748" s="2">
        <f t="shared" si="167"/>
        <v>9</v>
      </c>
      <c r="S1748">
        <f>SUMIF(Table1[product_category],"Bakery",Table1[Total_bill])</f>
        <v>2951.25</v>
      </c>
    </row>
    <row r="1749" spans="1:19" x14ac:dyDescent="0.3">
      <c r="A1749" s="2">
        <v>11748</v>
      </c>
      <c r="B1749" s="4">
        <v>47379</v>
      </c>
      <c r="C1749" t="s">
        <v>915</v>
      </c>
      <c r="D1749" t="s">
        <v>25</v>
      </c>
      <c r="E1749" t="s">
        <v>26</v>
      </c>
      <c r="F1749" t="s">
        <v>204</v>
      </c>
      <c r="G1749">
        <v>4</v>
      </c>
      <c r="H1749" s="5">
        <v>6</v>
      </c>
      <c r="I1749" t="s">
        <v>72</v>
      </c>
      <c r="J1749" t="s">
        <v>72</v>
      </c>
      <c r="K1749" t="s">
        <v>138</v>
      </c>
      <c r="L1749" t="s">
        <v>2125</v>
      </c>
      <c r="M1749" s="5">
        <f t="shared" si="163"/>
        <v>24</v>
      </c>
      <c r="N1749" t="str">
        <f t="shared" si="164"/>
        <v>September</v>
      </c>
      <c r="O1749" t="str">
        <f t="shared" si="165"/>
        <v>Tuesday</v>
      </c>
      <c r="P1749">
        <f t="shared" si="162"/>
        <v>8</v>
      </c>
      <c r="Q1749" s="2">
        <f t="shared" si="166"/>
        <v>2</v>
      </c>
      <c r="R1749" s="2">
        <f t="shared" si="167"/>
        <v>9</v>
      </c>
      <c r="S1749">
        <f>SUMIF(Table1[product_category],"Bakery",Table1[Total_bill])</f>
        <v>2951.25</v>
      </c>
    </row>
    <row r="1750" spans="1:19" x14ac:dyDescent="0.3">
      <c r="A1750" s="2">
        <v>11749</v>
      </c>
      <c r="B1750" s="4">
        <v>47380</v>
      </c>
      <c r="C1750" t="s">
        <v>1878</v>
      </c>
      <c r="D1750" t="s">
        <v>25</v>
      </c>
      <c r="E1750" t="s">
        <v>26</v>
      </c>
      <c r="F1750" t="s">
        <v>206</v>
      </c>
      <c r="G1750">
        <v>4</v>
      </c>
      <c r="H1750" s="5">
        <v>3.5</v>
      </c>
      <c r="I1750" t="s">
        <v>32</v>
      </c>
      <c r="J1750" t="s">
        <v>226</v>
      </c>
      <c r="K1750" t="s">
        <v>227</v>
      </c>
      <c r="L1750" t="s">
        <v>2123</v>
      </c>
      <c r="M1750" s="5">
        <f t="shared" si="163"/>
        <v>14</v>
      </c>
      <c r="N1750" t="str">
        <f t="shared" si="164"/>
        <v>September</v>
      </c>
      <c r="O1750" t="str">
        <f t="shared" si="165"/>
        <v>Wednesday</v>
      </c>
      <c r="P1750">
        <f t="shared" si="162"/>
        <v>15</v>
      </c>
      <c r="Q1750" s="2">
        <f t="shared" si="166"/>
        <v>3</v>
      </c>
      <c r="R1750" s="2">
        <f t="shared" si="167"/>
        <v>9</v>
      </c>
      <c r="S1750">
        <f>SUMIF(Table1[product_category],"Bakery",Table1[Total_bill])</f>
        <v>2951.25</v>
      </c>
    </row>
    <row r="1751" spans="1:19" x14ac:dyDescent="0.3">
      <c r="A1751" s="2">
        <v>11750</v>
      </c>
      <c r="B1751" s="4">
        <v>47381</v>
      </c>
      <c r="C1751" t="s">
        <v>1879</v>
      </c>
      <c r="D1751" t="s">
        <v>40</v>
      </c>
      <c r="E1751" t="s">
        <v>41</v>
      </c>
      <c r="F1751" t="s">
        <v>208</v>
      </c>
      <c r="G1751">
        <v>4</v>
      </c>
      <c r="H1751" s="5">
        <v>3.5</v>
      </c>
      <c r="I1751" t="s">
        <v>21</v>
      </c>
      <c r="J1751" t="s">
        <v>51</v>
      </c>
      <c r="K1751" t="s">
        <v>52</v>
      </c>
      <c r="L1751" t="s">
        <v>2125</v>
      </c>
      <c r="M1751" s="5">
        <f t="shared" si="163"/>
        <v>14</v>
      </c>
      <c r="N1751" t="str">
        <f t="shared" si="164"/>
        <v>September</v>
      </c>
      <c r="O1751" t="str">
        <f t="shared" si="165"/>
        <v>Thursday</v>
      </c>
      <c r="P1751">
        <f t="shared" si="162"/>
        <v>7</v>
      </c>
      <c r="Q1751" s="2">
        <f t="shared" si="166"/>
        <v>4</v>
      </c>
      <c r="R1751" s="2">
        <f t="shared" si="167"/>
        <v>9</v>
      </c>
      <c r="S1751">
        <f>SUMIF(Table1[product_category],"Bakery",Table1[Total_bill])</f>
        <v>2951.25</v>
      </c>
    </row>
    <row r="1752" spans="1:19" x14ac:dyDescent="0.3">
      <c r="A1752" s="2">
        <v>11751</v>
      </c>
      <c r="B1752" s="4">
        <v>47382</v>
      </c>
      <c r="C1752" t="s">
        <v>1880</v>
      </c>
      <c r="D1752" t="s">
        <v>18</v>
      </c>
      <c r="E1752" t="s">
        <v>19</v>
      </c>
      <c r="F1752" t="s">
        <v>210</v>
      </c>
      <c r="G1752">
        <v>3</v>
      </c>
      <c r="H1752" s="5">
        <v>3</v>
      </c>
      <c r="I1752" t="s">
        <v>21</v>
      </c>
      <c r="J1752" t="s">
        <v>181</v>
      </c>
      <c r="K1752" t="s">
        <v>182</v>
      </c>
      <c r="L1752" t="s">
        <v>2125</v>
      </c>
      <c r="M1752" s="5">
        <f t="shared" si="163"/>
        <v>9</v>
      </c>
      <c r="N1752" t="str">
        <f t="shared" si="164"/>
        <v>September</v>
      </c>
      <c r="O1752" t="str">
        <f t="shared" si="165"/>
        <v>Friday</v>
      </c>
      <c r="P1752">
        <f t="shared" si="162"/>
        <v>12</v>
      </c>
      <c r="Q1752" s="2">
        <f t="shared" si="166"/>
        <v>5</v>
      </c>
      <c r="R1752" s="2">
        <f t="shared" si="167"/>
        <v>9</v>
      </c>
      <c r="S1752">
        <f>SUMIF(Table1[product_category],"Bakery",Table1[Total_bill])</f>
        <v>2951.25</v>
      </c>
    </row>
    <row r="1753" spans="1:19" x14ac:dyDescent="0.3">
      <c r="A1753" s="2">
        <v>11752</v>
      </c>
      <c r="B1753" s="4">
        <v>47383</v>
      </c>
      <c r="C1753" t="s">
        <v>1881</v>
      </c>
      <c r="D1753" t="s">
        <v>18</v>
      </c>
      <c r="E1753" t="s">
        <v>19</v>
      </c>
      <c r="F1753" t="s">
        <v>214</v>
      </c>
      <c r="G1753">
        <v>4</v>
      </c>
      <c r="H1753" s="5">
        <v>8</v>
      </c>
      <c r="I1753" t="s">
        <v>28</v>
      </c>
      <c r="J1753" t="s">
        <v>28</v>
      </c>
      <c r="K1753" t="s">
        <v>76</v>
      </c>
      <c r="L1753" t="s">
        <v>2125</v>
      </c>
      <c r="M1753" s="5">
        <f t="shared" si="163"/>
        <v>32</v>
      </c>
      <c r="N1753" t="str">
        <f t="shared" si="164"/>
        <v>September</v>
      </c>
      <c r="O1753" t="str">
        <f t="shared" si="165"/>
        <v>Saturday</v>
      </c>
      <c r="P1753">
        <f t="shared" si="162"/>
        <v>8</v>
      </c>
      <c r="Q1753" s="2">
        <f t="shared" si="166"/>
        <v>6</v>
      </c>
      <c r="R1753" s="2">
        <f t="shared" si="167"/>
        <v>9</v>
      </c>
      <c r="S1753">
        <f>SUMIF(Table1[product_category],"Bakery",Table1[Total_bill])</f>
        <v>2951.25</v>
      </c>
    </row>
    <row r="1754" spans="1:19" x14ac:dyDescent="0.3">
      <c r="A1754" s="2">
        <v>11753</v>
      </c>
      <c r="B1754" s="4">
        <v>47384</v>
      </c>
      <c r="C1754" t="s">
        <v>1882</v>
      </c>
      <c r="D1754" t="s">
        <v>18</v>
      </c>
      <c r="E1754" t="s">
        <v>19</v>
      </c>
      <c r="F1754" t="s">
        <v>217</v>
      </c>
      <c r="G1754">
        <v>3</v>
      </c>
      <c r="H1754" s="5">
        <v>4.5</v>
      </c>
      <c r="I1754" t="s">
        <v>32</v>
      </c>
      <c r="J1754" t="s">
        <v>94</v>
      </c>
      <c r="K1754" t="s">
        <v>95</v>
      </c>
      <c r="L1754" t="s">
        <v>2123</v>
      </c>
      <c r="M1754" s="5">
        <f t="shared" si="163"/>
        <v>13.5</v>
      </c>
      <c r="N1754" t="str">
        <f t="shared" si="164"/>
        <v>September</v>
      </c>
      <c r="O1754" t="str">
        <f t="shared" si="165"/>
        <v>Sunday</v>
      </c>
      <c r="P1754">
        <f t="shared" si="162"/>
        <v>6</v>
      </c>
      <c r="Q1754" s="2">
        <f t="shared" si="166"/>
        <v>7</v>
      </c>
      <c r="R1754" s="2">
        <f t="shared" si="167"/>
        <v>9</v>
      </c>
      <c r="S1754">
        <f>SUMIF(Table1[product_category],"Bakery",Table1[Total_bill])</f>
        <v>2951.25</v>
      </c>
    </row>
    <row r="1755" spans="1:19" x14ac:dyDescent="0.3">
      <c r="A1755" s="2">
        <v>11754</v>
      </c>
      <c r="B1755" s="4">
        <v>47385</v>
      </c>
      <c r="C1755" t="s">
        <v>1883</v>
      </c>
      <c r="D1755" t="s">
        <v>18</v>
      </c>
      <c r="E1755" t="s">
        <v>19</v>
      </c>
      <c r="F1755" t="s">
        <v>219</v>
      </c>
      <c r="G1755">
        <v>4</v>
      </c>
      <c r="H1755" s="5">
        <v>4.75</v>
      </c>
      <c r="I1755" t="s">
        <v>32</v>
      </c>
      <c r="J1755" t="s">
        <v>122</v>
      </c>
      <c r="K1755" t="s">
        <v>122</v>
      </c>
      <c r="L1755" t="s">
        <v>2123</v>
      </c>
      <c r="M1755" s="5">
        <f t="shared" si="163"/>
        <v>19</v>
      </c>
      <c r="N1755" t="str">
        <f t="shared" si="164"/>
        <v>September</v>
      </c>
      <c r="O1755" t="str">
        <f t="shared" si="165"/>
        <v>Monday</v>
      </c>
      <c r="P1755">
        <f t="shared" si="162"/>
        <v>8</v>
      </c>
      <c r="Q1755" s="2">
        <f t="shared" si="166"/>
        <v>1</v>
      </c>
      <c r="R1755" s="2">
        <f t="shared" si="167"/>
        <v>9</v>
      </c>
      <c r="S1755">
        <f>SUMIF(Table1[product_category],"Bakery",Table1[Total_bill])</f>
        <v>2951.25</v>
      </c>
    </row>
    <row r="1756" spans="1:19" x14ac:dyDescent="0.3">
      <c r="A1756" s="2">
        <v>11755</v>
      </c>
      <c r="B1756" s="4">
        <v>47386</v>
      </c>
      <c r="C1756" t="s">
        <v>1884</v>
      </c>
      <c r="D1756" t="s">
        <v>25</v>
      </c>
      <c r="E1756" t="s">
        <v>26</v>
      </c>
      <c r="F1756" t="s">
        <v>221</v>
      </c>
      <c r="G1756">
        <v>2</v>
      </c>
      <c r="H1756" s="5">
        <v>3.5</v>
      </c>
      <c r="I1756" t="s">
        <v>36</v>
      </c>
      <c r="J1756" t="s">
        <v>37</v>
      </c>
      <c r="K1756" t="s">
        <v>276</v>
      </c>
      <c r="L1756" t="s">
        <v>2123</v>
      </c>
      <c r="M1756" s="5">
        <f t="shared" si="163"/>
        <v>7</v>
      </c>
      <c r="N1756" t="str">
        <f t="shared" si="164"/>
        <v>September</v>
      </c>
      <c r="O1756" t="str">
        <f t="shared" si="165"/>
        <v>Tuesday</v>
      </c>
      <c r="P1756">
        <f t="shared" si="162"/>
        <v>20</v>
      </c>
      <c r="Q1756" s="2">
        <f t="shared" si="166"/>
        <v>2</v>
      </c>
      <c r="R1756" s="2">
        <f t="shared" si="167"/>
        <v>9</v>
      </c>
      <c r="S1756">
        <f>SUMIF(Table1[product_category],"Bakery",Table1[Total_bill])</f>
        <v>2951.25</v>
      </c>
    </row>
    <row r="1757" spans="1:19" x14ac:dyDescent="0.3">
      <c r="A1757" s="2">
        <v>11756</v>
      </c>
      <c r="B1757" s="4">
        <v>47387</v>
      </c>
      <c r="C1757" t="s">
        <v>1885</v>
      </c>
      <c r="D1757" t="s">
        <v>18</v>
      </c>
      <c r="E1757" t="s">
        <v>19</v>
      </c>
      <c r="F1757" t="s">
        <v>223</v>
      </c>
      <c r="G1757">
        <v>2</v>
      </c>
      <c r="H1757" s="5">
        <v>3.75</v>
      </c>
      <c r="I1757" t="s">
        <v>32</v>
      </c>
      <c r="J1757" t="s">
        <v>144</v>
      </c>
      <c r="K1757" t="s">
        <v>144</v>
      </c>
      <c r="L1757" t="s">
        <v>2123</v>
      </c>
      <c r="M1757" s="5">
        <f t="shared" si="163"/>
        <v>7.5</v>
      </c>
      <c r="N1757" t="str">
        <f t="shared" si="164"/>
        <v>September</v>
      </c>
      <c r="O1757" t="str">
        <f t="shared" si="165"/>
        <v>Wednesday</v>
      </c>
      <c r="P1757">
        <f t="shared" si="162"/>
        <v>16</v>
      </c>
      <c r="Q1757" s="2">
        <f t="shared" si="166"/>
        <v>3</v>
      </c>
      <c r="R1757" s="2">
        <f t="shared" si="167"/>
        <v>9</v>
      </c>
      <c r="S1757">
        <f>SUMIF(Table1[product_category],"Bakery",Table1[Total_bill])</f>
        <v>2951.25</v>
      </c>
    </row>
    <row r="1758" spans="1:19" x14ac:dyDescent="0.3">
      <c r="A1758" s="2">
        <v>11757</v>
      </c>
      <c r="B1758" s="4">
        <v>47388</v>
      </c>
      <c r="C1758" t="s">
        <v>1886</v>
      </c>
      <c r="D1758" t="s">
        <v>25</v>
      </c>
      <c r="E1758" t="s">
        <v>26</v>
      </c>
      <c r="F1758" t="s">
        <v>225</v>
      </c>
      <c r="G1758">
        <v>3</v>
      </c>
      <c r="H1758" s="5">
        <v>3.5</v>
      </c>
      <c r="I1758" t="s">
        <v>32</v>
      </c>
      <c r="J1758" t="s">
        <v>94</v>
      </c>
      <c r="K1758" t="s">
        <v>95</v>
      </c>
      <c r="L1758" t="s">
        <v>2122</v>
      </c>
      <c r="M1758" s="5">
        <f t="shared" si="163"/>
        <v>10.5</v>
      </c>
      <c r="N1758" t="str">
        <f t="shared" si="164"/>
        <v>September</v>
      </c>
      <c r="O1758" t="str">
        <f t="shared" si="165"/>
        <v>Thursday</v>
      </c>
      <c r="P1758">
        <f t="shared" si="162"/>
        <v>20</v>
      </c>
      <c r="Q1758" s="2">
        <f t="shared" si="166"/>
        <v>4</v>
      </c>
      <c r="R1758" s="2">
        <f t="shared" si="167"/>
        <v>9</v>
      </c>
      <c r="S1758">
        <f>SUMIF(Table1[product_category],"Bakery",Table1[Total_bill])</f>
        <v>2951.25</v>
      </c>
    </row>
    <row r="1759" spans="1:19" x14ac:dyDescent="0.3">
      <c r="A1759" s="2">
        <v>11758</v>
      </c>
      <c r="B1759" s="4">
        <v>47389</v>
      </c>
      <c r="C1759" t="s">
        <v>1887</v>
      </c>
      <c r="D1759" t="s">
        <v>25</v>
      </c>
      <c r="E1759" t="s">
        <v>26</v>
      </c>
      <c r="F1759" t="s">
        <v>229</v>
      </c>
      <c r="G1759">
        <v>3</v>
      </c>
      <c r="H1759" s="5">
        <v>14</v>
      </c>
      <c r="I1759" t="s">
        <v>101</v>
      </c>
      <c r="J1759" t="s">
        <v>102</v>
      </c>
      <c r="K1759" t="s">
        <v>193</v>
      </c>
      <c r="L1759" t="s">
        <v>2125</v>
      </c>
      <c r="M1759" s="5">
        <f t="shared" si="163"/>
        <v>42</v>
      </c>
      <c r="N1759" t="str">
        <f t="shared" si="164"/>
        <v>September</v>
      </c>
      <c r="O1759" t="str">
        <f t="shared" si="165"/>
        <v>Friday</v>
      </c>
      <c r="P1759">
        <f t="shared" si="162"/>
        <v>11</v>
      </c>
      <c r="Q1759" s="2">
        <f t="shared" si="166"/>
        <v>5</v>
      </c>
      <c r="R1759" s="2">
        <f t="shared" si="167"/>
        <v>9</v>
      </c>
      <c r="S1759">
        <f>SUMIF(Table1[product_category],"Bakery",Table1[Total_bill])</f>
        <v>2951.25</v>
      </c>
    </row>
    <row r="1760" spans="1:19" x14ac:dyDescent="0.3">
      <c r="A1760" s="2">
        <v>11759</v>
      </c>
      <c r="B1760" s="4">
        <v>47390</v>
      </c>
      <c r="C1760" t="s">
        <v>1888</v>
      </c>
      <c r="D1760" t="s">
        <v>18</v>
      </c>
      <c r="E1760" t="s">
        <v>19</v>
      </c>
      <c r="F1760" t="s">
        <v>231</v>
      </c>
      <c r="G1760">
        <v>1</v>
      </c>
      <c r="H1760" s="5">
        <v>4</v>
      </c>
      <c r="I1760" t="s">
        <v>89</v>
      </c>
      <c r="J1760" t="s">
        <v>90</v>
      </c>
      <c r="K1760" t="s">
        <v>91</v>
      </c>
      <c r="L1760" t="s">
        <v>2122</v>
      </c>
      <c r="M1760" s="5">
        <f t="shared" si="163"/>
        <v>4</v>
      </c>
      <c r="N1760" t="str">
        <f t="shared" si="164"/>
        <v>September</v>
      </c>
      <c r="O1760" t="str">
        <f t="shared" si="165"/>
        <v>Saturday</v>
      </c>
      <c r="P1760">
        <f t="shared" si="162"/>
        <v>7</v>
      </c>
      <c r="Q1760" s="2">
        <f t="shared" si="166"/>
        <v>6</v>
      </c>
      <c r="R1760" s="2">
        <f t="shared" si="167"/>
        <v>9</v>
      </c>
      <c r="S1760">
        <f>SUMIF(Table1[product_category],"Bakery",Table1[Total_bill])</f>
        <v>2951.25</v>
      </c>
    </row>
    <row r="1761" spans="1:19" x14ac:dyDescent="0.3">
      <c r="A1761" s="2">
        <v>11760</v>
      </c>
      <c r="B1761" s="4">
        <v>47391</v>
      </c>
      <c r="C1761" t="s">
        <v>1889</v>
      </c>
      <c r="D1761" t="s">
        <v>40</v>
      </c>
      <c r="E1761" t="s">
        <v>41</v>
      </c>
      <c r="F1761" t="s">
        <v>233</v>
      </c>
      <c r="G1761">
        <v>2</v>
      </c>
      <c r="H1761" s="5">
        <v>3.25</v>
      </c>
      <c r="I1761" t="s">
        <v>21</v>
      </c>
      <c r="J1761" t="s">
        <v>81</v>
      </c>
      <c r="K1761" t="s">
        <v>113</v>
      </c>
      <c r="L1761" t="s">
        <v>2125</v>
      </c>
      <c r="M1761" s="5">
        <f t="shared" si="163"/>
        <v>6.5</v>
      </c>
      <c r="N1761" t="str">
        <f t="shared" si="164"/>
        <v>September</v>
      </c>
      <c r="O1761" t="str">
        <f t="shared" si="165"/>
        <v>Sunday</v>
      </c>
      <c r="P1761">
        <f t="shared" si="162"/>
        <v>12</v>
      </c>
      <c r="Q1761" s="2">
        <f t="shared" si="166"/>
        <v>7</v>
      </c>
      <c r="R1761" s="2">
        <f t="shared" si="167"/>
        <v>9</v>
      </c>
      <c r="S1761">
        <f>SUMIF(Table1[product_category],"Bakery",Table1[Total_bill])</f>
        <v>2951.25</v>
      </c>
    </row>
    <row r="1762" spans="1:19" x14ac:dyDescent="0.3">
      <c r="A1762" s="2">
        <v>11761</v>
      </c>
      <c r="B1762" s="4">
        <v>47392</v>
      </c>
      <c r="C1762" t="s">
        <v>1890</v>
      </c>
      <c r="D1762" t="s">
        <v>18</v>
      </c>
      <c r="E1762" t="s">
        <v>19</v>
      </c>
      <c r="F1762" t="s">
        <v>20</v>
      </c>
      <c r="G1762">
        <v>4</v>
      </c>
      <c r="H1762" s="5">
        <v>4</v>
      </c>
      <c r="I1762" t="s">
        <v>32</v>
      </c>
      <c r="J1762" t="s">
        <v>33</v>
      </c>
      <c r="K1762" t="s">
        <v>33</v>
      </c>
      <c r="L1762" t="s">
        <v>2124</v>
      </c>
      <c r="M1762" s="5">
        <f t="shared" si="163"/>
        <v>16</v>
      </c>
      <c r="N1762" t="str">
        <f t="shared" si="164"/>
        <v>October</v>
      </c>
      <c r="O1762" t="str">
        <f t="shared" si="165"/>
        <v>Monday</v>
      </c>
      <c r="P1762">
        <f t="shared" si="162"/>
        <v>11</v>
      </c>
      <c r="Q1762" s="2">
        <f t="shared" si="166"/>
        <v>1</v>
      </c>
      <c r="R1762" s="2">
        <f t="shared" si="167"/>
        <v>10</v>
      </c>
      <c r="S1762">
        <f>SUMIF(Table1[product_category],"Bakery",Table1[Total_bill])</f>
        <v>2951.25</v>
      </c>
    </row>
    <row r="1763" spans="1:19" x14ac:dyDescent="0.3">
      <c r="A1763" s="2">
        <v>11762</v>
      </c>
      <c r="B1763" s="4">
        <v>47393</v>
      </c>
      <c r="C1763" t="s">
        <v>1891</v>
      </c>
      <c r="D1763" t="s">
        <v>40</v>
      </c>
      <c r="E1763" t="s">
        <v>41</v>
      </c>
      <c r="F1763" t="s">
        <v>27</v>
      </c>
      <c r="G1763">
        <v>1</v>
      </c>
      <c r="H1763" s="5">
        <v>2.25</v>
      </c>
      <c r="I1763" t="s">
        <v>21</v>
      </c>
      <c r="J1763" t="s">
        <v>58</v>
      </c>
      <c r="K1763" t="s">
        <v>59</v>
      </c>
      <c r="L1763" t="s">
        <v>2125</v>
      </c>
      <c r="M1763" s="5">
        <f t="shared" si="163"/>
        <v>2.25</v>
      </c>
      <c r="N1763" t="str">
        <f t="shared" si="164"/>
        <v>October</v>
      </c>
      <c r="O1763" t="str">
        <f t="shared" si="165"/>
        <v>Tuesday</v>
      </c>
      <c r="P1763">
        <f t="shared" si="162"/>
        <v>17</v>
      </c>
      <c r="Q1763" s="2">
        <f t="shared" si="166"/>
        <v>2</v>
      </c>
      <c r="R1763" s="2">
        <f t="shared" si="167"/>
        <v>10</v>
      </c>
      <c r="S1763">
        <f>SUMIF(Table1[product_category],"Bakery",Table1[Total_bill])</f>
        <v>2951.25</v>
      </c>
    </row>
    <row r="1764" spans="1:19" x14ac:dyDescent="0.3">
      <c r="A1764" s="2">
        <v>11763</v>
      </c>
      <c r="B1764" s="4">
        <v>47394</v>
      </c>
      <c r="C1764" t="s">
        <v>1892</v>
      </c>
      <c r="D1764" t="s">
        <v>25</v>
      </c>
      <c r="E1764" t="s">
        <v>26</v>
      </c>
      <c r="F1764" t="s">
        <v>31</v>
      </c>
      <c r="G1764">
        <v>2</v>
      </c>
      <c r="H1764" s="5">
        <v>6</v>
      </c>
      <c r="I1764" t="s">
        <v>72</v>
      </c>
      <c r="J1764" t="s">
        <v>72</v>
      </c>
      <c r="K1764" t="s">
        <v>138</v>
      </c>
      <c r="L1764" t="s">
        <v>2125</v>
      </c>
      <c r="M1764" s="5">
        <f t="shared" si="163"/>
        <v>12</v>
      </c>
      <c r="N1764" t="str">
        <f t="shared" si="164"/>
        <v>October</v>
      </c>
      <c r="O1764" t="str">
        <f t="shared" si="165"/>
        <v>Wednesday</v>
      </c>
      <c r="P1764">
        <f t="shared" si="162"/>
        <v>7</v>
      </c>
      <c r="Q1764" s="2">
        <f t="shared" si="166"/>
        <v>3</v>
      </c>
      <c r="R1764" s="2">
        <f t="shared" si="167"/>
        <v>10</v>
      </c>
      <c r="S1764">
        <f>SUMIF(Table1[product_category],"Bakery",Table1[Total_bill])</f>
        <v>2951.25</v>
      </c>
    </row>
    <row r="1765" spans="1:19" x14ac:dyDescent="0.3">
      <c r="A1765" s="2">
        <v>11764</v>
      </c>
      <c r="B1765" s="4">
        <v>47395</v>
      </c>
      <c r="C1765" t="s">
        <v>1893</v>
      </c>
      <c r="D1765" t="s">
        <v>18</v>
      </c>
      <c r="E1765" t="s">
        <v>19</v>
      </c>
      <c r="F1765" t="s">
        <v>35</v>
      </c>
      <c r="G1765">
        <v>3</v>
      </c>
      <c r="H1765" s="5">
        <v>5.5</v>
      </c>
      <c r="I1765" t="s">
        <v>72</v>
      </c>
      <c r="J1765" t="s">
        <v>72</v>
      </c>
      <c r="K1765" t="s">
        <v>141</v>
      </c>
      <c r="L1765" t="s">
        <v>2125</v>
      </c>
      <c r="M1765" s="5">
        <f t="shared" si="163"/>
        <v>16.5</v>
      </c>
      <c r="N1765" t="str">
        <f t="shared" si="164"/>
        <v>October</v>
      </c>
      <c r="O1765" t="str">
        <f t="shared" si="165"/>
        <v>Thursday</v>
      </c>
      <c r="P1765">
        <f t="shared" si="162"/>
        <v>11</v>
      </c>
      <c r="Q1765" s="2">
        <f t="shared" si="166"/>
        <v>4</v>
      </c>
      <c r="R1765" s="2">
        <f t="shared" si="167"/>
        <v>10</v>
      </c>
      <c r="S1765">
        <f>SUMIF(Table1[product_category],"Bakery",Table1[Total_bill])</f>
        <v>2951.25</v>
      </c>
    </row>
    <row r="1766" spans="1:19" x14ac:dyDescent="0.3">
      <c r="A1766" s="2">
        <v>11765</v>
      </c>
      <c r="B1766" s="4">
        <v>47396</v>
      </c>
      <c r="C1766" t="s">
        <v>1894</v>
      </c>
      <c r="D1766" t="s">
        <v>18</v>
      </c>
      <c r="E1766" t="s">
        <v>19</v>
      </c>
      <c r="F1766" t="s">
        <v>42</v>
      </c>
      <c r="G1766">
        <v>4</v>
      </c>
      <c r="H1766" s="5">
        <v>3.75</v>
      </c>
      <c r="I1766" t="s">
        <v>36</v>
      </c>
      <c r="J1766" t="s">
        <v>211</v>
      </c>
      <c r="K1766" t="s">
        <v>239</v>
      </c>
      <c r="L1766" t="s">
        <v>2124</v>
      </c>
      <c r="M1766" s="5">
        <f t="shared" si="163"/>
        <v>15</v>
      </c>
      <c r="N1766" t="str">
        <f t="shared" si="164"/>
        <v>October</v>
      </c>
      <c r="O1766" t="str">
        <f t="shared" si="165"/>
        <v>Friday</v>
      </c>
      <c r="P1766">
        <f t="shared" si="162"/>
        <v>7</v>
      </c>
      <c r="Q1766" s="2">
        <f t="shared" si="166"/>
        <v>5</v>
      </c>
      <c r="R1766" s="2">
        <f t="shared" si="167"/>
        <v>10</v>
      </c>
      <c r="S1766">
        <f>SUMIF(Table1[product_category],"Bakery",Table1[Total_bill])</f>
        <v>2951.25</v>
      </c>
    </row>
    <row r="1767" spans="1:19" x14ac:dyDescent="0.3">
      <c r="A1767" s="2">
        <v>11766</v>
      </c>
      <c r="B1767" s="4">
        <v>47397</v>
      </c>
      <c r="C1767" t="s">
        <v>1895</v>
      </c>
      <c r="D1767" t="s">
        <v>40</v>
      </c>
      <c r="E1767" t="s">
        <v>41</v>
      </c>
      <c r="F1767" t="s">
        <v>46</v>
      </c>
      <c r="G1767">
        <v>3</v>
      </c>
      <c r="H1767" s="5">
        <v>4</v>
      </c>
      <c r="I1767" t="s">
        <v>32</v>
      </c>
      <c r="J1767" t="s">
        <v>122</v>
      </c>
      <c r="K1767" t="s">
        <v>122</v>
      </c>
      <c r="L1767" t="s">
        <v>2124</v>
      </c>
      <c r="M1767" s="5">
        <f t="shared" si="163"/>
        <v>12</v>
      </c>
      <c r="N1767" t="str">
        <f t="shared" si="164"/>
        <v>October</v>
      </c>
      <c r="O1767" t="str">
        <f t="shared" si="165"/>
        <v>Saturday</v>
      </c>
      <c r="P1767">
        <f t="shared" si="162"/>
        <v>9</v>
      </c>
      <c r="Q1767" s="2">
        <f t="shared" si="166"/>
        <v>6</v>
      </c>
      <c r="R1767" s="2">
        <f t="shared" si="167"/>
        <v>10</v>
      </c>
      <c r="S1767">
        <f>SUMIF(Table1[product_category],"Bakery",Table1[Total_bill])</f>
        <v>2951.25</v>
      </c>
    </row>
    <row r="1768" spans="1:19" x14ac:dyDescent="0.3">
      <c r="A1768" s="2">
        <v>11767</v>
      </c>
      <c r="B1768" s="4">
        <v>47398</v>
      </c>
      <c r="C1768" t="s">
        <v>1896</v>
      </c>
      <c r="D1768" t="s">
        <v>18</v>
      </c>
      <c r="E1768" t="s">
        <v>19</v>
      </c>
      <c r="F1768" t="s">
        <v>50</v>
      </c>
      <c r="G1768">
        <v>1</v>
      </c>
      <c r="H1768" s="5">
        <v>3.75</v>
      </c>
      <c r="I1768" t="s">
        <v>36</v>
      </c>
      <c r="J1768" t="s">
        <v>211</v>
      </c>
      <c r="K1768" t="s">
        <v>239</v>
      </c>
      <c r="L1768" t="s">
        <v>2124</v>
      </c>
      <c r="M1768" s="5">
        <f t="shared" si="163"/>
        <v>3.75</v>
      </c>
      <c r="N1768" t="str">
        <f t="shared" si="164"/>
        <v>October</v>
      </c>
      <c r="O1768" t="str">
        <f t="shared" si="165"/>
        <v>Sunday</v>
      </c>
      <c r="P1768">
        <f t="shared" si="162"/>
        <v>15</v>
      </c>
      <c r="Q1768" s="2">
        <f t="shared" si="166"/>
        <v>7</v>
      </c>
      <c r="R1768" s="2">
        <f t="shared" si="167"/>
        <v>10</v>
      </c>
      <c r="S1768">
        <f>SUMIF(Table1[product_category],"Bakery",Table1[Total_bill])</f>
        <v>2951.25</v>
      </c>
    </row>
    <row r="1769" spans="1:19" x14ac:dyDescent="0.3">
      <c r="A1769" s="2">
        <v>11768</v>
      </c>
      <c r="B1769" s="4">
        <v>47399</v>
      </c>
      <c r="C1769" t="s">
        <v>1897</v>
      </c>
      <c r="D1769" t="s">
        <v>18</v>
      </c>
      <c r="E1769" t="s">
        <v>19</v>
      </c>
      <c r="F1769" t="s">
        <v>54</v>
      </c>
      <c r="G1769">
        <v>4</v>
      </c>
      <c r="H1769" s="5">
        <v>24</v>
      </c>
      <c r="I1769" t="s">
        <v>101</v>
      </c>
      <c r="J1769" t="s">
        <v>102</v>
      </c>
      <c r="K1769" t="s">
        <v>103</v>
      </c>
      <c r="L1769" t="s">
        <v>2125</v>
      </c>
      <c r="M1769" s="5">
        <f t="shared" si="163"/>
        <v>96</v>
      </c>
      <c r="N1769" t="str">
        <f t="shared" si="164"/>
        <v>October</v>
      </c>
      <c r="O1769" t="str">
        <f t="shared" si="165"/>
        <v>Monday</v>
      </c>
      <c r="P1769">
        <f t="shared" si="162"/>
        <v>11</v>
      </c>
      <c r="Q1769" s="2">
        <f t="shared" si="166"/>
        <v>1</v>
      </c>
      <c r="R1769" s="2">
        <f t="shared" si="167"/>
        <v>10</v>
      </c>
      <c r="S1769">
        <f>SUMIF(Table1[product_category],"Bakery",Table1[Total_bill])</f>
        <v>2951.25</v>
      </c>
    </row>
    <row r="1770" spans="1:19" x14ac:dyDescent="0.3">
      <c r="A1770" s="2">
        <v>11769</v>
      </c>
      <c r="B1770" s="4">
        <v>47400</v>
      </c>
      <c r="C1770" t="s">
        <v>1898</v>
      </c>
      <c r="D1770" t="s">
        <v>18</v>
      </c>
      <c r="E1770" t="s">
        <v>19</v>
      </c>
      <c r="F1770" t="s">
        <v>57</v>
      </c>
      <c r="G1770">
        <v>1</v>
      </c>
      <c r="H1770" s="5">
        <v>9.5</v>
      </c>
      <c r="I1770" t="s">
        <v>28</v>
      </c>
      <c r="J1770" t="s">
        <v>28</v>
      </c>
      <c r="K1770" t="s">
        <v>29</v>
      </c>
      <c r="L1770" t="s">
        <v>2125</v>
      </c>
      <c r="M1770" s="5">
        <f t="shared" si="163"/>
        <v>9.5</v>
      </c>
      <c r="N1770" t="str">
        <f t="shared" si="164"/>
        <v>October</v>
      </c>
      <c r="O1770" t="str">
        <f t="shared" si="165"/>
        <v>Tuesday</v>
      </c>
      <c r="P1770">
        <f t="shared" si="162"/>
        <v>10</v>
      </c>
      <c r="Q1770" s="2">
        <f t="shared" si="166"/>
        <v>2</v>
      </c>
      <c r="R1770" s="2">
        <f t="shared" si="167"/>
        <v>10</v>
      </c>
      <c r="S1770">
        <f>SUMIF(Table1[product_category],"Bakery",Table1[Total_bill])</f>
        <v>2951.25</v>
      </c>
    </row>
    <row r="1771" spans="1:19" x14ac:dyDescent="0.3">
      <c r="A1771" s="2">
        <v>11770</v>
      </c>
      <c r="B1771" s="4">
        <v>47401</v>
      </c>
      <c r="C1771" t="s">
        <v>1899</v>
      </c>
      <c r="D1771" t="s">
        <v>25</v>
      </c>
      <c r="E1771" t="s">
        <v>26</v>
      </c>
      <c r="F1771" t="s">
        <v>61</v>
      </c>
      <c r="G1771">
        <v>2</v>
      </c>
      <c r="H1771" s="5">
        <v>4.25</v>
      </c>
      <c r="I1771" t="s">
        <v>36</v>
      </c>
      <c r="J1771" t="s">
        <v>211</v>
      </c>
      <c r="K1771" t="s">
        <v>239</v>
      </c>
      <c r="L1771" t="s">
        <v>2123</v>
      </c>
      <c r="M1771" s="5">
        <f t="shared" si="163"/>
        <v>8.5</v>
      </c>
      <c r="N1771" t="str">
        <f t="shared" si="164"/>
        <v>October</v>
      </c>
      <c r="O1771" t="str">
        <f t="shared" si="165"/>
        <v>Wednesday</v>
      </c>
      <c r="P1771">
        <f t="shared" si="162"/>
        <v>10</v>
      </c>
      <c r="Q1771" s="2">
        <f t="shared" si="166"/>
        <v>3</v>
      </c>
      <c r="R1771" s="2">
        <f t="shared" si="167"/>
        <v>10</v>
      </c>
      <c r="S1771">
        <f>SUMIF(Table1[product_category],"Bakery",Table1[Total_bill])</f>
        <v>2951.25</v>
      </c>
    </row>
    <row r="1772" spans="1:19" x14ac:dyDescent="0.3">
      <c r="A1772" s="2">
        <v>11771</v>
      </c>
      <c r="B1772" s="4">
        <v>47402</v>
      </c>
      <c r="C1772" t="s">
        <v>1900</v>
      </c>
      <c r="D1772" t="s">
        <v>40</v>
      </c>
      <c r="E1772" t="s">
        <v>41</v>
      </c>
      <c r="F1772" t="s">
        <v>64</v>
      </c>
      <c r="G1772">
        <v>2</v>
      </c>
      <c r="H1772" s="5">
        <v>3</v>
      </c>
      <c r="I1772" t="s">
        <v>32</v>
      </c>
      <c r="J1772" t="s">
        <v>55</v>
      </c>
      <c r="K1772" t="s">
        <v>55</v>
      </c>
      <c r="L1772" t="s">
        <v>2122</v>
      </c>
      <c r="M1772" s="5">
        <f t="shared" si="163"/>
        <v>6</v>
      </c>
      <c r="N1772" t="str">
        <f t="shared" si="164"/>
        <v>October</v>
      </c>
      <c r="O1772" t="str">
        <f t="shared" si="165"/>
        <v>Thursday</v>
      </c>
      <c r="P1772">
        <f t="shared" si="162"/>
        <v>11</v>
      </c>
      <c r="Q1772" s="2">
        <f t="shared" si="166"/>
        <v>4</v>
      </c>
      <c r="R1772" s="2">
        <f t="shared" si="167"/>
        <v>10</v>
      </c>
      <c r="S1772">
        <f>SUMIF(Table1[product_category],"Bakery",Table1[Total_bill])</f>
        <v>2951.25</v>
      </c>
    </row>
    <row r="1773" spans="1:19" x14ac:dyDescent="0.3">
      <c r="A1773" s="2">
        <v>11772</v>
      </c>
      <c r="B1773" s="4">
        <v>47403</v>
      </c>
      <c r="C1773" t="s">
        <v>1901</v>
      </c>
      <c r="D1773" t="s">
        <v>25</v>
      </c>
      <c r="E1773" t="s">
        <v>26</v>
      </c>
      <c r="F1773" t="s">
        <v>66</v>
      </c>
      <c r="G1773">
        <v>3</v>
      </c>
      <c r="H1773" s="5">
        <v>4.5</v>
      </c>
      <c r="I1773" t="s">
        <v>32</v>
      </c>
      <c r="J1773" t="s">
        <v>33</v>
      </c>
      <c r="K1773" t="s">
        <v>33</v>
      </c>
      <c r="L1773" t="s">
        <v>2123</v>
      </c>
      <c r="M1773" s="5">
        <f t="shared" si="163"/>
        <v>13.5</v>
      </c>
      <c r="N1773" t="str">
        <f t="shared" si="164"/>
        <v>October</v>
      </c>
      <c r="O1773" t="str">
        <f t="shared" si="165"/>
        <v>Friday</v>
      </c>
      <c r="P1773">
        <f t="shared" si="162"/>
        <v>16</v>
      </c>
      <c r="Q1773" s="2">
        <f t="shared" si="166"/>
        <v>5</v>
      </c>
      <c r="R1773" s="2">
        <f t="shared" si="167"/>
        <v>10</v>
      </c>
      <c r="S1773">
        <f>SUMIF(Table1[product_category],"Bakery",Table1[Total_bill])</f>
        <v>2951.25</v>
      </c>
    </row>
    <row r="1774" spans="1:19" x14ac:dyDescent="0.3">
      <c r="A1774" s="2">
        <v>11773</v>
      </c>
      <c r="B1774" s="4">
        <v>47404</v>
      </c>
      <c r="C1774" t="s">
        <v>1902</v>
      </c>
      <c r="D1774" t="s">
        <v>18</v>
      </c>
      <c r="E1774" t="s">
        <v>19</v>
      </c>
      <c r="F1774" t="s">
        <v>68</v>
      </c>
      <c r="G1774">
        <v>3</v>
      </c>
      <c r="H1774" s="5">
        <v>3.25</v>
      </c>
      <c r="I1774" t="s">
        <v>21</v>
      </c>
      <c r="J1774" t="s">
        <v>81</v>
      </c>
      <c r="K1774" t="s">
        <v>113</v>
      </c>
      <c r="L1774" t="s">
        <v>2125</v>
      </c>
      <c r="M1774" s="5">
        <f t="shared" si="163"/>
        <v>9.75</v>
      </c>
      <c r="N1774" t="str">
        <f t="shared" si="164"/>
        <v>October</v>
      </c>
      <c r="O1774" t="str">
        <f t="shared" si="165"/>
        <v>Saturday</v>
      </c>
      <c r="P1774">
        <f t="shared" si="162"/>
        <v>18</v>
      </c>
      <c r="Q1774" s="2">
        <f t="shared" si="166"/>
        <v>6</v>
      </c>
      <c r="R1774" s="2">
        <f t="shared" si="167"/>
        <v>10</v>
      </c>
      <c r="S1774">
        <f>SUMIF(Table1[product_category],"Bakery",Table1[Total_bill])</f>
        <v>2951.25</v>
      </c>
    </row>
    <row r="1775" spans="1:19" x14ac:dyDescent="0.3">
      <c r="A1775" s="2">
        <v>11774</v>
      </c>
      <c r="B1775" s="4">
        <v>47405</v>
      </c>
      <c r="C1775" t="s">
        <v>1903</v>
      </c>
      <c r="D1775" t="s">
        <v>18</v>
      </c>
      <c r="E1775" t="s">
        <v>19</v>
      </c>
      <c r="F1775" t="s">
        <v>71</v>
      </c>
      <c r="G1775">
        <v>3</v>
      </c>
      <c r="H1775" s="5">
        <v>1.75</v>
      </c>
      <c r="I1775" t="s">
        <v>32</v>
      </c>
      <c r="J1775" t="s">
        <v>43</v>
      </c>
      <c r="K1775" t="s">
        <v>44</v>
      </c>
      <c r="L1775" t="s">
        <v>2122</v>
      </c>
      <c r="M1775" s="5">
        <f t="shared" si="163"/>
        <v>5.25</v>
      </c>
      <c r="N1775" t="str">
        <f t="shared" si="164"/>
        <v>October</v>
      </c>
      <c r="O1775" t="str">
        <f t="shared" si="165"/>
        <v>Sunday</v>
      </c>
      <c r="P1775">
        <f t="shared" si="162"/>
        <v>20</v>
      </c>
      <c r="Q1775" s="2">
        <f t="shared" si="166"/>
        <v>7</v>
      </c>
      <c r="R1775" s="2">
        <f t="shared" si="167"/>
        <v>10</v>
      </c>
      <c r="S1775">
        <f>SUMIF(Table1[product_category],"Bakery",Table1[Total_bill])</f>
        <v>2951.25</v>
      </c>
    </row>
    <row r="1776" spans="1:19" x14ac:dyDescent="0.3">
      <c r="A1776" s="2">
        <v>11775</v>
      </c>
      <c r="B1776" s="4">
        <v>47406</v>
      </c>
      <c r="C1776" t="s">
        <v>1904</v>
      </c>
      <c r="D1776" t="s">
        <v>40</v>
      </c>
      <c r="E1776" t="s">
        <v>41</v>
      </c>
      <c r="F1776" t="s">
        <v>75</v>
      </c>
      <c r="G1776">
        <v>4</v>
      </c>
      <c r="H1776" s="5">
        <v>9.5</v>
      </c>
      <c r="I1776" t="s">
        <v>28</v>
      </c>
      <c r="J1776" t="s">
        <v>28</v>
      </c>
      <c r="K1776" t="s">
        <v>29</v>
      </c>
      <c r="L1776" t="s">
        <v>2125</v>
      </c>
      <c r="M1776" s="5">
        <f t="shared" si="163"/>
        <v>38</v>
      </c>
      <c r="N1776" t="str">
        <f t="shared" si="164"/>
        <v>October</v>
      </c>
      <c r="O1776" t="str">
        <f t="shared" si="165"/>
        <v>Monday</v>
      </c>
      <c r="P1776">
        <f t="shared" si="162"/>
        <v>16</v>
      </c>
      <c r="Q1776" s="2">
        <f t="shared" si="166"/>
        <v>1</v>
      </c>
      <c r="R1776" s="2">
        <f t="shared" si="167"/>
        <v>10</v>
      </c>
      <c r="S1776">
        <f>SUMIF(Table1[product_category],"Bakery",Table1[Total_bill])</f>
        <v>2951.25</v>
      </c>
    </row>
    <row r="1777" spans="1:19" x14ac:dyDescent="0.3">
      <c r="A1777" s="2">
        <v>11776</v>
      </c>
      <c r="B1777" s="4">
        <v>47407</v>
      </c>
      <c r="C1777" t="s">
        <v>1905</v>
      </c>
      <c r="D1777" t="s">
        <v>18</v>
      </c>
      <c r="E1777" t="s">
        <v>19</v>
      </c>
      <c r="F1777" t="s">
        <v>78</v>
      </c>
      <c r="G1777">
        <v>3</v>
      </c>
      <c r="H1777" s="5">
        <v>3.25</v>
      </c>
      <c r="I1777" t="s">
        <v>21</v>
      </c>
      <c r="J1777" t="s">
        <v>81</v>
      </c>
      <c r="K1777" t="s">
        <v>82</v>
      </c>
      <c r="L1777" t="s">
        <v>2125</v>
      </c>
      <c r="M1777" s="5">
        <f t="shared" si="163"/>
        <v>9.75</v>
      </c>
      <c r="N1777" t="str">
        <f t="shared" si="164"/>
        <v>October</v>
      </c>
      <c r="O1777" t="str">
        <f t="shared" si="165"/>
        <v>Tuesday</v>
      </c>
      <c r="P1777">
        <f t="shared" si="162"/>
        <v>9</v>
      </c>
      <c r="Q1777" s="2">
        <f t="shared" si="166"/>
        <v>2</v>
      </c>
      <c r="R1777" s="2">
        <f t="shared" si="167"/>
        <v>10</v>
      </c>
      <c r="S1777">
        <f>SUMIF(Table1[product_category],"Bakery",Table1[Total_bill])</f>
        <v>2951.25</v>
      </c>
    </row>
    <row r="1778" spans="1:19" x14ac:dyDescent="0.3">
      <c r="A1778" s="2">
        <v>11777</v>
      </c>
      <c r="B1778" s="4">
        <v>47408</v>
      </c>
      <c r="C1778" t="s">
        <v>1906</v>
      </c>
      <c r="D1778" t="s">
        <v>25</v>
      </c>
      <c r="E1778" t="s">
        <v>26</v>
      </c>
      <c r="F1778" t="s">
        <v>80</v>
      </c>
      <c r="G1778">
        <v>1</v>
      </c>
      <c r="H1778" s="5">
        <v>3.75</v>
      </c>
      <c r="I1778" t="s">
        <v>32</v>
      </c>
      <c r="J1778" t="s">
        <v>144</v>
      </c>
      <c r="K1778" t="s">
        <v>144</v>
      </c>
      <c r="L1778" t="s">
        <v>2123</v>
      </c>
      <c r="M1778" s="5">
        <f t="shared" si="163"/>
        <v>3.75</v>
      </c>
      <c r="N1778" t="str">
        <f t="shared" si="164"/>
        <v>October</v>
      </c>
      <c r="O1778" t="str">
        <f t="shared" si="165"/>
        <v>Wednesday</v>
      </c>
      <c r="P1778">
        <f t="shared" si="162"/>
        <v>14</v>
      </c>
      <c r="Q1778" s="2">
        <f t="shared" si="166"/>
        <v>3</v>
      </c>
      <c r="R1778" s="2">
        <f t="shared" si="167"/>
        <v>10</v>
      </c>
      <c r="S1778">
        <f>SUMIF(Table1[product_category],"Bakery",Table1[Total_bill])</f>
        <v>2951.25</v>
      </c>
    </row>
    <row r="1779" spans="1:19" x14ac:dyDescent="0.3">
      <c r="A1779" s="2">
        <v>11778</v>
      </c>
      <c r="B1779" s="4">
        <v>47409</v>
      </c>
      <c r="C1779" t="s">
        <v>1907</v>
      </c>
      <c r="D1779" t="s">
        <v>25</v>
      </c>
      <c r="E1779" t="s">
        <v>26</v>
      </c>
      <c r="F1779" t="s">
        <v>84</v>
      </c>
      <c r="G1779">
        <v>2</v>
      </c>
      <c r="H1779" s="5">
        <v>3.25</v>
      </c>
      <c r="I1779" t="s">
        <v>21</v>
      </c>
      <c r="J1779" t="s">
        <v>81</v>
      </c>
      <c r="K1779" t="s">
        <v>113</v>
      </c>
      <c r="L1779" t="s">
        <v>2125</v>
      </c>
      <c r="M1779" s="5">
        <f t="shared" si="163"/>
        <v>6.5</v>
      </c>
      <c r="N1779" t="str">
        <f t="shared" si="164"/>
        <v>October</v>
      </c>
      <c r="O1779" t="str">
        <f t="shared" si="165"/>
        <v>Thursday</v>
      </c>
      <c r="P1779">
        <f t="shared" si="162"/>
        <v>11</v>
      </c>
      <c r="Q1779" s="2">
        <f t="shared" si="166"/>
        <v>4</v>
      </c>
      <c r="R1779" s="2">
        <f t="shared" si="167"/>
        <v>10</v>
      </c>
      <c r="S1779">
        <f>SUMIF(Table1[product_category],"Bakery",Table1[Total_bill])</f>
        <v>2951.25</v>
      </c>
    </row>
    <row r="1780" spans="1:19" x14ac:dyDescent="0.3">
      <c r="A1780" s="2">
        <v>11779</v>
      </c>
      <c r="B1780" s="4">
        <v>47410</v>
      </c>
      <c r="C1780" t="s">
        <v>1908</v>
      </c>
      <c r="D1780" t="s">
        <v>25</v>
      </c>
      <c r="E1780" t="s">
        <v>26</v>
      </c>
      <c r="F1780" t="s">
        <v>86</v>
      </c>
      <c r="G1780">
        <v>3</v>
      </c>
      <c r="H1780" s="5">
        <v>3.5</v>
      </c>
      <c r="I1780" t="s">
        <v>21</v>
      </c>
      <c r="J1780" t="s">
        <v>51</v>
      </c>
      <c r="K1780" t="s">
        <v>52</v>
      </c>
      <c r="L1780" t="s">
        <v>2125</v>
      </c>
      <c r="M1780" s="5">
        <f t="shared" si="163"/>
        <v>10.5</v>
      </c>
      <c r="N1780" t="str">
        <f t="shared" si="164"/>
        <v>October</v>
      </c>
      <c r="O1780" t="str">
        <f t="shared" si="165"/>
        <v>Friday</v>
      </c>
      <c r="P1780">
        <f t="shared" si="162"/>
        <v>8</v>
      </c>
      <c r="Q1780" s="2">
        <f t="shared" si="166"/>
        <v>5</v>
      </c>
      <c r="R1780" s="2">
        <f t="shared" si="167"/>
        <v>10</v>
      </c>
      <c r="S1780">
        <f>SUMIF(Table1[product_category],"Bakery",Table1[Total_bill])</f>
        <v>2951.25</v>
      </c>
    </row>
    <row r="1781" spans="1:19" x14ac:dyDescent="0.3">
      <c r="A1781" s="2">
        <v>11780</v>
      </c>
      <c r="B1781" s="4">
        <v>47411</v>
      </c>
      <c r="C1781" t="s">
        <v>1909</v>
      </c>
      <c r="D1781" t="s">
        <v>40</v>
      </c>
      <c r="E1781" t="s">
        <v>41</v>
      </c>
      <c r="F1781" t="s">
        <v>88</v>
      </c>
      <c r="G1781">
        <v>3</v>
      </c>
      <c r="H1781" s="5">
        <v>4.75</v>
      </c>
      <c r="I1781" t="s">
        <v>32</v>
      </c>
      <c r="J1781" t="s">
        <v>69</v>
      </c>
      <c r="K1781" t="s">
        <v>69</v>
      </c>
      <c r="L1781" t="s">
        <v>2123</v>
      </c>
      <c r="M1781" s="5">
        <f t="shared" si="163"/>
        <v>14.25</v>
      </c>
      <c r="N1781" t="str">
        <f t="shared" si="164"/>
        <v>October</v>
      </c>
      <c r="O1781" t="str">
        <f t="shared" si="165"/>
        <v>Saturday</v>
      </c>
      <c r="P1781">
        <f t="shared" si="162"/>
        <v>17</v>
      </c>
      <c r="Q1781" s="2">
        <f t="shared" si="166"/>
        <v>6</v>
      </c>
      <c r="R1781" s="2">
        <f t="shared" si="167"/>
        <v>10</v>
      </c>
      <c r="S1781">
        <f>SUMIF(Table1[product_category],"Bakery",Table1[Total_bill])</f>
        <v>2951.25</v>
      </c>
    </row>
    <row r="1782" spans="1:19" x14ac:dyDescent="0.3">
      <c r="A1782" s="2">
        <v>11781</v>
      </c>
      <c r="B1782" s="4">
        <v>47412</v>
      </c>
      <c r="C1782" t="s">
        <v>1910</v>
      </c>
      <c r="D1782" t="s">
        <v>25</v>
      </c>
      <c r="E1782" t="s">
        <v>26</v>
      </c>
      <c r="F1782" t="s">
        <v>93</v>
      </c>
      <c r="G1782">
        <v>1</v>
      </c>
      <c r="H1782" s="5">
        <v>4.5</v>
      </c>
      <c r="I1782" t="s">
        <v>89</v>
      </c>
      <c r="J1782" t="s">
        <v>90</v>
      </c>
      <c r="K1782" t="s">
        <v>91</v>
      </c>
      <c r="L1782" t="s">
        <v>2124</v>
      </c>
      <c r="M1782" s="5">
        <f t="shared" si="163"/>
        <v>4.5</v>
      </c>
      <c r="N1782" t="str">
        <f t="shared" si="164"/>
        <v>October</v>
      </c>
      <c r="O1782" t="str">
        <f t="shared" si="165"/>
        <v>Sunday</v>
      </c>
      <c r="P1782">
        <f t="shared" si="162"/>
        <v>6</v>
      </c>
      <c r="Q1782" s="2">
        <f t="shared" si="166"/>
        <v>7</v>
      </c>
      <c r="R1782" s="2">
        <f t="shared" si="167"/>
        <v>10</v>
      </c>
      <c r="S1782">
        <f>SUMIF(Table1[product_category],"Bakery",Table1[Total_bill])</f>
        <v>2951.25</v>
      </c>
    </row>
    <row r="1783" spans="1:19" x14ac:dyDescent="0.3">
      <c r="A1783" s="2">
        <v>11782</v>
      </c>
      <c r="B1783" s="4">
        <v>47413</v>
      </c>
      <c r="C1783" t="s">
        <v>1911</v>
      </c>
      <c r="D1783" t="s">
        <v>18</v>
      </c>
      <c r="E1783" t="s">
        <v>19</v>
      </c>
      <c r="F1783" t="s">
        <v>97</v>
      </c>
      <c r="G1783">
        <v>1</v>
      </c>
      <c r="H1783" s="5">
        <v>4.25</v>
      </c>
      <c r="I1783" t="s">
        <v>32</v>
      </c>
      <c r="J1783" t="s">
        <v>202</v>
      </c>
      <c r="K1783" t="s">
        <v>202</v>
      </c>
      <c r="L1783" t="s">
        <v>2124</v>
      </c>
      <c r="M1783" s="5">
        <f t="shared" si="163"/>
        <v>4.25</v>
      </c>
      <c r="N1783" t="str">
        <f t="shared" si="164"/>
        <v>October</v>
      </c>
      <c r="O1783" t="str">
        <f t="shared" si="165"/>
        <v>Monday</v>
      </c>
      <c r="P1783">
        <f t="shared" si="162"/>
        <v>18</v>
      </c>
      <c r="Q1783" s="2">
        <f t="shared" si="166"/>
        <v>1</v>
      </c>
      <c r="R1783" s="2">
        <f t="shared" si="167"/>
        <v>10</v>
      </c>
      <c r="S1783">
        <f>SUMIF(Table1[product_category],"Bakery",Table1[Total_bill])</f>
        <v>2951.25</v>
      </c>
    </row>
    <row r="1784" spans="1:19" x14ac:dyDescent="0.3">
      <c r="A1784" s="2">
        <v>11783</v>
      </c>
      <c r="B1784" s="4">
        <v>47414</v>
      </c>
      <c r="C1784" t="s">
        <v>1912</v>
      </c>
      <c r="D1784" t="s">
        <v>18</v>
      </c>
      <c r="E1784" t="s">
        <v>19</v>
      </c>
      <c r="F1784" t="s">
        <v>100</v>
      </c>
      <c r="G1784">
        <v>3</v>
      </c>
      <c r="H1784" s="5">
        <v>3.5</v>
      </c>
      <c r="I1784" t="s">
        <v>36</v>
      </c>
      <c r="J1784" t="s">
        <v>37</v>
      </c>
      <c r="K1784" t="s">
        <v>38</v>
      </c>
      <c r="L1784" t="s">
        <v>2123</v>
      </c>
      <c r="M1784" s="5">
        <f t="shared" si="163"/>
        <v>10.5</v>
      </c>
      <c r="N1784" t="str">
        <f t="shared" si="164"/>
        <v>October</v>
      </c>
      <c r="O1784" t="str">
        <f t="shared" si="165"/>
        <v>Tuesday</v>
      </c>
      <c r="P1784">
        <f t="shared" si="162"/>
        <v>11</v>
      </c>
      <c r="Q1784" s="2">
        <f t="shared" si="166"/>
        <v>2</v>
      </c>
      <c r="R1784" s="2">
        <f t="shared" si="167"/>
        <v>10</v>
      </c>
      <c r="S1784">
        <f>SUMIF(Table1[product_category],"Bakery",Table1[Total_bill])</f>
        <v>2951.25</v>
      </c>
    </row>
    <row r="1785" spans="1:19" x14ac:dyDescent="0.3">
      <c r="A1785" s="2">
        <v>11784</v>
      </c>
      <c r="B1785" s="4">
        <v>47415</v>
      </c>
      <c r="C1785" t="s">
        <v>969</v>
      </c>
      <c r="D1785" t="s">
        <v>18</v>
      </c>
      <c r="E1785" t="s">
        <v>19</v>
      </c>
      <c r="F1785" t="s">
        <v>105</v>
      </c>
      <c r="G1785">
        <v>2</v>
      </c>
      <c r="H1785" s="5">
        <v>3.75</v>
      </c>
      <c r="I1785" t="s">
        <v>36</v>
      </c>
      <c r="J1785" t="s">
        <v>211</v>
      </c>
      <c r="K1785" t="s">
        <v>212</v>
      </c>
      <c r="L1785" t="s">
        <v>2124</v>
      </c>
      <c r="M1785" s="5">
        <f t="shared" si="163"/>
        <v>7.5</v>
      </c>
      <c r="N1785" t="str">
        <f t="shared" si="164"/>
        <v>October</v>
      </c>
      <c r="O1785" t="str">
        <f t="shared" si="165"/>
        <v>Wednesday</v>
      </c>
      <c r="P1785">
        <f t="shared" si="162"/>
        <v>13</v>
      </c>
      <c r="Q1785" s="2">
        <f t="shared" si="166"/>
        <v>3</v>
      </c>
      <c r="R1785" s="2">
        <f t="shared" si="167"/>
        <v>10</v>
      </c>
      <c r="S1785">
        <f>SUMIF(Table1[product_category],"Bakery",Table1[Total_bill])</f>
        <v>2951.25</v>
      </c>
    </row>
    <row r="1786" spans="1:19" x14ac:dyDescent="0.3">
      <c r="A1786" s="2">
        <v>11785</v>
      </c>
      <c r="B1786" s="4">
        <v>47416</v>
      </c>
      <c r="C1786" t="s">
        <v>1913</v>
      </c>
      <c r="D1786" t="s">
        <v>40</v>
      </c>
      <c r="E1786" t="s">
        <v>41</v>
      </c>
      <c r="F1786" t="s">
        <v>107</v>
      </c>
      <c r="G1786">
        <v>2</v>
      </c>
      <c r="H1786" s="5">
        <v>3.5</v>
      </c>
      <c r="I1786" t="s">
        <v>32</v>
      </c>
      <c r="J1786" t="s">
        <v>226</v>
      </c>
      <c r="K1786" t="s">
        <v>227</v>
      </c>
      <c r="L1786" t="s">
        <v>2123</v>
      </c>
      <c r="M1786" s="5">
        <f t="shared" si="163"/>
        <v>7</v>
      </c>
      <c r="N1786" t="str">
        <f t="shared" si="164"/>
        <v>October</v>
      </c>
      <c r="O1786" t="str">
        <f t="shared" si="165"/>
        <v>Thursday</v>
      </c>
      <c r="P1786">
        <f t="shared" si="162"/>
        <v>14</v>
      </c>
      <c r="Q1786" s="2">
        <f t="shared" si="166"/>
        <v>4</v>
      </c>
      <c r="R1786" s="2">
        <f t="shared" si="167"/>
        <v>10</v>
      </c>
      <c r="S1786">
        <f>SUMIF(Table1[product_category],"Bakery",Table1[Total_bill])</f>
        <v>2951.25</v>
      </c>
    </row>
    <row r="1787" spans="1:19" x14ac:dyDescent="0.3">
      <c r="A1787" s="2">
        <v>11786</v>
      </c>
      <c r="B1787" s="4">
        <v>47417</v>
      </c>
      <c r="C1787" t="s">
        <v>1914</v>
      </c>
      <c r="D1787" t="s">
        <v>18</v>
      </c>
      <c r="E1787" t="s">
        <v>19</v>
      </c>
      <c r="F1787" t="s">
        <v>109</v>
      </c>
      <c r="G1787">
        <v>4</v>
      </c>
      <c r="H1787" s="5">
        <v>4</v>
      </c>
      <c r="I1787" t="s">
        <v>32</v>
      </c>
      <c r="J1787" t="s">
        <v>55</v>
      </c>
      <c r="K1787" t="s">
        <v>55</v>
      </c>
      <c r="L1787" t="s">
        <v>2123</v>
      </c>
      <c r="M1787" s="5">
        <f t="shared" si="163"/>
        <v>16</v>
      </c>
      <c r="N1787" t="str">
        <f t="shared" si="164"/>
        <v>October</v>
      </c>
      <c r="O1787" t="str">
        <f t="shared" si="165"/>
        <v>Friday</v>
      </c>
      <c r="P1787">
        <f t="shared" si="162"/>
        <v>18</v>
      </c>
      <c r="Q1787" s="2">
        <f t="shared" si="166"/>
        <v>5</v>
      </c>
      <c r="R1787" s="2">
        <f t="shared" si="167"/>
        <v>10</v>
      </c>
      <c r="S1787">
        <f>SUMIF(Table1[product_category],"Bakery",Table1[Total_bill])</f>
        <v>2951.25</v>
      </c>
    </row>
    <row r="1788" spans="1:19" x14ac:dyDescent="0.3">
      <c r="A1788" s="2">
        <v>11787</v>
      </c>
      <c r="B1788" s="4">
        <v>47418</v>
      </c>
      <c r="C1788" t="s">
        <v>1915</v>
      </c>
      <c r="D1788" t="s">
        <v>25</v>
      </c>
      <c r="E1788" t="s">
        <v>26</v>
      </c>
      <c r="F1788" t="s">
        <v>112</v>
      </c>
      <c r="G1788">
        <v>3</v>
      </c>
      <c r="H1788" s="5">
        <v>2.25</v>
      </c>
      <c r="I1788" t="s">
        <v>21</v>
      </c>
      <c r="J1788" t="s">
        <v>58</v>
      </c>
      <c r="K1788" t="s">
        <v>59</v>
      </c>
      <c r="L1788" t="s">
        <v>2125</v>
      </c>
      <c r="M1788" s="5">
        <f t="shared" si="163"/>
        <v>6.75</v>
      </c>
      <c r="N1788" t="str">
        <f t="shared" si="164"/>
        <v>October</v>
      </c>
      <c r="O1788" t="str">
        <f t="shared" si="165"/>
        <v>Saturday</v>
      </c>
      <c r="P1788">
        <f t="shared" si="162"/>
        <v>13</v>
      </c>
      <c r="Q1788" s="2">
        <f t="shared" si="166"/>
        <v>6</v>
      </c>
      <c r="R1788" s="2">
        <f t="shared" si="167"/>
        <v>10</v>
      </c>
      <c r="S1788">
        <f>SUMIF(Table1[product_category],"Bakery",Table1[Total_bill])</f>
        <v>2951.25</v>
      </c>
    </row>
    <row r="1789" spans="1:19" x14ac:dyDescent="0.3">
      <c r="A1789" s="2">
        <v>11788</v>
      </c>
      <c r="B1789" s="4">
        <v>47419</v>
      </c>
      <c r="C1789" t="s">
        <v>1916</v>
      </c>
      <c r="D1789" t="s">
        <v>25</v>
      </c>
      <c r="E1789" t="s">
        <v>26</v>
      </c>
      <c r="F1789" t="s">
        <v>115</v>
      </c>
      <c r="G1789">
        <v>1</v>
      </c>
      <c r="H1789" s="5">
        <v>2.75</v>
      </c>
      <c r="I1789" t="s">
        <v>21</v>
      </c>
      <c r="J1789" t="s">
        <v>22</v>
      </c>
      <c r="K1789" t="s">
        <v>23</v>
      </c>
      <c r="L1789" t="s">
        <v>2125</v>
      </c>
      <c r="M1789" s="5">
        <f t="shared" si="163"/>
        <v>2.75</v>
      </c>
      <c r="N1789" t="str">
        <f t="shared" si="164"/>
        <v>October</v>
      </c>
      <c r="O1789" t="str">
        <f t="shared" si="165"/>
        <v>Sunday</v>
      </c>
      <c r="P1789">
        <f t="shared" si="162"/>
        <v>13</v>
      </c>
      <c r="Q1789" s="2">
        <f t="shared" si="166"/>
        <v>7</v>
      </c>
      <c r="R1789" s="2">
        <f t="shared" si="167"/>
        <v>10</v>
      </c>
      <c r="S1789">
        <f>SUMIF(Table1[product_category],"Bakery",Table1[Total_bill])</f>
        <v>2951.25</v>
      </c>
    </row>
    <row r="1790" spans="1:19" x14ac:dyDescent="0.3">
      <c r="A1790" s="2">
        <v>11789</v>
      </c>
      <c r="B1790" s="4">
        <v>47420</v>
      </c>
      <c r="C1790" t="s">
        <v>1917</v>
      </c>
      <c r="D1790" t="s">
        <v>40</v>
      </c>
      <c r="E1790" t="s">
        <v>41</v>
      </c>
      <c r="F1790" t="s">
        <v>117</v>
      </c>
      <c r="G1790">
        <v>2</v>
      </c>
      <c r="H1790" s="5">
        <v>2.75</v>
      </c>
      <c r="I1790" t="s">
        <v>32</v>
      </c>
      <c r="J1790" t="s">
        <v>144</v>
      </c>
      <c r="K1790" t="s">
        <v>144</v>
      </c>
      <c r="L1790" t="s">
        <v>2122</v>
      </c>
      <c r="M1790" s="5">
        <f t="shared" si="163"/>
        <v>5.5</v>
      </c>
      <c r="N1790" t="str">
        <f t="shared" si="164"/>
        <v>October</v>
      </c>
      <c r="O1790" t="str">
        <f t="shared" si="165"/>
        <v>Monday</v>
      </c>
      <c r="P1790">
        <f t="shared" si="162"/>
        <v>7</v>
      </c>
      <c r="Q1790" s="2">
        <f t="shared" si="166"/>
        <v>1</v>
      </c>
      <c r="R1790" s="2">
        <f t="shared" si="167"/>
        <v>10</v>
      </c>
      <c r="S1790">
        <f>SUMIF(Table1[product_category],"Bakery",Table1[Total_bill])</f>
        <v>2951.25</v>
      </c>
    </row>
    <row r="1791" spans="1:19" x14ac:dyDescent="0.3">
      <c r="A1791" s="2">
        <v>11790</v>
      </c>
      <c r="B1791" s="4">
        <v>47421</v>
      </c>
      <c r="C1791" t="s">
        <v>1918</v>
      </c>
      <c r="D1791" t="s">
        <v>40</v>
      </c>
      <c r="E1791" t="s">
        <v>41</v>
      </c>
      <c r="F1791" t="s">
        <v>119</v>
      </c>
      <c r="G1791">
        <v>1</v>
      </c>
      <c r="H1791" s="5">
        <v>6</v>
      </c>
      <c r="I1791" t="s">
        <v>72</v>
      </c>
      <c r="J1791" t="s">
        <v>72</v>
      </c>
      <c r="K1791" t="s">
        <v>138</v>
      </c>
      <c r="L1791" t="s">
        <v>2125</v>
      </c>
      <c r="M1791" s="5">
        <f t="shared" si="163"/>
        <v>6</v>
      </c>
      <c r="N1791" t="str">
        <f t="shared" si="164"/>
        <v>October</v>
      </c>
      <c r="O1791" t="str">
        <f t="shared" si="165"/>
        <v>Tuesday</v>
      </c>
      <c r="P1791">
        <f t="shared" si="162"/>
        <v>12</v>
      </c>
      <c r="Q1791" s="2">
        <f t="shared" si="166"/>
        <v>2</v>
      </c>
      <c r="R1791" s="2">
        <f t="shared" si="167"/>
        <v>10</v>
      </c>
      <c r="S1791">
        <f>SUMIF(Table1[product_category],"Bakery",Table1[Total_bill])</f>
        <v>2951.25</v>
      </c>
    </row>
    <row r="1792" spans="1:19" x14ac:dyDescent="0.3">
      <c r="A1792" s="2">
        <v>11791</v>
      </c>
      <c r="B1792" s="4">
        <v>47422</v>
      </c>
      <c r="C1792" t="s">
        <v>1919</v>
      </c>
      <c r="D1792" t="s">
        <v>18</v>
      </c>
      <c r="E1792" t="s">
        <v>19</v>
      </c>
      <c r="F1792" t="s">
        <v>121</v>
      </c>
      <c r="G1792">
        <v>3</v>
      </c>
      <c r="H1792" s="5">
        <v>3</v>
      </c>
      <c r="I1792" t="s">
        <v>21</v>
      </c>
      <c r="J1792" t="s">
        <v>181</v>
      </c>
      <c r="K1792" t="s">
        <v>182</v>
      </c>
      <c r="L1792" t="s">
        <v>2125</v>
      </c>
      <c r="M1792" s="5">
        <f t="shared" si="163"/>
        <v>9</v>
      </c>
      <c r="N1792" t="str">
        <f t="shared" si="164"/>
        <v>October</v>
      </c>
      <c r="O1792" t="str">
        <f t="shared" si="165"/>
        <v>Wednesday</v>
      </c>
      <c r="P1792">
        <f t="shared" si="162"/>
        <v>7</v>
      </c>
      <c r="Q1792" s="2">
        <f t="shared" si="166"/>
        <v>3</v>
      </c>
      <c r="R1792" s="2">
        <f t="shared" si="167"/>
        <v>10</v>
      </c>
      <c r="S1792">
        <f>SUMIF(Table1[product_category],"Bakery",Table1[Total_bill])</f>
        <v>2951.25</v>
      </c>
    </row>
    <row r="1793" spans="1:19" x14ac:dyDescent="0.3">
      <c r="A1793" s="2">
        <v>11792</v>
      </c>
      <c r="B1793" s="4">
        <v>47423</v>
      </c>
      <c r="C1793" t="s">
        <v>1920</v>
      </c>
      <c r="D1793" t="s">
        <v>25</v>
      </c>
      <c r="E1793" t="s">
        <v>26</v>
      </c>
      <c r="F1793" t="s">
        <v>124</v>
      </c>
      <c r="G1793">
        <v>4</v>
      </c>
      <c r="H1793" s="5">
        <v>3.75</v>
      </c>
      <c r="I1793" t="s">
        <v>36</v>
      </c>
      <c r="J1793" t="s">
        <v>211</v>
      </c>
      <c r="K1793" t="s">
        <v>212</v>
      </c>
      <c r="L1793" t="s">
        <v>2124</v>
      </c>
      <c r="M1793" s="5">
        <f t="shared" si="163"/>
        <v>15</v>
      </c>
      <c r="N1793" t="str">
        <f t="shared" si="164"/>
        <v>November</v>
      </c>
      <c r="O1793" t="str">
        <f t="shared" si="165"/>
        <v>Thursday</v>
      </c>
      <c r="P1793">
        <f t="shared" si="162"/>
        <v>15</v>
      </c>
      <c r="Q1793" s="2">
        <f t="shared" si="166"/>
        <v>4</v>
      </c>
      <c r="R1793" s="2">
        <f t="shared" si="167"/>
        <v>11</v>
      </c>
      <c r="S1793">
        <f>SUMIF(Table1[product_category],"Bakery",Table1[Total_bill])</f>
        <v>2951.25</v>
      </c>
    </row>
    <row r="1794" spans="1:19" x14ac:dyDescent="0.3">
      <c r="A1794" s="2">
        <v>11793</v>
      </c>
      <c r="B1794" s="4">
        <v>47424</v>
      </c>
      <c r="C1794" t="s">
        <v>1921</v>
      </c>
      <c r="D1794" t="s">
        <v>18</v>
      </c>
      <c r="E1794" t="s">
        <v>19</v>
      </c>
      <c r="F1794" t="s">
        <v>126</v>
      </c>
      <c r="G1794">
        <v>4</v>
      </c>
      <c r="H1794" s="5">
        <v>9.5</v>
      </c>
      <c r="I1794" t="s">
        <v>28</v>
      </c>
      <c r="J1794" t="s">
        <v>28</v>
      </c>
      <c r="K1794" t="s">
        <v>29</v>
      </c>
      <c r="L1794" t="s">
        <v>2125</v>
      </c>
      <c r="M1794" s="5">
        <f t="shared" si="163"/>
        <v>38</v>
      </c>
      <c r="N1794" t="str">
        <f t="shared" si="164"/>
        <v>November</v>
      </c>
      <c r="O1794" t="str">
        <f t="shared" si="165"/>
        <v>Friday</v>
      </c>
      <c r="P1794">
        <f t="shared" ref="P1794:P1857" si="168">HOUR(TIMEVALUE(C1794))</f>
        <v>12</v>
      </c>
      <c r="Q1794" s="2">
        <f t="shared" si="166"/>
        <v>5</v>
      </c>
      <c r="R1794" s="2">
        <f t="shared" si="167"/>
        <v>11</v>
      </c>
      <c r="S1794">
        <f>SUMIF(Table1[product_category],"Bakery",Table1[Total_bill])</f>
        <v>2951.25</v>
      </c>
    </row>
    <row r="1795" spans="1:19" x14ac:dyDescent="0.3">
      <c r="A1795" s="2">
        <v>11794</v>
      </c>
      <c r="B1795" s="4">
        <v>47425</v>
      </c>
      <c r="C1795" t="s">
        <v>1922</v>
      </c>
      <c r="D1795" t="s">
        <v>40</v>
      </c>
      <c r="E1795" t="s">
        <v>41</v>
      </c>
      <c r="F1795" t="s">
        <v>128</v>
      </c>
      <c r="G1795">
        <v>2</v>
      </c>
      <c r="H1795" s="5">
        <v>2.75</v>
      </c>
      <c r="I1795" t="s">
        <v>32</v>
      </c>
      <c r="J1795" t="s">
        <v>43</v>
      </c>
      <c r="K1795" t="s">
        <v>44</v>
      </c>
      <c r="L1795" t="s">
        <v>2123</v>
      </c>
      <c r="M1795" s="5">
        <f t="shared" ref="M1795:M1858" si="169">G1795*H1795</f>
        <v>5.5</v>
      </c>
      <c r="N1795" t="str">
        <f t="shared" ref="N1795:N1858" si="170">TEXT(B1795,"mmmm")</f>
        <v>November</v>
      </c>
      <c r="O1795" t="str">
        <f t="shared" ref="O1795:O1858" si="171">TEXT(B1795,"dddd")</f>
        <v>Saturday</v>
      </c>
      <c r="P1795">
        <f t="shared" si="168"/>
        <v>14</v>
      </c>
      <c r="Q1795" s="2">
        <f t="shared" ref="Q1795:Q1858" si="172">WEEKDAY(B1795,2)</f>
        <v>6</v>
      </c>
      <c r="R1795" s="2">
        <f t="shared" ref="R1795:R1858" si="173">MONTH(B1795)</f>
        <v>11</v>
      </c>
      <c r="S1795">
        <f>SUMIF(Table1[product_category],"Bakery",Table1[Total_bill])</f>
        <v>2951.25</v>
      </c>
    </row>
    <row r="1796" spans="1:19" x14ac:dyDescent="0.3">
      <c r="A1796" s="2">
        <v>11795</v>
      </c>
      <c r="B1796" s="4">
        <v>47426</v>
      </c>
      <c r="C1796" t="s">
        <v>1923</v>
      </c>
      <c r="D1796" t="s">
        <v>40</v>
      </c>
      <c r="E1796" t="s">
        <v>41</v>
      </c>
      <c r="F1796" t="s">
        <v>131</v>
      </c>
      <c r="G1796">
        <v>1</v>
      </c>
      <c r="H1796" s="5">
        <v>2.75</v>
      </c>
      <c r="I1796" t="s">
        <v>21</v>
      </c>
      <c r="J1796" t="s">
        <v>22</v>
      </c>
      <c r="K1796" t="s">
        <v>23</v>
      </c>
      <c r="L1796" t="s">
        <v>2125</v>
      </c>
      <c r="M1796" s="5">
        <f t="shared" si="169"/>
        <v>2.75</v>
      </c>
      <c r="N1796" t="str">
        <f t="shared" si="170"/>
        <v>November</v>
      </c>
      <c r="O1796" t="str">
        <f t="shared" si="171"/>
        <v>Sunday</v>
      </c>
      <c r="P1796">
        <f t="shared" si="168"/>
        <v>6</v>
      </c>
      <c r="Q1796" s="2">
        <f t="shared" si="172"/>
        <v>7</v>
      </c>
      <c r="R1796" s="2">
        <f t="shared" si="173"/>
        <v>11</v>
      </c>
      <c r="S1796">
        <f>SUMIF(Table1[product_category],"Bakery",Table1[Total_bill])</f>
        <v>2951.25</v>
      </c>
    </row>
    <row r="1797" spans="1:19" x14ac:dyDescent="0.3">
      <c r="A1797" s="2">
        <v>11796</v>
      </c>
      <c r="B1797" s="4">
        <v>47427</v>
      </c>
      <c r="C1797" t="s">
        <v>1924</v>
      </c>
      <c r="D1797" t="s">
        <v>25</v>
      </c>
      <c r="E1797" t="s">
        <v>26</v>
      </c>
      <c r="F1797" t="s">
        <v>133</v>
      </c>
      <c r="G1797">
        <v>4</v>
      </c>
      <c r="H1797" s="5">
        <v>11</v>
      </c>
      <c r="I1797" t="s">
        <v>98</v>
      </c>
      <c r="J1797" t="s">
        <v>98</v>
      </c>
      <c r="K1797" t="s">
        <v>215</v>
      </c>
      <c r="L1797" t="s">
        <v>2125</v>
      </c>
      <c r="M1797" s="5">
        <f t="shared" si="169"/>
        <v>44</v>
      </c>
      <c r="N1797" t="str">
        <f t="shared" si="170"/>
        <v>November</v>
      </c>
      <c r="O1797" t="str">
        <f t="shared" si="171"/>
        <v>Monday</v>
      </c>
      <c r="P1797">
        <f t="shared" si="168"/>
        <v>7</v>
      </c>
      <c r="Q1797" s="2">
        <f t="shared" si="172"/>
        <v>1</v>
      </c>
      <c r="R1797" s="2">
        <f t="shared" si="173"/>
        <v>11</v>
      </c>
      <c r="S1797">
        <f>SUMIF(Table1[product_category],"Bakery",Table1[Total_bill])</f>
        <v>2951.25</v>
      </c>
    </row>
    <row r="1798" spans="1:19" x14ac:dyDescent="0.3">
      <c r="A1798" s="2">
        <v>11797</v>
      </c>
      <c r="B1798" s="4">
        <v>47428</v>
      </c>
      <c r="C1798" t="s">
        <v>1925</v>
      </c>
      <c r="D1798" t="s">
        <v>40</v>
      </c>
      <c r="E1798" t="s">
        <v>41</v>
      </c>
      <c r="F1798" t="s">
        <v>135</v>
      </c>
      <c r="G1798">
        <v>3</v>
      </c>
      <c r="H1798" s="5">
        <v>14</v>
      </c>
      <c r="I1798" t="s">
        <v>101</v>
      </c>
      <c r="J1798" t="s">
        <v>102</v>
      </c>
      <c r="K1798" t="s">
        <v>193</v>
      </c>
      <c r="L1798" t="s">
        <v>2125</v>
      </c>
      <c r="M1798" s="5">
        <f t="shared" si="169"/>
        <v>42</v>
      </c>
      <c r="N1798" t="str">
        <f t="shared" si="170"/>
        <v>November</v>
      </c>
      <c r="O1798" t="str">
        <f t="shared" si="171"/>
        <v>Tuesday</v>
      </c>
      <c r="P1798">
        <f t="shared" si="168"/>
        <v>15</v>
      </c>
      <c r="Q1798" s="2">
        <f t="shared" si="172"/>
        <v>2</v>
      </c>
      <c r="R1798" s="2">
        <f t="shared" si="173"/>
        <v>11</v>
      </c>
      <c r="S1798">
        <f>SUMIF(Table1[product_category],"Bakery",Table1[Total_bill])</f>
        <v>2951.25</v>
      </c>
    </row>
    <row r="1799" spans="1:19" x14ac:dyDescent="0.3">
      <c r="A1799" s="2">
        <v>11798</v>
      </c>
      <c r="B1799" s="4">
        <v>47429</v>
      </c>
      <c r="C1799" t="s">
        <v>1926</v>
      </c>
      <c r="D1799" t="s">
        <v>18</v>
      </c>
      <c r="E1799" t="s">
        <v>19</v>
      </c>
      <c r="F1799" t="s">
        <v>137</v>
      </c>
      <c r="G1799">
        <v>1</v>
      </c>
      <c r="H1799" s="5">
        <v>3</v>
      </c>
      <c r="I1799" t="s">
        <v>36</v>
      </c>
      <c r="J1799" t="s">
        <v>37</v>
      </c>
      <c r="K1799" t="s">
        <v>62</v>
      </c>
      <c r="L1799" t="s">
        <v>2124</v>
      </c>
      <c r="M1799" s="5">
        <f t="shared" si="169"/>
        <v>3</v>
      </c>
      <c r="N1799" t="str">
        <f t="shared" si="170"/>
        <v>November</v>
      </c>
      <c r="O1799" t="str">
        <f t="shared" si="171"/>
        <v>Wednesday</v>
      </c>
      <c r="P1799">
        <f t="shared" si="168"/>
        <v>7</v>
      </c>
      <c r="Q1799" s="2">
        <f t="shared" si="172"/>
        <v>3</v>
      </c>
      <c r="R1799" s="2">
        <f t="shared" si="173"/>
        <v>11</v>
      </c>
      <c r="S1799">
        <f>SUMIF(Table1[product_category],"Bakery",Table1[Total_bill])</f>
        <v>2951.25</v>
      </c>
    </row>
    <row r="1800" spans="1:19" x14ac:dyDescent="0.3">
      <c r="A1800" s="2">
        <v>11799</v>
      </c>
      <c r="B1800" s="4">
        <v>47430</v>
      </c>
      <c r="C1800" t="s">
        <v>1927</v>
      </c>
      <c r="D1800" t="s">
        <v>40</v>
      </c>
      <c r="E1800" t="s">
        <v>41</v>
      </c>
      <c r="F1800" t="s">
        <v>140</v>
      </c>
      <c r="G1800">
        <v>1</v>
      </c>
      <c r="H1800" s="5">
        <v>4.5</v>
      </c>
      <c r="I1800" t="s">
        <v>32</v>
      </c>
      <c r="J1800" t="s">
        <v>33</v>
      </c>
      <c r="K1800" t="s">
        <v>33</v>
      </c>
      <c r="L1800" t="s">
        <v>2123</v>
      </c>
      <c r="M1800" s="5">
        <f t="shared" si="169"/>
        <v>4.5</v>
      </c>
      <c r="N1800" t="str">
        <f t="shared" si="170"/>
        <v>November</v>
      </c>
      <c r="O1800" t="str">
        <f t="shared" si="171"/>
        <v>Thursday</v>
      </c>
      <c r="P1800">
        <f t="shared" si="168"/>
        <v>7</v>
      </c>
      <c r="Q1800" s="2">
        <f t="shared" si="172"/>
        <v>4</v>
      </c>
      <c r="R1800" s="2">
        <f t="shared" si="173"/>
        <v>11</v>
      </c>
      <c r="S1800">
        <f>SUMIF(Table1[product_category],"Bakery",Table1[Total_bill])</f>
        <v>2951.25</v>
      </c>
    </row>
    <row r="1801" spans="1:19" x14ac:dyDescent="0.3">
      <c r="A1801" s="2">
        <v>11800</v>
      </c>
      <c r="B1801" s="4">
        <v>47431</v>
      </c>
      <c r="C1801" t="s">
        <v>1928</v>
      </c>
      <c r="D1801" t="s">
        <v>25</v>
      </c>
      <c r="E1801" t="s">
        <v>26</v>
      </c>
      <c r="F1801" t="s">
        <v>143</v>
      </c>
      <c r="G1801">
        <v>1</v>
      </c>
      <c r="H1801" s="5">
        <v>4.25</v>
      </c>
      <c r="I1801" t="s">
        <v>36</v>
      </c>
      <c r="J1801" t="s">
        <v>211</v>
      </c>
      <c r="K1801" t="s">
        <v>212</v>
      </c>
      <c r="L1801" t="s">
        <v>2123</v>
      </c>
      <c r="M1801" s="5">
        <f t="shared" si="169"/>
        <v>4.25</v>
      </c>
      <c r="N1801" t="str">
        <f t="shared" si="170"/>
        <v>November</v>
      </c>
      <c r="O1801" t="str">
        <f t="shared" si="171"/>
        <v>Friday</v>
      </c>
      <c r="P1801">
        <f t="shared" si="168"/>
        <v>6</v>
      </c>
      <c r="Q1801" s="2">
        <f t="shared" si="172"/>
        <v>5</v>
      </c>
      <c r="R1801" s="2">
        <f t="shared" si="173"/>
        <v>11</v>
      </c>
      <c r="S1801">
        <f>SUMIF(Table1[product_category],"Bakery",Table1[Total_bill])</f>
        <v>2951.25</v>
      </c>
    </row>
    <row r="1802" spans="1:19" x14ac:dyDescent="0.3">
      <c r="A1802" s="2">
        <v>11801</v>
      </c>
      <c r="B1802" s="4">
        <v>47432</v>
      </c>
      <c r="C1802" t="s">
        <v>1929</v>
      </c>
      <c r="D1802" t="s">
        <v>18</v>
      </c>
      <c r="E1802" t="s">
        <v>19</v>
      </c>
      <c r="F1802" t="s">
        <v>146</v>
      </c>
      <c r="G1802">
        <v>1</v>
      </c>
      <c r="H1802" s="5">
        <v>6</v>
      </c>
      <c r="I1802" t="s">
        <v>72</v>
      </c>
      <c r="J1802" t="s">
        <v>72</v>
      </c>
      <c r="K1802" t="s">
        <v>138</v>
      </c>
      <c r="L1802" t="s">
        <v>2125</v>
      </c>
      <c r="M1802" s="5">
        <f t="shared" si="169"/>
        <v>6</v>
      </c>
      <c r="N1802" t="str">
        <f t="shared" si="170"/>
        <v>November</v>
      </c>
      <c r="O1802" t="str">
        <f t="shared" si="171"/>
        <v>Saturday</v>
      </c>
      <c r="P1802">
        <f t="shared" si="168"/>
        <v>20</v>
      </c>
      <c r="Q1802" s="2">
        <f t="shared" si="172"/>
        <v>6</v>
      </c>
      <c r="R1802" s="2">
        <f t="shared" si="173"/>
        <v>11</v>
      </c>
      <c r="S1802">
        <f>SUMIF(Table1[product_category],"Bakery",Table1[Total_bill])</f>
        <v>2951.25</v>
      </c>
    </row>
    <row r="1803" spans="1:19" x14ac:dyDescent="0.3">
      <c r="A1803" s="2">
        <v>11802</v>
      </c>
      <c r="B1803" s="4">
        <v>47433</v>
      </c>
      <c r="C1803" t="s">
        <v>1930</v>
      </c>
      <c r="D1803" t="s">
        <v>18</v>
      </c>
      <c r="E1803" t="s">
        <v>19</v>
      </c>
      <c r="F1803" t="s">
        <v>148</v>
      </c>
      <c r="G1803">
        <v>4</v>
      </c>
      <c r="H1803" s="5">
        <v>4.75</v>
      </c>
      <c r="I1803" t="s">
        <v>32</v>
      </c>
      <c r="J1803" t="s">
        <v>122</v>
      </c>
      <c r="K1803" t="s">
        <v>122</v>
      </c>
      <c r="L1803" t="s">
        <v>2123</v>
      </c>
      <c r="M1803" s="5">
        <f t="shared" si="169"/>
        <v>19</v>
      </c>
      <c r="N1803" t="str">
        <f t="shared" si="170"/>
        <v>November</v>
      </c>
      <c r="O1803" t="str">
        <f t="shared" si="171"/>
        <v>Sunday</v>
      </c>
      <c r="P1803">
        <f t="shared" si="168"/>
        <v>15</v>
      </c>
      <c r="Q1803" s="2">
        <f t="shared" si="172"/>
        <v>7</v>
      </c>
      <c r="R1803" s="2">
        <f t="shared" si="173"/>
        <v>11</v>
      </c>
      <c r="S1803">
        <f>SUMIF(Table1[product_category],"Bakery",Table1[Total_bill])</f>
        <v>2951.25</v>
      </c>
    </row>
    <row r="1804" spans="1:19" x14ac:dyDescent="0.3">
      <c r="A1804" s="2">
        <v>11803</v>
      </c>
      <c r="B1804" s="4">
        <v>47434</v>
      </c>
      <c r="C1804" t="s">
        <v>1931</v>
      </c>
      <c r="D1804" t="s">
        <v>18</v>
      </c>
      <c r="E1804" t="s">
        <v>19</v>
      </c>
      <c r="F1804" t="s">
        <v>150</v>
      </c>
      <c r="G1804">
        <v>1</v>
      </c>
      <c r="H1804" s="5">
        <v>3.5</v>
      </c>
      <c r="I1804" t="s">
        <v>32</v>
      </c>
      <c r="J1804" t="s">
        <v>55</v>
      </c>
      <c r="K1804" t="s">
        <v>55</v>
      </c>
      <c r="L1804" t="s">
        <v>2124</v>
      </c>
      <c r="M1804" s="5">
        <f t="shared" si="169"/>
        <v>3.5</v>
      </c>
      <c r="N1804" t="str">
        <f t="shared" si="170"/>
        <v>November</v>
      </c>
      <c r="O1804" t="str">
        <f t="shared" si="171"/>
        <v>Monday</v>
      </c>
      <c r="P1804">
        <f t="shared" si="168"/>
        <v>10</v>
      </c>
      <c r="Q1804" s="2">
        <f t="shared" si="172"/>
        <v>1</v>
      </c>
      <c r="R1804" s="2">
        <f t="shared" si="173"/>
        <v>11</v>
      </c>
      <c r="S1804">
        <f>SUMIF(Table1[product_category],"Bakery",Table1[Total_bill])</f>
        <v>2951.25</v>
      </c>
    </row>
    <row r="1805" spans="1:19" x14ac:dyDescent="0.3">
      <c r="A1805" s="2">
        <v>11804</v>
      </c>
      <c r="B1805" s="4">
        <v>47435</v>
      </c>
      <c r="C1805" t="s">
        <v>1932</v>
      </c>
      <c r="D1805" t="s">
        <v>18</v>
      </c>
      <c r="E1805" t="s">
        <v>19</v>
      </c>
      <c r="F1805" t="s">
        <v>152</v>
      </c>
      <c r="G1805">
        <v>4</v>
      </c>
      <c r="H1805" s="5">
        <v>2.75</v>
      </c>
      <c r="I1805" t="s">
        <v>32</v>
      </c>
      <c r="J1805" t="s">
        <v>43</v>
      </c>
      <c r="K1805" t="s">
        <v>44</v>
      </c>
      <c r="L1805" t="s">
        <v>2123</v>
      </c>
      <c r="M1805" s="5">
        <f t="shared" si="169"/>
        <v>11</v>
      </c>
      <c r="N1805" t="str">
        <f t="shared" si="170"/>
        <v>November</v>
      </c>
      <c r="O1805" t="str">
        <f t="shared" si="171"/>
        <v>Tuesday</v>
      </c>
      <c r="P1805">
        <f t="shared" si="168"/>
        <v>9</v>
      </c>
      <c r="Q1805" s="2">
        <f t="shared" si="172"/>
        <v>2</v>
      </c>
      <c r="R1805" s="2">
        <f t="shared" si="173"/>
        <v>11</v>
      </c>
      <c r="S1805">
        <f>SUMIF(Table1[product_category],"Bakery",Table1[Total_bill])</f>
        <v>2951.25</v>
      </c>
    </row>
    <row r="1806" spans="1:19" x14ac:dyDescent="0.3">
      <c r="A1806" s="2">
        <v>11805</v>
      </c>
      <c r="B1806" s="4">
        <v>47436</v>
      </c>
      <c r="C1806" t="s">
        <v>1933</v>
      </c>
      <c r="D1806" t="s">
        <v>40</v>
      </c>
      <c r="E1806" t="s">
        <v>41</v>
      </c>
      <c r="F1806" t="s">
        <v>154</v>
      </c>
      <c r="G1806">
        <v>4</v>
      </c>
      <c r="H1806" s="5">
        <v>3</v>
      </c>
      <c r="I1806" t="s">
        <v>36</v>
      </c>
      <c r="J1806" t="s">
        <v>246</v>
      </c>
      <c r="K1806" t="s">
        <v>247</v>
      </c>
      <c r="L1806" t="s">
        <v>2124</v>
      </c>
      <c r="M1806" s="5">
        <f t="shared" si="169"/>
        <v>12</v>
      </c>
      <c r="N1806" t="str">
        <f t="shared" si="170"/>
        <v>November</v>
      </c>
      <c r="O1806" t="str">
        <f t="shared" si="171"/>
        <v>Wednesday</v>
      </c>
      <c r="P1806">
        <f t="shared" si="168"/>
        <v>9</v>
      </c>
      <c r="Q1806" s="2">
        <f t="shared" si="172"/>
        <v>3</v>
      </c>
      <c r="R1806" s="2">
        <f t="shared" si="173"/>
        <v>11</v>
      </c>
      <c r="S1806">
        <f>SUMIF(Table1[product_category],"Bakery",Table1[Total_bill])</f>
        <v>2951.25</v>
      </c>
    </row>
    <row r="1807" spans="1:19" x14ac:dyDescent="0.3">
      <c r="A1807" s="2">
        <v>11806</v>
      </c>
      <c r="B1807" s="4">
        <v>47437</v>
      </c>
      <c r="C1807" t="s">
        <v>1934</v>
      </c>
      <c r="D1807" t="s">
        <v>18</v>
      </c>
      <c r="E1807" t="s">
        <v>19</v>
      </c>
      <c r="F1807" t="s">
        <v>156</v>
      </c>
      <c r="G1807">
        <v>1</v>
      </c>
      <c r="H1807" s="5">
        <v>2.5</v>
      </c>
      <c r="I1807" t="s">
        <v>36</v>
      </c>
      <c r="J1807" t="s">
        <v>37</v>
      </c>
      <c r="K1807" t="s">
        <v>62</v>
      </c>
      <c r="L1807" t="s">
        <v>2122</v>
      </c>
      <c r="M1807" s="5">
        <f t="shared" si="169"/>
        <v>2.5</v>
      </c>
      <c r="N1807" t="str">
        <f t="shared" si="170"/>
        <v>November</v>
      </c>
      <c r="O1807" t="str">
        <f t="shared" si="171"/>
        <v>Thursday</v>
      </c>
      <c r="P1807">
        <f t="shared" si="168"/>
        <v>15</v>
      </c>
      <c r="Q1807" s="2">
        <f t="shared" si="172"/>
        <v>4</v>
      </c>
      <c r="R1807" s="2">
        <f t="shared" si="173"/>
        <v>11</v>
      </c>
      <c r="S1807">
        <f>SUMIF(Table1[product_category],"Bakery",Table1[Total_bill])</f>
        <v>2951.25</v>
      </c>
    </row>
    <row r="1808" spans="1:19" x14ac:dyDescent="0.3">
      <c r="A1808" s="2">
        <v>11807</v>
      </c>
      <c r="B1808" s="4">
        <v>47438</v>
      </c>
      <c r="C1808" t="s">
        <v>1935</v>
      </c>
      <c r="D1808" t="s">
        <v>18</v>
      </c>
      <c r="E1808" t="s">
        <v>19</v>
      </c>
      <c r="F1808" t="s">
        <v>158</v>
      </c>
      <c r="G1808">
        <v>1</v>
      </c>
      <c r="H1808" s="5">
        <v>3.5</v>
      </c>
      <c r="I1808" t="s">
        <v>21</v>
      </c>
      <c r="J1808" t="s">
        <v>51</v>
      </c>
      <c r="K1808" t="s">
        <v>52</v>
      </c>
      <c r="L1808" t="s">
        <v>2125</v>
      </c>
      <c r="M1808" s="5">
        <f t="shared" si="169"/>
        <v>3.5</v>
      </c>
      <c r="N1808" t="str">
        <f t="shared" si="170"/>
        <v>November</v>
      </c>
      <c r="O1808" t="str">
        <f t="shared" si="171"/>
        <v>Friday</v>
      </c>
      <c r="P1808">
        <f t="shared" si="168"/>
        <v>14</v>
      </c>
      <c r="Q1808" s="2">
        <f t="shared" si="172"/>
        <v>5</v>
      </c>
      <c r="R1808" s="2">
        <f t="shared" si="173"/>
        <v>11</v>
      </c>
      <c r="S1808">
        <f>SUMIF(Table1[product_category],"Bakery",Table1[Total_bill])</f>
        <v>2951.25</v>
      </c>
    </row>
    <row r="1809" spans="1:19" x14ac:dyDescent="0.3">
      <c r="A1809" s="2">
        <v>11808</v>
      </c>
      <c r="B1809" s="4">
        <v>47439</v>
      </c>
      <c r="C1809" t="s">
        <v>1936</v>
      </c>
      <c r="D1809" t="s">
        <v>25</v>
      </c>
      <c r="E1809" t="s">
        <v>26</v>
      </c>
      <c r="F1809" t="s">
        <v>160</v>
      </c>
      <c r="G1809">
        <v>1</v>
      </c>
      <c r="H1809" s="5">
        <v>2.25</v>
      </c>
      <c r="I1809" t="s">
        <v>21</v>
      </c>
      <c r="J1809" t="s">
        <v>58</v>
      </c>
      <c r="K1809" t="s">
        <v>59</v>
      </c>
      <c r="L1809" t="s">
        <v>2125</v>
      </c>
      <c r="M1809" s="5">
        <f t="shared" si="169"/>
        <v>2.25</v>
      </c>
      <c r="N1809" t="str">
        <f t="shared" si="170"/>
        <v>November</v>
      </c>
      <c r="O1809" t="str">
        <f t="shared" si="171"/>
        <v>Saturday</v>
      </c>
      <c r="P1809">
        <f t="shared" si="168"/>
        <v>8</v>
      </c>
      <c r="Q1809" s="2">
        <f t="shared" si="172"/>
        <v>6</v>
      </c>
      <c r="R1809" s="2">
        <f t="shared" si="173"/>
        <v>11</v>
      </c>
      <c r="S1809">
        <f>SUMIF(Table1[product_category],"Bakery",Table1[Total_bill])</f>
        <v>2951.25</v>
      </c>
    </row>
    <row r="1810" spans="1:19" x14ac:dyDescent="0.3">
      <c r="A1810" s="2">
        <v>11809</v>
      </c>
      <c r="B1810" s="4">
        <v>47440</v>
      </c>
      <c r="C1810" t="s">
        <v>1937</v>
      </c>
      <c r="D1810" t="s">
        <v>25</v>
      </c>
      <c r="E1810" t="s">
        <v>26</v>
      </c>
      <c r="F1810" t="s">
        <v>162</v>
      </c>
      <c r="G1810">
        <v>1</v>
      </c>
      <c r="H1810" s="5">
        <v>9.5</v>
      </c>
      <c r="I1810" t="s">
        <v>28</v>
      </c>
      <c r="J1810" t="s">
        <v>28</v>
      </c>
      <c r="K1810" t="s">
        <v>29</v>
      </c>
      <c r="L1810" t="s">
        <v>2125</v>
      </c>
      <c r="M1810" s="5">
        <f t="shared" si="169"/>
        <v>9.5</v>
      </c>
      <c r="N1810" t="str">
        <f t="shared" si="170"/>
        <v>November</v>
      </c>
      <c r="O1810" t="str">
        <f t="shared" si="171"/>
        <v>Sunday</v>
      </c>
      <c r="P1810">
        <f t="shared" si="168"/>
        <v>8</v>
      </c>
      <c r="Q1810" s="2">
        <f t="shared" si="172"/>
        <v>7</v>
      </c>
      <c r="R1810" s="2">
        <f t="shared" si="173"/>
        <v>11</v>
      </c>
      <c r="S1810">
        <f>SUMIF(Table1[product_category],"Bakery",Table1[Total_bill])</f>
        <v>2951.25</v>
      </c>
    </row>
    <row r="1811" spans="1:19" x14ac:dyDescent="0.3">
      <c r="A1811" s="2">
        <v>11810</v>
      </c>
      <c r="B1811" s="4">
        <v>47441</v>
      </c>
      <c r="C1811" t="s">
        <v>1938</v>
      </c>
      <c r="D1811" t="s">
        <v>40</v>
      </c>
      <c r="E1811" t="s">
        <v>41</v>
      </c>
      <c r="F1811" t="s">
        <v>164</v>
      </c>
      <c r="G1811">
        <v>1</v>
      </c>
      <c r="H1811" s="5">
        <v>4</v>
      </c>
      <c r="I1811" t="s">
        <v>36</v>
      </c>
      <c r="J1811" t="s">
        <v>110</v>
      </c>
      <c r="K1811" t="s">
        <v>110</v>
      </c>
      <c r="L1811" t="s">
        <v>2122</v>
      </c>
      <c r="M1811" s="5">
        <f t="shared" si="169"/>
        <v>4</v>
      </c>
      <c r="N1811" t="str">
        <f t="shared" si="170"/>
        <v>November</v>
      </c>
      <c r="O1811" t="str">
        <f t="shared" si="171"/>
        <v>Monday</v>
      </c>
      <c r="P1811">
        <f t="shared" si="168"/>
        <v>7</v>
      </c>
      <c r="Q1811" s="2">
        <f t="shared" si="172"/>
        <v>1</v>
      </c>
      <c r="R1811" s="2">
        <f t="shared" si="173"/>
        <v>11</v>
      </c>
      <c r="S1811">
        <f>SUMIF(Table1[product_category],"Bakery",Table1[Total_bill])</f>
        <v>2951.25</v>
      </c>
    </row>
    <row r="1812" spans="1:19" x14ac:dyDescent="0.3">
      <c r="A1812" s="2">
        <v>11811</v>
      </c>
      <c r="B1812" s="4">
        <v>47442</v>
      </c>
      <c r="C1812" t="s">
        <v>1939</v>
      </c>
      <c r="D1812" t="s">
        <v>25</v>
      </c>
      <c r="E1812" t="s">
        <v>26</v>
      </c>
      <c r="F1812" t="s">
        <v>166</v>
      </c>
      <c r="G1812">
        <v>1</v>
      </c>
      <c r="H1812" s="5">
        <v>3.25</v>
      </c>
      <c r="I1812" t="s">
        <v>21</v>
      </c>
      <c r="J1812" t="s">
        <v>81</v>
      </c>
      <c r="K1812" t="s">
        <v>113</v>
      </c>
      <c r="L1812" t="s">
        <v>2125</v>
      </c>
      <c r="M1812" s="5">
        <f t="shared" si="169"/>
        <v>3.25</v>
      </c>
      <c r="N1812" t="str">
        <f t="shared" si="170"/>
        <v>November</v>
      </c>
      <c r="O1812" t="str">
        <f t="shared" si="171"/>
        <v>Tuesday</v>
      </c>
      <c r="P1812">
        <f t="shared" si="168"/>
        <v>14</v>
      </c>
      <c r="Q1812" s="2">
        <f t="shared" si="172"/>
        <v>2</v>
      </c>
      <c r="R1812" s="2">
        <f t="shared" si="173"/>
        <v>11</v>
      </c>
      <c r="S1812">
        <f>SUMIF(Table1[product_category],"Bakery",Table1[Total_bill])</f>
        <v>2951.25</v>
      </c>
    </row>
    <row r="1813" spans="1:19" x14ac:dyDescent="0.3">
      <c r="A1813" s="2">
        <v>11812</v>
      </c>
      <c r="B1813" s="4">
        <v>47443</v>
      </c>
      <c r="C1813" t="s">
        <v>1940</v>
      </c>
      <c r="D1813" t="s">
        <v>40</v>
      </c>
      <c r="E1813" t="s">
        <v>41</v>
      </c>
      <c r="F1813" t="s">
        <v>168</v>
      </c>
      <c r="G1813">
        <v>1</v>
      </c>
      <c r="H1813" s="5">
        <v>4</v>
      </c>
      <c r="I1813" t="s">
        <v>32</v>
      </c>
      <c r="J1813" t="s">
        <v>94</v>
      </c>
      <c r="K1813" t="s">
        <v>95</v>
      </c>
      <c r="L1813" t="s">
        <v>2124</v>
      </c>
      <c r="M1813" s="5">
        <f t="shared" si="169"/>
        <v>4</v>
      </c>
      <c r="N1813" t="str">
        <f t="shared" si="170"/>
        <v>November</v>
      </c>
      <c r="O1813" t="str">
        <f t="shared" si="171"/>
        <v>Wednesday</v>
      </c>
      <c r="P1813">
        <f t="shared" si="168"/>
        <v>15</v>
      </c>
      <c r="Q1813" s="2">
        <f t="shared" si="172"/>
        <v>3</v>
      </c>
      <c r="R1813" s="2">
        <f t="shared" si="173"/>
        <v>11</v>
      </c>
      <c r="S1813">
        <f>SUMIF(Table1[product_category],"Bakery",Table1[Total_bill])</f>
        <v>2951.25</v>
      </c>
    </row>
    <row r="1814" spans="1:19" x14ac:dyDescent="0.3">
      <c r="A1814" s="2">
        <v>11813</v>
      </c>
      <c r="B1814" s="4">
        <v>47444</v>
      </c>
      <c r="C1814" t="s">
        <v>1941</v>
      </c>
      <c r="D1814" t="s">
        <v>40</v>
      </c>
      <c r="E1814" t="s">
        <v>41</v>
      </c>
      <c r="F1814" t="s">
        <v>170</v>
      </c>
      <c r="G1814">
        <v>1</v>
      </c>
      <c r="H1814" s="5">
        <v>3.5</v>
      </c>
      <c r="I1814" t="s">
        <v>21</v>
      </c>
      <c r="J1814" t="s">
        <v>51</v>
      </c>
      <c r="K1814" t="s">
        <v>52</v>
      </c>
      <c r="L1814" t="s">
        <v>2125</v>
      </c>
      <c r="M1814" s="5">
        <f t="shared" si="169"/>
        <v>3.5</v>
      </c>
      <c r="N1814" t="str">
        <f t="shared" si="170"/>
        <v>November</v>
      </c>
      <c r="O1814" t="str">
        <f t="shared" si="171"/>
        <v>Thursday</v>
      </c>
      <c r="P1814">
        <f t="shared" si="168"/>
        <v>9</v>
      </c>
      <c r="Q1814" s="2">
        <f t="shared" si="172"/>
        <v>4</v>
      </c>
      <c r="R1814" s="2">
        <f t="shared" si="173"/>
        <v>11</v>
      </c>
      <c r="S1814">
        <f>SUMIF(Table1[product_category],"Bakery",Table1[Total_bill])</f>
        <v>2951.25</v>
      </c>
    </row>
    <row r="1815" spans="1:19" x14ac:dyDescent="0.3">
      <c r="A1815" s="2">
        <v>11814</v>
      </c>
      <c r="B1815" s="4">
        <v>47445</v>
      </c>
      <c r="C1815" t="s">
        <v>1942</v>
      </c>
      <c r="D1815" t="s">
        <v>18</v>
      </c>
      <c r="E1815" t="s">
        <v>19</v>
      </c>
      <c r="F1815" t="s">
        <v>172</v>
      </c>
      <c r="G1815">
        <v>3</v>
      </c>
      <c r="H1815" s="5">
        <v>3.75</v>
      </c>
      <c r="I1815" t="s">
        <v>36</v>
      </c>
      <c r="J1815" t="s">
        <v>211</v>
      </c>
      <c r="K1815" t="s">
        <v>239</v>
      </c>
      <c r="L1815" t="s">
        <v>2124</v>
      </c>
      <c r="M1815" s="5">
        <f t="shared" si="169"/>
        <v>11.25</v>
      </c>
      <c r="N1815" t="str">
        <f t="shared" si="170"/>
        <v>November</v>
      </c>
      <c r="O1815" t="str">
        <f t="shared" si="171"/>
        <v>Friday</v>
      </c>
      <c r="P1815">
        <f t="shared" si="168"/>
        <v>6</v>
      </c>
      <c r="Q1815" s="2">
        <f t="shared" si="172"/>
        <v>5</v>
      </c>
      <c r="R1815" s="2">
        <f t="shared" si="173"/>
        <v>11</v>
      </c>
      <c r="S1815">
        <f>SUMIF(Table1[product_category],"Bakery",Table1[Total_bill])</f>
        <v>2951.25</v>
      </c>
    </row>
    <row r="1816" spans="1:19" x14ac:dyDescent="0.3">
      <c r="A1816" s="2">
        <v>11815</v>
      </c>
      <c r="B1816" s="4">
        <v>47446</v>
      </c>
      <c r="C1816" t="s">
        <v>1943</v>
      </c>
      <c r="D1816" t="s">
        <v>40</v>
      </c>
      <c r="E1816" t="s">
        <v>41</v>
      </c>
      <c r="F1816" t="s">
        <v>174</v>
      </c>
      <c r="G1816">
        <v>2</v>
      </c>
      <c r="H1816" s="5">
        <v>2.5</v>
      </c>
      <c r="I1816" t="s">
        <v>36</v>
      </c>
      <c r="J1816" t="s">
        <v>37</v>
      </c>
      <c r="K1816" t="s">
        <v>38</v>
      </c>
      <c r="L1816" t="s">
        <v>2122</v>
      </c>
      <c r="M1816" s="5">
        <f t="shared" si="169"/>
        <v>5</v>
      </c>
      <c r="N1816" t="str">
        <f t="shared" si="170"/>
        <v>November</v>
      </c>
      <c r="O1816" t="str">
        <f t="shared" si="171"/>
        <v>Saturday</v>
      </c>
      <c r="P1816">
        <f t="shared" si="168"/>
        <v>7</v>
      </c>
      <c r="Q1816" s="2">
        <f t="shared" si="172"/>
        <v>6</v>
      </c>
      <c r="R1816" s="2">
        <f t="shared" si="173"/>
        <v>11</v>
      </c>
      <c r="S1816">
        <f>SUMIF(Table1[product_category],"Bakery",Table1[Total_bill])</f>
        <v>2951.25</v>
      </c>
    </row>
    <row r="1817" spans="1:19" x14ac:dyDescent="0.3">
      <c r="A1817" s="2">
        <v>11816</v>
      </c>
      <c r="B1817" s="4">
        <v>47447</v>
      </c>
      <c r="C1817" t="s">
        <v>1944</v>
      </c>
      <c r="D1817" t="s">
        <v>40</v>
      </c>
      <c r="E1817" t="s">
        <v>41</v>
      </c>
      <c r="F1817" t="s">
        <v>176</v>
      </c>
      <c r="G1817">
        <v>3</v>
      </c>
      <c r="H1817" s="5">
        <v>1.75</v>
      </c>
      <c r="I1817" t="s">
        <v>32</v>
      </c>
      <c r="J1817" t="s">
        <v>43</v>
      </c>
      <c r="K1817" t="s">
        <v>44</v>
      </c>
      <c r="L1817" t="s">
        <v>2122</v>
      </c>
      <c r="M1817" s="5">
        <f t="shared" si="169"/>
        <v>5.25</v>
      </c>
      <c r="N1817" t="str">
        <f t="shared" si="170"/>
        <v>November</v>
      </c>
      <c r="O1817" t="str">
        <f t="shared" si="171"/>
        <v>Sunday</v>
      </c>
      <c r="P1817">
        <f t="shared" si="168"/>
        <v>20</v>
      </c>
      <c r="Q1817" s="2">
        <f t="shared" si="172"/>
        <v>7</v>
      </c>
      <c r="R1817" s="2">
        <f t="shared" si="173"/>
        <v>11</v>
      </c>
      <c r="S1817">
        <f>SUMIF(Table1[product_category],"Bakery",Table1[Total_bill])</f>
        <v>2951.25</v>
      </c>
    </row>
    <row r="1818" spans="1:19" x14ac:dyDescent="0.3">
      <c r="A1818" s="2">
        <v>11817</v>
      </c>
      <c r="B1818" s="4">
        <v>47448</v>
      </c>
      <c r="C1818" t="s">
        <v>1945</v>
      </c>
      <c r="D1818" t="s">
        <v>40</v>
      </c>
      <c r="E1818" t="s">
        <v>41</v>
      </c>
      <c r="F1818" t="s">
        <v>178</v>
      </c>
      <c r="G1818">
        <v>3</v>
      </c>
      <c r="H1818" s="5">
        <v>3.25</v>
      </c>
      <c r="I1818" t="s">
        <v>21</v>
      </c>
      <c r="J1818" t="s">
        <v>81</v>
      </c>
      <c r="K1818" t="s">
        <v>113</v>
      </c>
      <c r="L1818" t="s">
        <v>2125</v>
      </c>
      <c r="M1818" s="5">
        <f t="shared" si="169"/>
        <v>9.75</v>
      </c>
      <c r="N1818" t="str">
        <f t="shared" si="170"/>
        <v>November</v>
      </c>
      <c r="O1818" t="str">
        <f t="shared" si="171"/>
        <v>Monday</v>
      </c>
      <c r="P1818">
        <f t="shared" si="168"/>
        <v>9</v>
      </c>
      <c r="Q1818" s="2">
        <f t="shared" si="172"/>
        <v>1</v>
      </c>
      <c r="R1818" s="2">
        <f t="shared" si="173"/>
        <v>11</v>
      </c>
      <c r="S1818">
        <f>SUMIF(Table1[product_category],"Bakery",Table1[Total_bill])</f>
        <v>2951.25</v>
      </c>
    </row>
    <row r="1819" spans="1:19" x14ac:dyDescent="0.3">
      <c r="A1819" s="2">
        <v>11818</v>
      </c>
      <c r="B1819" s="4">
        <v>47449</v>
      </c>
      <c r="C1819" t="s">
        <v>1946</v>
      </c>
      <c r="D1819" t="s">
        <v>18</v>
      </c>
      <c r="E1819" t="s">
        <v>19</v>
      </c>
      <c r="F1819" t="s">
        <v>180</v>
      </c>
      <c r="G1819">
        <v>1</v>
      </c>
      <c r="H1819" s="5">
        <v>2.75</v>
      </c>
      <c r="I1819" t="s">
        <v>21</v>
      </c>
      <c r="J1819" t="s">
        <v>22</v>
      </c>
      <c r="K1819" t="s">
        <v>23</v>
      </c>
      <c r="L1819" t="s">
        <v>2125</v>
      </c>
      <c r="M1819" s="5">
        <f t="shared" si="169"/>
        <v>2.75</v>
      </c>
      <c r="N1819" t="str">
        <f t="shared" si="170"/>
        <v>November</v>
      </c>
      <c r="O1819" t="str">
        <f t="shared" si="171"/>
        <v>Tuesday</v>
      </c>
      <c r="P1819">
        <f t="shared" si="168"/>
        <v>15</v>
      </c>
      <c r="Q1819" s="2">
        <f t="shared" si="172"/>
        <v>2</v>
      </c>
      <c r="R1819" s="2">
        <f t="shared" si="173"/>
        <v>11</v>
      </c>
      <c r="S1819">
        <f>SUMIF(Table1[product_category],"Bakery",Table1[Total_bill])</f>
        <v>2951.25</v>
      </c>
    </row>
    <row r="1820" spans="1:19" x14ac:dyDescent="0.3">
      <c r="A1820" s="2">
        <v>11819</v>
      </c>
      <c r="B1820" s="4">
        <v>47450</v>
      </c>
      <c r="C1820" t="s">
        <v>1947</v>
      </c>
      <c r="D1820" t="s">
        <v>40</v>
      </c>
      <c r="E1820" t="s">
        <v>41</v>
      </c>
      <c r="F1820" t="s">
        <v>184</v>
      </c>
      <c r="G1820">
        <v>3</v>
      </c>
      <c r="H1820" s="5">
        <v>3.25</v>
      </c>
      <c r="I1820" t="s">
        <v>36</v>
      </c>
      <c r="J1820" t="s">
        <v>211</v>
      </c>
      <c r="K1820" t="s">
        <v>212</v>
      </c>
      <c r="L1820" t="s">
        <v>2122</v>
      </c>
      <c r="M1820" s="5">
        <f t="shared" si="169"/>
        <v>9.75</v>
      </c>
      <c r="N1820" t="str">
        <f t="shared" si="170"/>
        <v>November</v>
      </c>
      <c r="O1820" t="str">
        <f t="shared" si="171"/>
        <v>Wednesday</v>
      </c>
      <c r="P1820">
        <f t="shared" si="168"/>
        <v>13</v>
      </c>
      <c r="Q1820" s="2">
        <f t="shared" si="172"/>
        <v>3</v>
      </c>
      <c r="R1820" s="2">
        <f t="shared" si="173"/>
        <v>11</v>
      </c>
      <c r="S1820">
        <f>SUMIF(Table1[product_category],"Bakery",Table1[Total_bill])</f>
        <v>2951.25</v>
      </c>
    </row>
    <row r="1821" spans="1:19" x14ac:dyDescent="0.3">
      <c r="A1821" s="2">
        <v>11820</v>
      </c>
      <c r="B1821" s="4">
        <v>47451</v>
      </c>
      <c r="C1821" t="s">
        <v>1948</v>
      </c>
      <c r="D1821" t="s">
        <v>18</v>
      </c>
      <c r="E1821" t="s">
        <v>19</v>
      </c>
      <c r="F1821" t="s">
        <v>186</v>
      </c>
      <c r="G1821">
        <v>2</v>
      </c>
      <c r="H1821" s="5">
        <v>2.5</v>
      </c>
      <c r="I1821" t="s">
        <v>36</v>
      </c>
      <c r="J1821" t="s">
        <v>37</v>
      </c>
      <c r="K1821" t="s">
        <v>38</v>
      </c>
      <c r="L1821" t="s">
        <v>2122</v>
      </c>
      <c r="M1821" s="5">
        <f t="shared" si="169"/>
        <v>5</v>
      </c>
      <c r="N1821" t="str">
        <f t="shared" si="170"/>
        <v>November</v>
      </c>
      <c r="O1821" t="str">
        <f t="shared" si="171"/>
        <v>Thursday</v>
      </c>
      <c r="P1821">
        <f t="shared" si="168"/>
        <v>10</v>
      </c>
      <c r="Q1821" s="2">
        <f t="shared" si="172"/>
        <v>4</v>
      </c>
      <c r="R1821" s="2">
        <f t="shared" si="173"/>
        <v>11</v>
      </c>
      <c r="S1821">
        <f>SUMIF(Table1[product_category],"Bakery",Table1[Total_bill])</f>
        <v>2951.25</v>
      </c>
    </row>
    <row r="1822" spans="1:19" x14ac:dyDescent="0.3">
      <c r="A1822" s="2">
        <v>11821</v>
      </c>
      <c r="B1822" s="4">
        <v>47452</v>
      </c>
      <c r="C1822" t="s">
        <v>526</v>
      </c>
      <c r="D1822" t="s">
        <v>40</v>
      </c>
      <c r="E1822" t="s">
        <v>41</v>
      </c>
      <c r="F1822" t="s">
        <v>188</v>
      </c>
      <c r="G1822">
        <v>3</v>
      </c>
      <c r="H1822" s="5">
        <v>11</v>
      </c>
      <c r="I1822" t="s">
        <v>98</v>
      </c>
      <c r="J1822" t="s">
        <v>98</v>
      </c>
      <c r="K1822" t="s">
        <v>215</v>
      </c>
      <c r="L1822" t="s">
        <v>2125</v>
      </c>
      <c r="M1822" s="5">
        <f t="shared" si="169"/>
        <v>33</v>
      </c>
      <c r="N1822" t="str">
        <f t="shared" si="170"/>
        <v>November</v>
      </c>
      <c r="O1822" t="str">
        <f t="shared" si="171"/>
        <v>Friday</v>
      </c>
      <c r="P1822">
        <f t="shared" si="168"/>
        <v>8</v>
      </c>
      <c r="Q1822" s="2">
        <f t="shared" si="172"/>
        <v>5</v>
      </c>
      <c r="R1822" s="2">
        <f t="shared" si="173"/>
        <v>11</v>
      </c>
      <c r="S1822">
        <f>SUMIF(Table1[product_category],"Bakery",Table1[Total_bill])</f>
        <v>2951.25</v>
      </c>
    </row>
    <row r="1823" spans="1:19" x14ac:dyDescent="0.3">
      <c r="A1823" s="2">
        <v>11822</v>
      </c>
      <c r="B1823" s="4">
        <v>47453</v>
      </c>
      <c r="C1823" t="s">
        <v>1949</v>
      </c>
      <c r="D1823" t="s">
        <v>25</v>
      </c>
      <c r="E1823" t="s">
        <v>26</v>
      </c>
      <c r="F1823" t="s">
        <v>190</v>
      </c>
      <c r="G1823">
        <v>3</v>
      </c>
      <c r="H1823" s="5">
        <v>5.5</v>
      </c>
      <c r="I1823" t="s">
        <v>72</v>
      </c>
      <c r="J1823" t="s">
        <v>72</v>
      </c>
      <c r="K1823" t="s">
        <v>141</v>
      </c>
      <c r="L1823" t="s">
        <v>2125</v>
      </c>
      <c r="M1823" s="5">
        <f t="shared" si="169"/>
        <v>16.5</v>
      </c>
      <c r="N1823" t="str">
        <f t="shared" si="170"/>
        <v>December</v>
      </c>
      <c r="O1823" t="str">
        <f t="shared" si="171"/>
        <v>Saturday</v>
      </c>
      <c r="P1823">
        <f t="shared" si="168"/>
        <v>7</v>
      </c>
      <c r="Q1823" s="2">
        <f t="shared" si="172"/>
        <v>6</v>
      </c>
      <c r="R1823" s="2">
        <f t="shared" si="173"/>
        <v>12</v>
      </c>
      <c r="S1823">
        <f>SUMIF(Table1[product_category],"Bakery",Table1[Total_bill])</f>
        <v>2951.25</v>
      </c>
    </row>
    <row r="1824" spans="1:19" x14ac:dyDescent="0.3">
      <c r="A1824" s="2">
        <v>11823</v>
      </c>
      <c r="B1824" s="4">
        <v>47454</v>
      </c>
      <c r="C1824" t="s">
        <v>1950</v>
      </c>
      <c r="D1824" t="s">
        <v>18</v>
      </c>
      <c r="E1824" t="s">
        <v>19</v>
      </c>
      <c r="F1824" t="s">
        <v>192</v>
      </c>
      <c r="G1824">
        <v>2</v>
      </c>
      <c r="H1824" s="5">
        <v>6</v>
      </c>
      <c r="I1824" t="s">
        <v>72</v>
      </c>
      <c r="J1824" t="s">
        <v>72</v>
      </c>
      <c r="K1824" t="s">
        <v>138</v>
      </c>
      <c r="L1824" t="s">
        <v>2125</v>
      </c>
      <c r="M1824" s="5">
        <f t="shared" si="169"/>
        <v>12</v>
      </c>
      <c r="N1824" t="str">
        <f t="shared" si="170"/>
        <v>December</v>
      </c>
      <c r="O1824" t="str">
        <f t="shared" si="171"/>
        <v>Sunday</v>
      </c>
      <c r="P1824">
        <f t="shared" si="168"/>
        <v>13</v>
      </c>
      <c r="Q1824" s="2">
        <f t="shared" si="172"/>
        <v>7</v>
      </c>
      <c r="R1824" s="2">
        <f t="shared" si="173"/>
        <v>12</v>
      </c>
      <c r="S1824">
        <f>SUMIF(Table1[product_category],"Bakery",Table1[Total_bill])</f>
        <v>2951.25</v>
      </c>
    </row>
    <row r="1825" spans="1:19" x14ac:dyDescent="0.3">
      <c r="A1825" s="2">
        <v>11824</v>
      </c>
      <c r="B1825" s="4">
        <v>47455</v>
      </c>
      <c r="C1825" t="s">
        <v>1951</v>
      </c>
      <c r="D1825" t="s">
        <v>40</v>
      </c>
      <c r="E1825" t="s">
        <v>41</v>
      </c>
      <c r="F1825" t="s">
        <v>195</v>
      </c>
      <c r="G1825">
        <v>4</v>
      </c>
      <c r="H1825" s="5">
        <v>14</v>
      </c>
      <c r="I1825" t="s">
        <v>101</v>
      </c>
      <c r="J1825" t="s">
        <v>102</v>
      </c>
      <c r="K1825" t="s">
        <v>193</v>
      </c>
      <c r="L1825" t="s">
        <v>2125</v>
      </c>
      <c r="M1825" s="5">
        <f t="shared" si="169"/>
        <v>56</v>
      </c>
      <c r="N1825" t="str">
        <f t="shared" si="170"/>
        <v>December</v>
      </c>
      <c r="O1825" t="str">
        <f t="shared" si="171"/>
        <v>Monday</v>
      </c>
      <c r="P1825">
        <f t="shared" si="168"/>
        <v>15</v>
      </c>
      <c r="Q1825" s="2">
        <f t="shared" si="172"/>
        <v>1</v>
      </c>
      <c r="R1825" s="2">
        <f t="shared" si="173"/>
        <v>12</v>
      </c>
      <c r="S1825">
        <f>SUMIF(Table1[product_category],"Bakery",Table1[Total_bill])</f>
        <v>2951.25</v>
      </c>
    </row>
    <row r="1826" spans="1:19" x14ac:dyDescent="0.3">
      <c r="A1826" s="2">
        <v>11825</v>
      </c>
      <c r="B1826" s="4">
        <v>47456</v>
      </c>
      <c r="C1826" t="s">
        <v>1952</v>
      </c>
      <c r="D1826" t="s">
        <v>25</v>
      </c>
      <c r="E1826" t="s">
        <v>26</v>
      </c>
      <c r="F1826" t="s">
        <v>197</v>
      </c>
      <c r="G1826">
        <v>3</v>
      </c>
      <c r="H1826" s="5">
        <v>4</v>
      </c>
      <c r="I1826" t="s">
        <v>32</v>
      </c>
      <c r="J1826" t="s">
        <v>122</v>
      </c>
      <c r="K1826" t="s">
        <v>122</v>
      </c>
      <c r="L1826" t="s">
        <v>2124</v>
      </c>
      <c r="M1826" s="5">
        <f t="shared" si="169"/>
        <v>12</v>
      </c>
      <c r="N1826" t="str">
        <f t="shared" si="170"/>
        <v>December</v>
      </c>
      <c r="O1826" t="str">
        <f t="shared" si="171"/>
        <v>Tuesday</v>
      </c>
      <c r="P1826">
        <f t="shared" si="168"/>
        <v>14</v>
      </c>
      <c r="Q1826" s="2">
        <f t="shared" si="172"/>
        <v>2</v>
      </c>
      <c r="R1826" s="2">
        <f t="shared" si="173"/>
        <v>12</v>
      </c>
      <c r="S1826">
        <f>SUMIF(Table1[product_category],"Bakery",Table1[Total_bill])</f>
        <v>2951.25</v>
      </c>
    </row>
    <row r="1827" spans="1:19" x14ac:dyDescent="0.3">
      <c r="A1827" s="2">
        <v>11826</v>
      </c>
      <c r="B1827" s="4">
        <v>47457</v>
      </c>
      <c r="C1827" t="s">
        <v>1953</v>
      </c>
      <c r="D1827" t="s">
        <v>18</v>
      </c>
      <c r="E1827" t="s">
        <v>19</v>
      </c>
      <c r="F1827" t="s">
        <v>199</v>
      </c>
      <c r="G1827">
        <v>3</v>
      </c>
      <c r="H1827" s="5">
        <v>3</v>
      </c>
      <c r="I1827" t="s">
        <v>36</v>
      </c>
      <c r="J1827" t="s">
        <v>246</v>
      </c>
      <c r="K1827" t="s">
        <v>247</v>
      </c>
      <c r="L1827" t="s">
        <v>2124</v>
      </c>
      <c r="M1827" s="5">
        <f t="shared" si="169"/>
        <v>9</v>
      </c>
      <c r="N1827" t="str">
        <f t="shared" si="170"/>
        <v>December</v>
      </c>
      <c r="O1827" t="str">
        <f t="shared" si="171"/>
        <v>Wednesday</v>
      </c>
      <c r="P1827">
        <f t="shared" si="168"/>
        <v>12</v>
      </c>
      <c r="Q1827" s="2">
        <f t="shared" si="172"/>
        <v>3</v>
      </c>
      <c r="R1827" s="2">
        <f t="shared" si="173"/>
        <v>12</v>
      </c>
      <c r="S1827">
        <f>SUMIF(Table1[product_category],"Bakery",Table1[Total_bill])</f>
        <v>2951.25</v>
      </c>
    </row>
    <row r="1828" spans="1:19" x14ac:dyDescent="0.3">
      <c r="A1828" s="2">
        <v>11827</v>
      </c>
      <c r="B1828" s="4">
        <v>47458</v>
      </c>
      <c r="C1828" t="s">
        <v>1954</v>
      </c>
      <c r="D1828" t="s">
        <v>25</v>
      </c>
      <c r="E1828" t="s">
        <v>26</v>
      </c>
      <c r="F1828" t="s">
        <v>201</v>
      </c>
      <c r="G1828">
        <v>4</v>
      </c>
      <c r="H1828" s="5">
        <v>13</v>
      </c>
      <c r="I1828" t="s">
        <v>98</v>
      </c>
      <c r="J1828" t="s">
        <v>98</v>
      </c>
      <c r="K1828" t="s">
        <v>95</v>
      </c>
      <c r="L1828" t="s">
        <v>2125</v>
      </c>
      <c r="M1828" s="5">
        <f t="shared" si="169"/>
        <v>52</v>
      </c>
      <c r="N1828" t="str">
        <f t="shared" si="170"/>
        <v>December</v>
      </c>
      <c r="O1828" t="str">
        <f t="shared" si="171"/>
        <v>Thursday</v>
      </c>
      <c r="P1828">
        <f t="shared" si="168"/>
        <v>6</v>
      </c>
      <c r="Q1828" s="2">
        <f t="shared" si="172"/>
        <v>4</v>
      </c>
      <c r="R1828" s="2">
        <f t="shared" si="173"/>
        <v>12</v>
      </c>
      <c r="S1828">
        <f>SUMIF(Table1[product_category],"Bakery",Table1[Total_bill])</f>
        <v>2951.25</v>
      </c>
    </row>
    <row r="1829" spans="1:19" x14ac:dyDescent="0.3">
      <c r="A1829" s="2">
        <v>11828</v>
      </c>
      <c r="B1829" s="4">
        <v>47459</v>
      </c>
      <c r="C1829" t="s">
        <v>1955</v>
      </c>
      <c r="D1829" t="s">
        <v>25</v>
      </c>
      <c r="E1829" t="s">
        <v>26</v>
      </c>
      <c r="F1829" t="s">
        <v>204</v>
      </c>
      <c r="G1829">
        <v>2</v>
      </c>
      <c r="H1829" s="5">
        <v>13</v>
      </c>
      <c r="I1829" t="s">
        <v>98</v>
      </c>
      <c r="J1829" t="s">
        <v>98</v>
      </c>
      <c r="K1829" t="s">
        <v>95</v>
      </c>
      <c r="L1829" t="s">
        <v>2125</v>
      </c>
      <c r="M1829" s="5">
        <f t="shared" si="169"/>
        <v>26</v>
      </c>
      <c r="N1829" t="str">
        <f t="shared" si="170"/>
        <v>December</v>
      </c>
      <c r="O1829" t="str">
        <f t="shared" si="171"/>
        <v>Friday</v>
      </c>
      <c r="P1829">
        <f t="shared" si="168"/>
        <v>20</v>
      </c>
      <c r="Q1829" s="2">
        <f t="shared" si="172"/>
        <v>5</v>
      </c>
      <c r="R1829" s="2">
        <f t="shared" si="173"/>
        <v>12</v>
      </c>
      <c r="S1829">
        <f>SUMIF(Table1[product_category],"Bakery",Table1[Total_bill])</f>
        <v>2951.25</v>
      </c>
    </row>
    <row r="1830" spans="1:19" x14ac:dyDescent="0.3">
      <c r="A1830" s="2">
        <v>11829</v>
      </c>
      <c r="B1830" s="4">
        <v>47460</v>
      </c>
      <c r="C1830" t="s">
        <v>1956</v>
      </c>
      <c r="D1830" t="s">
        <v>18</v>
      </c>
      <c r="E1830" t="s">
        <v>19</v>
      </c>
      <c r="F1830" t="s">
        <v>206</v>
      </c>
      <c r="G1830">
        <v>3</v>
      </c>
      <c r="H1830" s="5">
        <v>3.25</v>
      </c>
      <c r="I1830" t="s">
        <v>36</v>
      </c>
      <c r="J1830" t="s">
        <v>211</v>
      </c>
      <c r="K1830" t="s">
        <v>239</v>
      </c>
      <c r="L1830" t="s">
        <v>2122</v>
      </c>
      <c r="M1830" s="5">
        <f t="shared" si="169"/>
        <v>9.75</v>
      </c>
      <c r="N1830" t="str">
        <f t="shared" si="170"/>
        <v>December</v>
      </c>
      <c r="O1830" t="str">
        <f t="shared" si="171"/>
        <v>Saturday</v>
      </c>
      <c r="P1830">
        <f t="shared" si="168"/>
        <v>16</v>
      </c>
      <c r="Q1830" s="2">
        <f t="shared" si="172"/>
        <v>6</v>
      </c>
      <c r="R1830" s="2">
        <f t="shared" si="173"/>
        <v>12</v>
      </c>
      <c r="S1830">
        <f>SUMIF(Table1[product_category],"Bakery",Table1[Total_bill])</f>
        <v>2951.25</v>
      </c>
    </row>
    <row r="1831" spans="1:19" x14ac:dyDescent="0.3">
      <c r="A1831" s="2">
        <v>11830</v>
      </c>
      <c r="B1831" s="4">
        <v>47461</v>
      </c>
      <c r="C1831" t="s">
        <v>1957</v>
      </c>
      <c r="D1831" t="s">
        <v>18</v>
      </c>
      <c r="E1831" t="s">
        <v>19</v>
      </c>
      <c r="F1831" t="s">
        <v>208</v>
      </c>
      <c r="G1831">
        <v>2</v>
      </c>
      <c r="H1831" s="5">
        <v>3.5</v>
      </c>
      <c r="I1831" t="s">
        <v>36</v>
      </c>
      <c r="J1831" t="s">
        <v>246</v>
      </c>
      <c r="K1831" t="s">
        <v>247</v>
      </c>
      <c r="L1831" t="s">
        <v>2123</v>
      </c>
      <c r="M1831" s="5">
        <f t="shared" si="169"/>
        <v>7</v>
      </c>
      <c r="N1831" t="str">
        <f t="shared" si="170"/>
        <v>December</v>
      </c>
      <c r="O1831" t="str">
        <f t="shared" si="171"/>
        <v>Sunday</v>
      </c>
      <c r="P1831">
        <f t="shared" si="168"/>
        <v>9</v>
      </c>
      <c r="Q1831" s="2">
        <f t="shared" si="172"/>
        <v>7</v>
      </c>
      <c r="R1831" s="2">
        <f t="shared" si="173"/>
        <v>12</v>
      </c>
      <c r="S1831">
        <f>SUMIF(Table1[product_category],"Bakery",Table1[Total_bill])</f>
        <v>2951.25</v>
      </c>
    </row>
    <row r="1832" spans="1:19" x14ac:dyDescent="0.3">
      <c r="A1832" s="2">
        <v>11831</v>
      </c>
      <c r="B1832" s="4">
        <v>47462</v>
      </c>
      <c r="C1832" t="s">
        <v>635</v>
      </c>
      <c r="D1832" t="s">
        <v>25</v>
      </c>
      <c r="E1832" t="s">
        <v>26</v>
      </c>
      <c r="F1832" t="s">
        <v>210</v>
      </c>
      <c r="G1832">
        <v>2</v>
      </c>
      <c r="H1832" s="5">
        <v>14</v>
      </c>
      <c r="I1832" t="s">
        <v>101</v>
      </c>
      <c r="J1832" t="s">
        <v>102</v>
      </c>
      <c r="K1832" t="s">
        <v>193</v>
      </c>
      <c r="L1832" t="s">
        <v>2125</v>
      </c>
      <c r="M1832" s="5">
        <f t="shared" si="169"/>
        <v>28</v>
      </c>
      <c r="N1832" t="str">
        <f t="shared" si="170"/>
        <v>December</v>
      </c>
      <c r="O1832" t="str">
        <f t="shared" si="171"/>
        <v>Monday</v>
      </c>
      <c r="P1832">
        <f t="shared" si="168"/>
        <v>20</v>
      </c>
      <c r="Q1832" s="2">
        <f t="shared" si="172"/>
        <v>1</v>
      </c>
      <c r="R1832" s="2">
        <f t="shared" si="173"/>
        <v>12</v>
      </c>
      <c r="S1832">
        <f>SUMIF(Table1[product_category],"Bakery",Table1[Total_bill])</f>
        <v>2951.25</v>
      </c>
    </row>
    <row r="1833" spans="1:19" x14ac:dyDescent="0.3">
      <c r="A1833" s="2">
        <v>11832</v>
      </c>
      <c r="B1833" s="4">
        <v>47463</v>
      </c>
      <c r="C1833" t="s">
        <v>1958</v>
      </c>
      <c r="D1833" t="s">
        <v>18</v>
      </c>
      <c r="E1833" t="s">
        <v>19</v>
      </c>
      <c r="F1833" t="s">
        <v>214</v>
      </c>
      <c r="G1833">
        <v>1</v>
      </c>
      <c r="H1833" s="5">
        <v>4.25</v>
      </c>
      <c r="I1833" t="s">
        <v>32</v>
      </c>
      <c r="J1833" t="s">
        <v>202</v>
      </c>
      <c r="K1833" t="s">
        <v>202</v>
      </c>
      <c r="L1833" t="s">
        <v>2124</v>
      </c>
      <c r="M1833" s="5">
        <f t="shared" si="169"/>
        <v>4.25</v>
      </c>
      <c r="N1833" t="str">
        <f t="shared" si="170"/>
        <v>December</v>
      </c>
      <c r="O1833" t="str">
        <f t="shared" si="171"/>
        <v>Tuesday</v>
      </c>
      <c r="P1833">
        <f t="shared" si="168"/>
        <v>13</v>
      </c>
      <c r="Q1833" s="2">
        <f t="shared" si="172"/>
        <v>2</v>
      </c>
      <c r="R1833" s="2">
        <f t="shared" si="173"/>
        <v>12</v>
      </c>
      <c r="S1833">
        <f>SUMIF(Table1[product_category],"Bakery",Table1[Total_bill])</f>
        <v>2951.25</v>
      </c>
    </row>
    <row r="1834" spans="1:19" x14ac:dyDescent="0.3">
      <c r="A1834" s="2">
        <v>11833</v>
      </c>
      <c r="B1834" s="4">
        <v>47464</v>
      </c>
      <c r="C1834" t="s">
        <v>1959</v>
      </c>
      <c r="D1834" t="s">
        <v>40</v>
      </c>
      <c r="E1834" t="s">
        <v>41</v>
      </c>
      <c r="F1834" t="s">
        <v>217</v>
      </c>
      <c r="G1834">
        <v>4</v>
      </c>
      <c r="H1834" s="5">
        <v>2.5</v>
      </c>
      <c r="I1834" t="s">
        <v>36</v>
      </c>
      <c r="J1834" t="s">
        <v>37</v>
      </c>
      <c r="K1834" t="s">
        <v>38</v>
      </c>
      <c r="L1834" t="s">
        <v>2122</v>
      </c>
      <c r="M1834" s="5">
        <f t="shared" si="169"/>
        <v>10</v>
      </c>
      <c r="N1834" t="str">
        <f t="shared" si="170"/>
        <v>December</v>
      </c>
      <c r="O1834" t="str">
        <f t="shared" si="171"/>
        <v>Wednesday</v>
      </c>
      <c r="P1834">
        <f t="shared" si="168"/>
        <v>13</v>
      </c>
      <c r="Q1834" s="2">
        <f t="shared" si="172"/>
        <v>3</v>
      </c>
      <c r="R1834" s="2">
        <f t="shared" si="173"/>
        <v>12</v>
      </c>
      <c r="S1834">
        <f>SUMIF(Table1[product_category],"Bakery",Table1[Total_bill])</f>
        <v>2951.25</v>
      </c>
    </row>
    <row r="1835" spans="1:19" x14ac:dyDescent="0.3">
      <c r="A1835" s="2">
        <v>11834</v>
      </c>
      <c r="B1835" s="4">
        <v>47465</v>
      </c>
      <c r="C1835" t="s">
        <v>1960</v>
      </c>
      <c r="D1835" t="s">
        <v>25</v>
      </c>
      <c r="E1835" t="s">
        <v>26</v>
      </c>
      <c r="F1835" t="s">
        <v>219</v>
      </c>
      <c r="G1835">
        <v>4</v>
      </c>
      <c r="H1835" s="5">
        <v>4</v>
      </c>
      <c r="I1835" t="s">
        <v>32</v>
      </c>
      <c r="J1835" t="s">
        <v>94</v>
      </c>
      <c r="K1835" t="s">
        <v>95</v>
      </c>
      <c r="L1835" t="s">
        <v>2124</v>
      </c>
      <c r="M1835" s="5">
        <f t="shared" si="169"/>
        <v>16</v>
      </c>
      <c r="N1835" t="str">
        <f t="shared" si="170"/>
        <v>December</v>
      </c>
      <c r="O1835" t="str">
        <f t="shared" si="171"/>
        <v>Thursday</v>
      </c>
      <c r="P1835">
        <f t="shared" si="168"/>
        <v>15</v>
      </c>
      <c r="Q1835" s="2">
        <f t="shared" si="172"/>
        <v>4</v>
      </c>
      <c r="R1835" s="2">
        <f t="shared" si="173"/>
        <v>12</v>
      </c>
      <c r="S1835">
        <f>SUMIF(Table1[product_category],"Bakery",Table1[Total_bill])</f>
        <v>2951.25</v>
      </c>
    </row>
    <row r="1836" spans="1:19" x14ac:dyDescent="0.3">
      <c r="A1836" s="2">
        <v>11835</v>
      </c>
      <c r="B1836" s="4">
        <v>47466</v>
      </c>
      <c r="C1836" t="s">
        <v>1961</v>
      </c>
      <c r="D1836" t="s">
        <v>18</v>
      </c>
      <c r="E1836" t="s">
        <v>19</v>
      </c>
      <c r="F1836" t="s">
        <v>221</v>
      </c>
      <c r="G1836">
        <v>3</v>
      </c>
      <c r="H1836" s="5">
        <v>2.5</v>
      </c>
      <c r="I1836" t="s">
        <v>36</v>
      </c>
      <c r="J1836" t="s">
        <v>37</v>
      </c>
      <c r="K1836" t="s">
        <v>62</v>
      </c>
      <c r="L1836" t="s">
        <v>2122</v>
      </c>
      <c r="M1836" s="5">
        <f t="shared" si="169"/>
        <v>7.5</v>
      </c>
      <c r="N1836" t="str">
        <f t="shared" si="170"/>
        <v>December</v>
      </c>
      <c r="O1836" t="str">
        <f t="shared" si="171"/>
        <v>Friday</v>
      </c>
      <c r="P1836">
        <f t="shared" si="168"/>
        <v>16</v>
      </c>
      <c r="Q1836" s="2">
        <f t="shared" si="172"/>
        <v>5</v>
      </c>
      <c r="R1836" s="2">
        <f t="shared" si="173"/>
        <v>12</v>
      </c>
      <c r="S1836">
        <f>SUMIF(Table1[product_category],"Bakery",Table1[Total_bill])</f>
        <v>2951.25</v>
      </c>
    </row>
    <row r="1837" spans="1:19" x14ac:dyDescent="0.3">
      <c r="A1837" s="2">
        <v>11836</v>
      </c>
      <c r="B1837" s="4">
        <v>47467</v>
      </c>
      <c r="C1837" t="s">
        <v>1962</v>
      </c>
      <c r="D1837" t="s">
        <v>18</v>
      </c>
      <c r="E1837" t="s">
        <v>19</v>
      </c>
      <c r="F1837" t="s">
        <v>223</v>
      </c>
      <c r="G1837">
        <v>1</v>
      </c>
      <c r="H1837" s="5">
        <v>13</v>
      </c>
      <c r="I1837" t="s">
        <v>98</v>
      </c>
      <c r="J1837" t="s">
        <v>98</v>
      </c>
      <c r="K1837" t="s">
        <v>95</v>
      </c>
      <c r="L1837" t="s">
        <v>2125</v>
      </c>
      <c r="M1837" s="5">
        <f t="shared" si="169"/>
        <v>13</v>
      </c>
      <c r="N1837" t="str">
        <f t="shared" si="170"/>
        <v>December</v>
      </c>
      <c r="O1837" t="str">
        <f t="shared" si="171"/>
        <v>Saturday</v>
      </c>
      <c r="P1837">
        <f t="shared" si="168"/>
        <v>14</v>
      </c>
      <c r="Q1837" s="2">
        <f t="shared" si="172"/>
        <v>6</v>
      </c>
      <c r="R1837" s="2">
        <f t="shared" si="173"/>
        <v>12</v>
      </c>
      <c r="S1837">
        <f>SUMIF(Table1[product_category],"Bakery",Table1[Total_bill])</f>
        <v>2951.25</v>
      </c>
    </row>
    <row r="1838" spans="1:19" x14ac:dyDescent="0.3">
      <c r="A1838" s="2">
        <v>11837</v>
      </c>
      <c r="B1838" s="4">
        <v>47468</v>
      </c>
      <c r="C1838" t="s">
        <v>1963</v>
      </c>
      <c r="D1838" t="s">
        <v>40</v>
      </c>
      <c r="E1838" t="s">
        <v>41</v>
      </c>
      <c r="F1838" t="s">
        <v>225</v>
      </c>
      <c r="G1838">
        <v>3</v>
      </c>
      <c r="H1838" s="5">
        <v>2.75</v>
      </c>
      <c r="I1838" t="s">
        <v>21</v>
      </c>
      <c r="J1838" t="s">
        <v>22</v>
      </c>
      <c r="K1838" t="s">
        <v>23</v>
      </c>
      <c r="L1838" t="s">
        <v>2125</v>
      </c>
      <c r="M1838" s="5">
        <f t="shared" si="169"/>
        <v>8.25</v>
      </c>
      <c r="N1838" t="str">
        <f t="shared" si="170"/>
        <v>December</v>
      </c>
      <c r="O1838" t="str">
        <f t="shared" si="171"/>
        <v>Sunday</v>
      </c>
      <c r="P1838">
        <f t="shared" si="168"/>
        <v>7</v>
      </c>
      <c r="Q1838" s="2">
        <f t="shared" si="172"/>
        <v>7</v>
      </c>
      <c r="R1838" s="2">
        <f t="shared" si="173"/>
        <v>12</v>
      </c>
      <c r="S1838">
        <f>SUMIF(Table1[product_category],"Bakery",Table1[Total_bill])</f>
        <v>2951.25</v>
      </c>
    </row>
    <row r="1839" spans="1:19" x14ac:dyDescent="0.3">
      <c r="A1839" s="2">
        <v>11838</v>
      </c>
      <c r="B1839" s="4">
        <v>47469</v>
      </c>
      <c r="C1839" t="s">
        <v>1964</v>
      </c>
      <c r="D1839" t="s">
        <v>25</v>
      </c>
      <c r="E1839" t="s">
        <v>26</v>
      </c>
      <c r="F1839" t="s">
        <v>229</v>
      </c>
      <c r="G1839">
        <v>1</v>
      </c>
      <c r="H1839" s="5">
        <v>3.25</v>
      </c>
      <c r="I1839" t="s">
        <v>36</v>
      </c>
      <c r="J1839" t="s">
        <v>211</v>
      </c>
      <c r="K1839" t="s">
        <v>239</v>
      </c>
      <c r="L1839" t="s">
        <v>2122</v>
      </c>
      <c r="M1839" s="5">
        <f t="shared" si="169"/>
        <v>3.25</v>
      </c>
      <c r="N1839" t="str">
        <f t="shared" si="170"/>
        <v>December</v>
      </c>
      <c r="O1839" t="str">
        <f t="shared" si="171"/>
        <v>Monday</v>
      </c>
      <c r="P1839">
        <f t="shared" si="168"/>
        <v>9</v>
      </c>
      <c r="Q1839" s="2">
        <f t="shared" si="172"/>
        <v>1</v>
      </c>
      <c r="R1839" s="2">
        <f t="shared" si="173"/>
        <v>12</v>
      </c>
      <c r="S1839">
        <f>SUMIF(Table1[product_category],"Bakery",Table1[Total_bill])</f>
        <v>2951.25</v>
      </c>
    </row>
    <row r="1840" spans="1:19" x14ac:dyDescent="0.3">
      <c r="A1840" s="2">
        <v>11839</v>
      </c>
      <c r="B1840" s="4">
        <v>47470</v>
      </c>
      <c r="C1840" t="s">
        <v>1965</v>
      </c>
      <c r="D1840" t="s">
        <v>40</v>
      </c>
      <c r="E1840" t="s">
        <v>41</v>
      </c>
      <c r="F1840" t="s">
        <v>231</v>
      </c>
      <c r="G1840">
        <v>4</v>
      </c>
      <c r="H1840" s="5">
        <v>3</v>
      </c>
      <c r="I1840" t="s">
        <v>36</v>
      </c>
      <c r="J1840" t="s">
        <v>37</v>
      </c>
      <c r="K1840" t="s">
        <v>276</v>
      </c>
      <c r="L1840" t="s">
        <v>2124</v>
      </c>
      <c r="M1840" s="5">
        <f t="shared" si="169"/>
        <v>12</v>
      </c>
      <c r="N1840" t="str">
        <f t="shared" si="170"/>
        <v>December</v>
      </c>
      <c r="O1840" t="str">
        <f t="shared" si="171"/>
        <v>Tuesday</v>
      </c>
      <c r="P1840">
        <f t="shared" si="168"/>
        <v>18</v>
      </c>
      <c r="Q1840" s="2">
        <f t="shared" si="172"/>
        <v>2</v>
      </c>
      <c r="R1840" s="2">
        <f t="shared" si="173"/>
        <v>12</v>
      </c>
      <c r="S1840">
        <f>SUMIF(Table1[product_category],"Bakery",Table1[Total_bill])</f>
        <v>2951.25</v>
      </c>
    </row>
    <row r="1841" spans="1:19" x14ac:dyDescent="0.3">
      <c r="A1841" s="2">
        <v>11840</v>
      </c>
      <c r="B1841" s="4">
        <v>47471</v>
      </c>
      <c r="C1841" t="s">
        <v>1966</v>
      </c>
      <c r="D1841" t="s">
        <v>25</v>
      </c>
      <c r="E1841" t="s">
        <v>26</v>
      </c>
      <c r="F1841" t="s">
        <v>233</v>
      </c>
      <c r="G1841">
        <v>2</v>
      </c>
      <c r="H1841" s="5">
        <v>13</v>
      </c>
      <c r="I1841" t="s">
        <v>98</v>
      </c>
      <c r="J1841" t="s">
        <v>98</v>
      </c>
      <c r="K1841" t="s">
        <v>95</v>
      </c>
      <c r="L1841" t="s">
        <v>2125</v>
      </c>
      <c r="M1841" s="5">
        <f t="shared" si="169"/>
        <v>26</v>
      </c>
      <c r="N1841" t="str">
        <f t="shared" si="170"/>
        <v>December</v>
      </c>
      <c r="O1841" t="str">
        <f t="shared" si="171"/>
        <v>Wednesday</v>
      </c>
      <c r="P1841">
        <f t="shared" si="168"/>
        <v>8</v>
      </c>
      <c r="Q1841" s="2">
        <f t="shared" si="172"/>
        <v>3</v>
      </c>
      <c r="R1841" s="2">
        <f t="shared" si="173"/>
        <v>12</v>
      </c>
      <c r="S1841">
        <f>SUMIF(Table1[product_category],"Bakery",Table1[Total_bill])</f>
        <v>2951.25</v>
      </c>
    </row>
    <row r="1842" spans="1:19" x14ac:dyDescent="0.3">
      <c r="A1842" s="2">
        <v>11841</v>
      </c>
      <c r="B1842" s="4">
        <v>47472</v>
      </c>
      <c r="C1842" t="s">
        <v>1967</v>
      </c>
      <c r="D1842" t="s">
        <v>40</v>
      </c>
      <c r="E1842" t="s">
        <v>41</v>
      </c>
      <c r="F1842" t="s">
        <v>20</v>
      </c>
      <c r="G1842">
        <v>1</v>
      </c>
      <c r="H1842" s="5">
        <v>3.25</v>
      </c>
      <c r="I1842" t="s">
        <v>21</v>
      </c>
      <c r="J1842" t="s">
        <v>81</v>
      </c>
      <c r="K1842" t="s">
        <v>113</v>
      </c>
      <c r="L1842" t="s">
        <v>2125</v>
      </c>
      <c r="M1842" s="5">
        <f t="shared" si="169"/>
        <v>3.25</v>
      </c>
      <c r="N1842" t="str">
        <f t="shared" si="170"/>
        <v>December</v>
      </c>
      <c r="O1842" t="str">
        <f t="shared" si="171"/>
        <v>Thursday</v>
      </c>
      <c r="P1842">
        <f t="shared" si="168"/>
        <v>10</v>
      </c>
      <c r="Q1842" s="2">
        <f t="shared" si="172"/>
        <v>4</v>
      </c>
      <c r="R1842" s="2">
        <f t="shared" si="173"/>
        <v>12</v>
      </c>
      <c r="S1842">
        <f>SUMIF(Table1[product_category],"Bakery",Table1[Total_bill])</f>
        <v>2951.25</v>
      </c>
    </row>
    <row r="1843" spans="1:19" x14ac:dyDescent="0.3">
      <c r="A1843" s="2">
        <v>11842</v>
      </c>
      <c r="B1843" s="4">
        <v>47473</v>
      </c>
      <c r="C1843" t="s">
        <v>1968</v>
      </c>
      <c r="D1843" t="s">
        <v>18</v>
      </c>
      <c r="E1843" t="s">
        <v>19</v>
      </c>
      <c r="F1843" t="s">
        <v>27</v>
      </c>
      <c r="G1843">
        <v>2</v>
      </c>
      <c r="H1843" s="5">
        <v>8</v>
      </c>
      <c r="I1843" t="s">
        <v>28</v>
      </c>
      <c r="J1843" t="s">
        <v>28</v>
      </c>
      <c r="K1843" t="s">
        <v>76</v>
      </c>
      <c r="L1843" t="s">
        <v>2125</v>
      </c>
      <c r="M1843" s="5">
        <f t="shared" si="169"/>
        <v>16</v>
      </c>
      <c r="N1843" t="str">
        <f t="shared" si="170"/>
        <v>December</v>
      </c>
      <c r="O1843" t="str">
        <f t="shared" si="171"/>
        <v>Friday</v>
      </c>
      <c r="P1843">
        <f t="shared" si="168"/>
        <v>11</v>
      </c>
      <c r="Q1843" s="2">
        <f t="shared" si="172"/>
        <v>5</v>
      </c>
      <c r="R1843" s="2">
        <f t="shared" si="173"/>
        <v>12</v>
      </c>
      <c r="S1843">
        <f>SUMIF(Table1[product_category],"Bakery",Table1[Total_bill])</f>
        <v>2951.25</v>
      </c>
    </row>
    <row r="1844" spans="1:19" x14ac:dyDescent="0.3">
      <c r="A1844" s="2">
        <v>11843</v>
      </c>
      <c r="B1844" s="4">
        <v>47474</v>
      </c>
      <c r="C1844" t="s">
        <v>1969</v>
      </c>
      <c r="D1844" t="s">
        <v>40</v>
      </c>
      <c r="E1844" t="s">
        <v>41</v>
      </c>
      <c r="F1844" t="s">
        <v>31</v>
      </c>
      <c r="G1844">
        <v>3</v>
      </c>
      <c r="H1844" s="5">
        <v>24</v>
      </c>
      <c r="I1844" t="s">
        <v>101</v>
      </c>
      <c r="J1844" t="s">
        <v>102</v>
      </c>
      <c r="K1844" t="s">
        <v>103</v>
      </c>
      <c r="L1844" t="s">
        <v>2125</v>
      </c>
      <c r="M1844" s="5">
        <f t="shared" si="169"/>
        <v>72</v>
      </c>
      <c r="N1844" t="str">
        <f t="shared" si="170"/>
        <v>December</v>
      </c>
      <c r="O1844" t="str">
        <f t="shared" si="171"/>
        <v>Saturday</v>
      </c>
      <c r="P1844">
        <f t="shared" si="168"/>
        <v>11</v>
      </c>
      <c r="Q1844" s="2">
        <f t="shared" si="172"/>
        <v>6</v>
      </c>
      <c r="R1844" s="2">
        <f t="shared" si="173"/>
        <v>12</v>
      </c>
      <c r="S1844">
        <f>SUMIF(Table1[product_category],"Bakery",Table1[Total_bill])</f>
        <v>2951.25</v>
      </c>
    </row>
    <row r="1845" spans="1:19" x14ac:dyDescent="0.3">
      <c r="A1845" s="2">
        <v>11844</v>
      </c>
      <c r="B1845" s="4">
        <v>47475</v>
      </c>
      <c r="C1845" t="s">
        <v>1970</v>
      </c>
      <c r="D1845" t="s">
        <v>25</v>
      </c>
      <c r="E1845" t="s">
        <v>26</v>
      </c>
      <c r="F1845" t="s">
        <v>35</v>
      </c>
      <c r="G1845">
        <v>1</v>
      </c>
      <c r="H1845" s="5">
        <v>3.5</v>
      </c>
      <c r="I1845" t="s">
        <v>89</v>
      </c>
      <c r="J1845" t="s">
        <v>261</v>
      </c>
      <c r="K1845" t="s">
        <v>261</v>
      </c>
      <c r="L1845" t="s">
        <v>2122</v>
      </c>
      <c r="M1845" s="5">
        <f t="shared" si="169"/>
        <v>3.5</v>
      </c>
      <c r="N1845" t="str">
        <f t="shared" si="170"/>
        <v>December</v>
      </c>
      <c r="O1845" t="str">
        <f t="shared" si="171"/>
        <v>Sunday</v>
      </c>
      <c r="P1845">
        <f t="shared" si="168"/>
        <v>13</v>
      </c>
      <c r="Q1845" s="2">
        <f t="shared" si="172"/>
        <v>7</v>
      </c>
      <c r="R1845" s="2">
        <f t="shared" si="173"/>
        <v>12</v>
      </c>
      <c r="S1845">
        <f>SUMIF(Table1[product_category],"Bakery",Table1[Total_bill])</f>
        <v>2951.25</v>
      </c>
    </row>
    <row r="1846" spans="1:19" x14ac:dyDescent="0.3">
      <c r="A1846" s="2">
        <v>11845</v>
      </c>
      <c r="B1846" s="4">
        <v>47476</v>
      </c>
      <c r="C1846" t="s">
        <v>1971</v>
      </c>
      <c r="D1846" t="s">
        <v>18</v>
      </c>
      <c r="E1846" t="s">
        <v>19</v>
      </c>
      <c r="F1846" t="s">
        <v>42</v>
      </c>
      <c r="G1846">
        <v>2</v>
      </c>
      <c r="H1846" s="5">
        <v>3</v>
      </c>
      <c r="I1846" t="s">
        <v>32</v>
      </c>
      <c r="J1846" t="s">
        <v>55</v>
      </c>
      <c r="K1846" t="s">
        <v>55</v>
      </c>
      <c r="L1846" t="s">
        <v>2122</v>
      </c>
      <c r="M1846" s="5">
        <f t="shared" si="169"/>
        <v>6</v>
      </c>
      <c r="N1846" t="str">
        <f t="shared" si="170"/>
        <v>December</v>
      </c>
      <c r="O1846" t="str">
        <f t="shared" si="171"/>
        <v>Monday</v>
      </c>
      <c r="P1846">
        <f t="shared" si="168"/>
        <v>19</v>
      </c>
      <c r="Q1846" s="2">
        <f t="shared" si="172"/>
        <v>1</v>
      </c>
      <c r="R1846" s="2">
        <f t="shared" si="173"/>
        <v>12</v>
      </c>
      <c r="S1846">
        <f>SUMIF(Table1[product_category],"Bakery",Table1[Total_bill])</f>
        <v>2951.25</v>
      </c>
    </row>
    <row r="1847" spans="1:19" x14ac:dyDescent="0.3">
      <c r="A1847" s="2">
        <v>11846</v>
      </c>
      <c r="B1847" s="4">
        <v>47477</v>
      </c>
      <c r="C1847" t="s">
        <v>1972</v>
      </c>
      <c r="D1847" t="s">
        <v>25</v>
      </c>
      <c r="E1847" t="s">
        <v>26</v>
      </c>
      <c r="F1847" t="s">
        <v>46</v>
      </c>
      <c r="G1847">
        <v>3</v>
      </c>
      <c r="H1847" s="5">
        <v>4.75</v>
      </c>
      <c r="I1847" t="s">
        <v>32</v>
      </c>
      <c r="J1847" t="s">
        <v>69</v>
      </c>
      <c r="K1847" t="s">
        <v>69</v>
      </c>
      <c r="L1847" t="s">
        <v>2123</v>
      </c>
      <c r="M1847" s="5">
        <f t="shared" si="169"/>
        <v>14.25</v>
      </c>
      <c r="N1847" t="str">
        <f t="shared" si="170"/>
        <v>December</v>
      </c>
      <c r="O1847" t="str">
        <f t="shared" si="171"/>
        <v>Tuesday</v>
      </c>
      <c r="P1847">
        <f t="shared" si="168"/>
        <v>8</v>
      </c>
      <c r="Q1847" s="2">
        <f t="shared" si="172"/>
        <v>2</v>
      </c>
      <c r="R1847" s="2">
        <f t="shared" si="173"/>
        <v>12</v>
      </c>
      <c r="S1847">
        <f>SUMIF(Table1[product_category],"Bakery",Table1[Total_bill])</f>
        <v>2951.25</v>
      </c>
    </row>
    <row r="1848" spans="1:19" x14ac:dyDescent="0.3">
      <c r="A1848" s="2">
        <v>11847</v>
      </c>
      <c r="B1848" s="4">
        <v>47478</v>
      </c>
      <c r="C1848" t="s">
        <v>1973</v>
      </c>
      <c r="D1848" t="s">
        <v>25</v>
      </c>
      <c r="E1848" t="s">
        <v>26</v>
      </c>
      <c r="F1848" t="s">
        <v>50</v>
      </c>
      <c r="G1848">
        <v>2</v>
      </c>
      <c r="H1848" s="5">
        <v>9.5</v>
      </c>
      <c r="I1848" t="s">
        <v>28</v>
      </c>
      <c r="J1848" t="s">
        <v>28</v>
      </c>
      <c r="K1848" t="s">
        <v>29</v>
      </c>
      <c r="L1848" t="s">
        <v>2125</v>
      </c>
      <c r="M1848" s="5">
        <f t="shared" si="169"/>
        <v>19</v>
      </c>
      <c r="N1848" t="str">
        <f t="shared" si="170"/>
        <v>December</v>
      </c>
      <c r="O1848" t="str">
        <f t="shared" si="171"/>
        <v>Wednesday</v>
      </c>
      <c r="P1848">
        <f t="shared" si="168"/>
        <v>7</v>
      </c>
      <c r="Q1848" s="2">
        <f t="shared" si="172"/>
        <v>3</v>
      </c>
      <c r="R1848" s="2">
        <f t="shared" si="173"/>
        <v>12</v>
      </c>
      <c r="S1848">
        <f>SUMIF(Table1[product_category],"Bakery",Table1[Total_bill])</f>
        <v>2951.25</v>
      </c>
    </row>
    <row r="1849" spans="1:19" x14ac:dyDescent="0.3">
      <c r="A1849" s="2">
        <v>11848</v>
      </c>
      <c r="B1849" s="4">
        <v>47479</v>
      </c>
      <c r="C1849" t="s">
        <v>1974</v>
      </c>
      <c r="D1849" t="s">
        <v>40</v>
      </c>
      <c r="E1849" t="s">
        <v>41</v>
      </c>
      <c r="F1849" t="s">
        <v>54</v>
      </c>
      <c r="G1849">
        <v>3</v>
      </c>
      <c r="H1849" s="5">
        <v>8</v>
      </c>
      <c r="I1849" t="s">
        <v>28</v>
      </c>
      <c r="J1849" t="s">
        <v>28</v>
      </c>
      <c r="K1849" t="s">
        <v>76</v>
      </c>
      <c r="L1849" t="s">
        <v>2125</v>
      </c>
      <c r="M1849" s="5">
        <f t="shared" si="169"/>
        <v>24</v>
      </c>
      <c r="N1849" t="str">
        <f t="shared" si="170"/>
        <v>December</v>
      </c>
      <c r="O1849" t="str">
        <f t="shared" si="171"/>
        <v>Thursday</v>
      </c>
      <c r="P1849">
        <f t="shared" si="168"/>
        <v>8</v>
      </c>
      <c r="Q1849" s="2">
        <f t="shared" si="172"/>
        <v>4</v>
      </c>
      <c r="R1849" s="2">
        <f t="shared" si="173"/>
        <v>12</v>
      </c>
      <c r="S1849">
        <f>SUMIF(Table1[product_category],"Bakery",Table1[Total_bill])</f>
        <v>2951.25</v>
      </c>
    </row>
    <row r="1850" spans="1:19" x14ac:dyDescent="0.3">
      <c r="A1850" s="2">
        <v>11849</v>
      </c>
      <c r="B1850" s="4">
        <v>47480</v>
      </c>
      <c r="C1850" t="s">
        <v>1975</v>
      </c>
      <c r="D1850" t="s">
        <v>40</v>
      </c>
      <c r="E1850" t="s">
        <v>41</v>
      </c>
      <c r="F1850" t="s">
        <v>57</v>
      </c>
      <c r="G1850">
        <v>1</v>
      </c>
      <c r="H1850" s="5">
        <v>14</v>
      </c>
      <c r="I1850" t="s">
        <v>98</v>
      </c>
      <c r="J1850" t="s">
        <v>98</v>
      </c>
      <c r="K1850" t="s">
        <v>129</v>
      </c>
      <c r="L1850" t="s">
        <v>2125</v>
      </c>
      <c r="M1850" s="5">
        <f t="shared" si="169"/>
        <v>14</v>
      </c>
      <c r="N1850" t="str">
        <f t="shared" si="170"/>
        <v>December</v>
      </c>
      <c r="O1850" t="str">
        <f t="shared" si="171"/>
        <v>Friday</v>
      </c>
      <c r="P1850">
        <f t="shared" si="168"/>
        <v>17</v>
      </c>
      <c r="Q1850" s="2">
        <f t="shared" si="172"/>
        <v>5</v>
      </c>
      <c r="R1850" s="2">
        <f t="shared" si="173"/>
        <v>12</v>
      </c>
      <c r="S1850">
        <f>SUMIF(Table1[product_category],"Bakery",Table1[Total_bill])</f>
        <v>2951.25</v>
      </c>
    </row>
    <row r="1851" spans="1:19" x14ac:dyDescent="0.3">
      <c r="A1851" s="2">
        <v>11850</v>
      </c>
      <c r="B1851" s="4">
        <v>47481</v>
      </c>
      <c r="C1851" t="s">
        <v>1976</v>
      </c>
      <c r="D1851" t="s">
        <v>40</v>
      </c>
      <c r="E1851" t="s">
        <v>41</v>
      </c>
      <c r="F1851" t="s">
        <v>61</v>
      </c>
      <c r="G1851">
        <v>1</v>
      </c>
      <c r="H1851" s="5">
        <v>24</v>
      </c>
      <c r="I1851" t="s">
        <v>101</v>
      </c>
      <c r="J1851" t="s">
        <v>102</v>
      </c>
      <c r="K1851" t="s">
        <v>103</v>
      </c>
      <c r="L1851" t="s">
        <v>2125</v>
      </c>
      <c r="M1851" s="5">
        <f t="shared" si="169"/>
        <v>24</v>
      </c>
      <c r="N1851" t="str">
        <f t="shared" si="170"/>
        <v>December</v>
      </c>
      <c r="O1851" t="str">
        <f t="shared" si="171"/>
        <v>Saturday</v>
      </c>
      <c r="P1851">
        <f t="shared" si="168"/>
        <v>14</v>
      </c>
      <c r="Q1851" s="2">
        <f t="shared" si="172"/>
        <v>6</v>
      </c>
      <c r="R1851" s="2">
        <f t="shared" si="173"/>
        <v>12</v>
      </c>
      <c r="S1851">
        <f>SUMIF(Table1[product_category],"Bakery",Table1[Total_bill])</f>
        <v>2951.25</v>
      </c>
    </row>
    <row r="1852" spans="1:19" x14ac:dyDescent="0.3">
      <c r="A1852" s="2">
        <v>11851</v>
      </c>
      <c r="B1852" s="4">
        <v>47482</v>
      </c>
      <c r="C1852" t="s">
        <v>1977</v>
      </c>
      <c r="D1852" t="s">
        <v>18</v>
      </c>
      <c r="E1852" t="s">
        <v>19</v>
      </c>
      <c r="F1852" t="s">
        <v>64</v>
      </c>
      <c r="G1852">
        <v>1</v>
      </c>
      <c r="H1852" s="5">
        <v>4.75</v>
      </c>
      <c r="I1852" t="s">
        <v>32</v>
      </c>
      <c r="J1852" t="s">
        <v>122</v>
      </c>
      <c r="K1852" t="s">
        <v>122</v>
      </c>
      <c r="L1852" t="s">
        <v>2123</v>
      </c>
      <c r="M1852" s="5">
        <f t="shared" si="169"/>
        <v>4.75</v>
      </c>
      <c r="N1852" t="str">
        <f t="shared" si="170"/>
        <v>December</v>
      </c>
      <c r="O1852" t="str">
        <f t="shared" si="171"/>
        <v>Sunday</v>
      </c>
      <c r="P1852">
        <f t="shared" si="168"/>
        <v>9</v>
      </c>
      <c r="Q1852" s="2">
        <f t="shared" si="172"/>
        <v>7</v>
      </c>
      <c r="R1852" s="2">
        <f t="shared" si="173"/>
        <v>12</v>
      </c>
      <c r="S1852">
        <f>SUMIF(Table1[product_category],"Bakery",Table1[Total_bill])</f>
        <v>2951.25</v>
      </c>
    </row>
    <row r="1853" spans="1:19" x14ac:dyDescent="0.3">
      <c r="A1853" s="2">
        <v>11852</v>
      </c>
      <c r="B1853" s="4">
        <v>47483</v>
      </c>
      <c r="C1853" t="s">
        <v>1978</v>
      </c>
      <c r="D1853" t="s">
        <v>18</v>
      </c>
      <c r="E1853" t="s">
        <v>19</v>
      </c>
      <c r="F1853" t="s">
        <v>66</v>
      </c>
      <c r="G1853">
        <v>4</v>
      </c>
      <c r="H1853" s="5">
        <v>3.5</v>
      </c>
      <c r="I1853" t="s">
        <v>36</v>
      </c>
      <c r="J1853" t="s">
        <v>37</v>
      </c>
      <c r="K1853" t="s">
        <v>38</v>
      </c>
      <c r="L1853" t="s">
        <v>2123</v>
      </c>
      <c r="M1853" s="5">
        <f t="shared" si="169"/>
        <v>14</v>
      </c>
      <c r="N1853" t="str">
        <f t="shared" si="170"/>
        <v>December</v>
      </c>
      <c r="O1853" t="str">
        <f t="shared" si="171"/>
        <v>Monday</v>
      </c>
      <c r="P1853">
        <f t="shared" si="168"/>
        <v>16</v>
      </c>
      <c r="Q1853" s="2">
        <f t="shared" si="172"/>
        <v>1</v>
      </c>
      <c r="R1853" s="2">
        <f t="shared" si="173"/>
        <v>12</v>
      </c>
      <c r="S1853">
        <f>SUMIF(Table1[product_category],"Bakery",Table1[Total_bill])</f>
        <v>2951.25</v>
      </c>
    </row>
    <row r="1854" spans="1:19" x14ac:dyDescent="0.3">
      <c r="A1854" s="2">
        <v>11853</v>
      </c>
      <c r="B1854" s="4">
        <v>47484</v>
      </c>
      <c r="C1854" t="s">
        <v>1979</v>
      </c>
      <c r="D1854" t="s">
        <v>18</v>
      </c>
      <c r="E1854" t="s">
        <v>19</v>
      </c>
      <c r="F1854" t="s">
        <v>68</v>
      </c>
      <c r="G1854">
        <v>4</v>
      </c>
      <c r="H1854" s="5">
        <v>3.75</v>
      </c>
      <c r="I1854" t="s">
        <v>32</v>
      </c>
      <c r="J1854" t="s">
        <v>69</v>
      </c>
      <c r="K1854" t="s">
        <v>69</v>
      </c>
      <c r="L1854" t="s">
        <v>2122</v>
      </c>
      <c r="M1854" s="5">
        <f t="shared" si="169"/>
        <v>15</v>
      </c>
      <c r="N1854" t="str">
        <f t="shared" si="170"/>
        <v>January</v>
      </c>
      <c r="O1854" t="str">
        <f t="shared" si="171"/>
        <v>Tuesday</v>
      </c>
      <c r="P1854">
        <f t="shared" si="168"/>
        <v>17</v>
      </c>
      <c r="Q1854" s="2">
        <f t="shared" si="172"/>
        <v>2</v>
      </c>
      <c r="R1854" s="2">
        <f t="shared" si="173"/>
        <v>1</v>
      </c>
      <c r="S1854">
        <f>SUMIF(Table1[product_category],"Bakery",Table1[Total_bill])</f>
        <v>2951.25</v>
      </c>
    </row>
    <row r="1855" spans="1:19" x14ac:dyDescent="0.3">
      <c r="A1855" s="2">
        <v>11854</v>
      </c>
      <c r="B1855" s="4">
        <v>47485</v>
      </c>
      <c r="C1855" t="s">
        <v>1980</v>
      </c>
      <c r="D1855" t="s">
        <v>40</v>
      </c>
      <c r="E1855" t="s">
        <v>41</v>
      </c>
      <c r="F1855" t="s">
        <v>71</v>
      </c>
      <c r="G1855">
        <v>3</v>
      </c>
      <c r="H1855" s="5">
        <v>5</v>
      </c>
      <c r="I1855" t="s">
        <v>89</v>
      </c>
      <c r="J1855" t="s">
        <v>90</v>
      </c>
      <c r="K1855" t="s">
        <v>91</v>
      </c>
      <c r="L1855" t="s">
        <v>2123</v>
      </c>
      <c r="M1855" s="5">
        <f t="shared" si="169"/>
        <v>15</v>
      </c>
      <c r="N1855" t="str">
        <f t="shared" si="170"/>
        <v>January</v>
      </c>
      <c r="O1855" t="str">
        <f t="shared" si="171"/>
        <v>Wednesday</v>
      </c>
      <c r="P1855">
        <f t="shared" si="168"/>
        <v>17</v>
      </c>
      <c r="Q1855" s="2">
        <f t="shared" si="172"/>
        <v>3</v>
      </c>
      <c r="R1855" s="2">
        <f t="shared" si="173"/>
        <v>1</v>
      </c>
      <c r="S1855">
        <f>SUMIF(Table1[product_category],"Bakery",Table1[Total_bill])</f>
        <v>2951.25</v>
      </c>
    </row>
    <row r="1856" spans="1:19" x14ac:dyDescent="0.3">
      <c r="A1856" s="2">
        <v>11855</v>
      </c>
      <c r="B1856" s="4">
        <v>47486</v>
      </c>
      <c r="C1856" t="s">
        <v>1981</v>
      </c>
      <c r="D1856" t="s">
        <v>25</v>
      </c>
      <c r="E1856" t="s">
        <v>26</v>
      </c>
      <c r="F1856" t="s">
        <v>75</v>
      </c>
      <c r="G1856">
        <v>1</v>
      </c>
      <c r="H1856" s="5">
        <v>3.5</v>
      </c>
      <c r="I1856" t="s">
        <v>36</v>
      </c>
      <c r="J1856" t="s">
        <v>37</v>
      </c>
      <c r="K1856" t="s">
        <v>276</v>
      </c>
      <c r="L1856" t="s">
        <v>2123</v>
      </c>
      <c r="M1856" s="5">
        <f t="shared" si="169"/>
        <v>3.5</v>
      </c>
      <c r="N1856" t="str">
        <f t="shared" si="170"/>
        <v>January</v>
      </c>
      <c r="O1856" t="str">
        <f t="shared" si="171"/>
        <v>Thursday</v>
      </c>
      <c r="P1856">
        <f t="shared" si="168"/>
        <v>18</v>
      </c>
      <c r="Q1856" s="2">
        <f t="shared" si="172"/>
        <v>4</v>
      </c>
      <c r="R1856" s="2">
        <f t="shared" si="173"/>
        <v>1</v>
      </c>
      <c r="S1856">
        <f>SUMIF(Table1[product_category],"Bakery",Table1[Total_bill])</f>
        <v>2951.25</v>
      </c>
    </row>
    <row r="1857" spans="1:19" x14ac:dyDescent="0.3">
      <c r="A1857" s="2">
        <v>11856</v>
      </c>
      <c r="B1857" s="4">
        <v>47487</v>
      </c>
      <c r="C1857" t="s">
        <v>735</v>
      </c>
      <c r="D1857" t="s">
        <v>18</v>
      </c>
      <c r="E1857" t="s">
        <v>19</v>
      </c>
      <c r="F1857" t="s">
        <v>78</v>
      </c>
      <c r="G1857">
        <v>3</v>
      </c>
      <c r="H1857" s="5">
        <v>24</v>
      </c>
      <c r="I1857" t="s">
        <v>101</v>
      </c>
      <c r="J1857" t="s">
        <v>102</v>
      </c>
      <c r="K1857" t="s">
        <v>103</v>
      </c>
      <c r="L1857" t="s">
        <v>2125</v>
      </c>
      <c r="M1857" s="5">
        <f t="shared" si="169"/>
        <v>72</v>
      </c>
      <c r="N1857" t="str">
        <f t="shared" si="170"/>
        <v>January</v>
      </c>
      <c r="O1857" t="str">
        <f t="shared" si="171"/>
        <v>Friday</v>
      </c>
      <c r="P1857">
        <f t="shared" si="168"/>
        <v>8</v>
      </c>
      <c r="Q1857" s="2">
        <f t="shared" si="172"/>
        <v>5</v>
      </c>
      <c r="R1857" s="2">
        <f t="shared" si="173"/>
        <v>1</v>
      </c>
      <c r="S1857">
        <f>SUMIF(Table1[product_category],"Bakery",Table1[Total_bill])</f>
        <v>2951.25</v>
      </c>
    </row>
    <row r="1858" spans="1:19" x14ac:dyDescent="0.3">
      <c r="A1858" s="2">
        <v>11857</v>
      </c>
      <c r="B1858" s="4">
        <v>47488</v>
      </c>
      <c r="C1858" t="s">
        <v>1982</v>
      </c>
      <c r="D1858" t="s">
        <v>40</v>
      </c>
      <c r="E1858" t="s">
        <v>41</v>
      </c>
      <c r="F1858" t="s">
        <v>80</v>
      </c>
      <c r="G1858">
        <v>1</v>
      </c>
      <c r="H1858" s="5">
        <v>2.75</v>
      </c>
      <c r="I1858" t="s">
        <v>21</v>
      </c>
      <c r="J1858" t="s">
        <v>22</v>
      </c>
      <c r="K1858" t="s">
        <v>23</v>
      </c>
      <c r="L1858" t="s">
        <v>2125</v>
      </c>
      <c r="M1858" s="5">
        <f t="shared" si="169"/>
        <v>2.75</v>
      </c>
      <c r="N1858" t="str">
        <f t="shared" si="170"/>
        <v>January</v>
      </c>
      <c r="O1858" t="str">
        <f t="shared" si="171"/>
        <v>Saturday</v>
      </c>
      <c r="P1858">
        <f t="shared" ref="P1858:P1921" si="174">HOUR(TIMEVALUE(C1858))</f>
        <v>15</v>
      </c>
      <c r="Q1858" s="2">
        <f t="shared" si="172"/>
        <v>6</v>
      </c>
      <c r="R1858" s="2">
        <f t="shared" si="173"/>
        <v>1</v>
      </c>
      <c r="S1858">
        <f>SUMIF(Table1[product_category],"Bakery",Table1[Total_bill])</f>
        <v>2951.25</v>
      </c>
    </row>
    <row r="1859" spans="1:19" x14ac:dyDescent="0.3">
      <c r="A1859" s="2">
        <v>11858</v>
      </c>
      <c r="B1859" s="4">
        <v>47489</v>
      </c>
      <c r="C1859" t="s">
        <v>1983</v>
      </c>
      <c r="D1859" t="s">
        <v>18</v>
      </c>
      <c r="E1859" t="s">
        <v>19</v>
      </c>
      <c r="F1859" t="s">
        <v>84</v>
      </c>
      <c r="G1859">
        <v>1</v>
      </c>
      <c r="H1859" s="5">
        <v>3.5</v>
      </c>
      <c r="I1859" t="s">
        <v>36</v>
      </c>
      <c r="J1859" t="s">
        <v>246</v>
      </c>
      <c r="K1859" t="s">
        <v>247</v>
      </c>
      <c r="L1859" t="s">
        <v>2123</v>
      </c>
      <c r="M1859" s="5">
        <f t="shared" ref="M1859:M1922" si="175">G1859*H1859</f>
        <v>3.5</v>
      </c>
      <c r="N1859" t="str">
        <f t="shared" ref="N1859:N1922" si="176">TEXT(B1859,"mmmm")</f>
        <v>January</v>
      </c>
      <c r="O1859" t="str">
        <f t="shared" ref="O1859:O1922" si="177">TEXT(B1859,"dddd")</f>
        <v>Sunday</v>
      </c>
      <c r="P1859">
        <f t="shared" si="174"/>
        <v>11</v>
      </c>
      <c r="Q1859" s="2">
        <f t="shared" ref="Q1859:Q1922" si="178">WEEKDAY(B1859,2)</f>
        <v>7</v>
      </c>
      <c r="R1859" s="2">
        <f t="shared" ref="R1859:R1922" si="179">MONTH(B1859)</f>
        <v>1</v>
      </c>
      <c r="S1859">
        <f>SUMIF(Table1[product_category],"Bakery",Table1[Total_bill])</f>
        <v>2951.25</v>
      </c>
    </row>
    <row r="1860" spans="1:19" x14ac:dyDescent="0.3">
      <c r="A1860" s="2">
        <v>11859</v>
      </c>
      <c r="B1860" s="4">
        <v>47490</v>
      </c>
      <c r="C1860" t="s">
        <v>1984</v>
      </c>
      <c r="D1860" t="s">
        <v>40</v>
      </c>
      <c r="E1860" t="s">
        <v>41</v>
      </c>
      <c r="F1860" t="s">
        <v>86</v>
      </c>
      <c r="G1860">
        <v>1</v>
      </c>
      <c r="H1860" s="5">
        <v>4.75</v>
      </c>
      <c r="I1860" t="s">
        <v>32</v>
      </c>
      <c r="J1860" t="s">
        <v>122</v>
      </c>
      <c r="K1860" t="s">
        <v>122</v>
      </c>
      <c r="L1860" t="s">
        <v>2123</v>
      </c>
      <c r="M1860" s="5">
        <f t="shared" si="175"/>
        <v>4.75</v>
      </c>
      <c r="N1860" t="str">
        <f t="shared" si="176"/>
        <v>January</v>
      </c>
      <c r="O1860" t="str">
        <f t="shared" si="177"/>
        <v>Monday</v>
      </c>
      <c r="P1860">
        <f t="shared" si="174"/>
        <v>17</v>
      </c>
      <c r="Q1860" s="2">
        <f t="shared" si="178"/>
        <v>1</v>
      </c>
      <c r="R1860" s="2">
        <f t="shared" si="179"/>
        <v>1</v>
      </c>
      <c r="S1860">
        <f>SUMIF(Table1[product_category],"Bakery",Table1[Total_bill])</f>
        <v>2951.25</v>
      </c>
    </row>
    <row r="1861" spans="1:19" x14ac:dyDescent="0.3">
      <c r="A1861" s="2">
        <v>11860</v>
      </c>
      <c r="B1861" s="4">
        <v>47491</v>
      </c>
      <c r="C1861" t="s">
        <v>1985</v>
      </c>
      <c r="D1861" t="s">
        <v>25</v>
      </c>
      <c r="E1861" t="s">
        <v>26</v>
      </c>
      <c r="F1861" t="s">
        <v>88</v>
      </c>
      <c r="G1861">
        <v>1</v>
      </c>
      <c r="H1861" s="5">
        <v>9.5</v>
      </c>
      <c r="I1861" t="s">
        <v>28</v>
      </c>
      <c r="J1861" t="s">
        <v>28</v>
      </c>
      <c r="K1861" t="s">
        <v>29</v>
      </c>
      <c r="L1861" t="s">
        <v>2125</v>
      </c>
      <c r="M1861" s="5">
        <f t="shared" si="175"/>
        <v>9.5</v>
      </c>
      <c r="N1861" t="str">
        <f t="shared" si="176"/>
        <v>January</v>
      </c>
      <c r="O1861" t="str">
        <f t="shared" si="177"/>
        <v>Tuesday</v>
      </c>
      <c r="P1861">
        <f t="shared" si="174"/>
        <v>15</v>
      </c>
      <c r="Q1861" s="2">
        <f t="shared" si="178"/>
        <v>2</v>
      </c>
      <c r="R1861" s="2">
        <f t="shared" si="179"/>
        <v>1</v>
      </c>
      <c r="S1861">
        <f>SUMIF(Table1[product_category],"Bakery",Table1[Total_bill])</f>
        <v>2951.25</v>
      </c>
    </row>
    <row r="1862" spans="1:19" x14ac:dyDescent="0.3">
      <c r="A1862" s="2">
        <v>11861</v>
      </c>
      <c r="B1862" s="4">
        <v>47492</v>
      </c>
      <c r="C1862" t="s">
        <v>1986</v>
      </c>
      <c r="D1862" t="s">
        <v>18</v>
      </c>
      <c r="E1862" t="s">
        <v>19</v>
      </c>
      <c r="F1862" t="s">
        <v>93</v>
      </c>
      <c r="G1862">
        <v>3</v>
      </c>
      <c r="H1862" s="5">
        <v>2.25</v>
      </c>
      <c r="I1862" t="s">
        <v>21</v>
      </c>
      <c r="J1862" t="s">
        <v>58</v>
      </c>
      <c r="K1862" t="s">
        <v>59</v>
      </c>
      <c r="L1862" t="s">
        <v>2125</v>
      </c>
      <c r="M1862" s="5">
        <f t="shared" si="175"/>
        <v>6.75</v>
      </c>
      <c r="N1862" t="str">
        <f t="shared" si="176"/>
        <v>January</v>
      </c>
      <c r="O1862" t="str">
        <f t="shared" si="177"/>
        <v>Wednesday</v>
      </c>
      <c r="P1862">
        <f t="shared" si="174"/>
        <v>15</v>
      </c>
      <c r="Q1862" s="2">
        <f t="shared" si="178"/>
        <v>3</v>
      </c>
      <c r="R1862" s="2">
        <f t="shared" si="179"/>
        <v>1</v>
      </c>
      <c r="S1862">
        <f>SUMIF(Table1[product_category],"Bakery",Table1[Total_bill])</f>
        <v>2951.25</v>
      </c>
    </row>
    <row r="1863" spans="1:19" x14ac:dyDescent="0.3">
      <c r="A1863" s="2">
        <v>11862</v>
      </c>
      <c r="B1863" s="4">
        <v>47493</v>
      </c>
      <c r="C1863" t="s">
        <v>1987</v>
      </c>
      <c r="D1863" t="s">
        <v>18</v>
      </c>
      <c r="E1863" t="s">
        <v>19</v>
      </c>
      <c r="F1863" t="s">
        <v>97</v>
      </c>
      <c r="G1863">
        <v>2</v>
      </c>
      <c r="H1863" s="5">
        <v>5</v>
      </c>
      <c r="I1863" t="s">
        <v>36</v>
      </c>
      <c r="J1863" t="s">
        <v>110</v>
      </c>
      <c r="K1863" t="s">
        <v>110</v>
      </c>
      <c r="L1863" t="s">
        <v>2123</v>
      </c>
      <c r="M1863" s="5">
        <f t="shared" si="175"/>
        <v>10</v>
      </c>
      <c r="N1863" t="str">
        <f t="shared" si="176"/>
        <v>January</v>
      </c>
      <c r="O1863" t="str">
        <f t="shared" si="177"/>
        <v>Thursday</v>
      </c>
      <c r="P1863">
        <f t="shared" si="174"/>
        <v>14</v>
      </c>
      <c r="Q1863" s="2">
        <f t="shared" si="178"/>
        <v>4</v>
      </c>
      <c r="R1863" s="2">
        <f t="shared" si="179"/>
        <v>1</v>
      </c>
      <c r="S1863">
        <f>SUMIF(Table1[product_category],"Bakery",Table1[Total_bill])</f>
        <v>2951.25</v>
      </c>
    </row>
    <row r="1864" spans="1:19" x14ac:dyDescent="0.3">
      <c r="A1864" s="2">
        <v>11863</v>
      </c>
      <c r="B1864" s="4">
        <v>47494</v>
      </c>
      <c r="C1864" t="s">
        <v>1988</v>
      </c>
      <c r="D1864" t="s">
        <v>40</v>
      </c>
      <c r="E1864" t="s">
        <v>41</v>
      </c>
      <c r="F1864" t="s">
        <v>100</v>
      </c>
      <c r="G1864">
        <v>1</v>
      </c>
      <c r="H1864" s="5">
        <v>3.25</v>
      </c>
      <c r="I1864" t="s">
        <v>21</v>
      </c>
      <c r="J1864" t="s">
        <v>81</v>
      </c>
      <c r="K1864" t="s">
        <v>82</v>
      </c>
      <c r="L1864" t="s">
        <v>2125</v>
      </c>
      <c r="M1864" s="5">
        <f t="shared" si="175"/>
        <v>3.25</v>
      </c>
      <c r="N1864" t="str">
        <f t="shared" si="176"/>
        <v>January</v>
      </c>
      <c r="O1864" t="str">
        <f t="shared" si="177"/>
        <v>Friday</v>
      </c>
      <c r="P1864">
        <f t="shared" si="174"/>
        <v>8</v>
      </c>
      <c r="Q1864" s="2">
        <f t="shared" si="178"/>
        <v>5</v>
      </c>
      <c r="R1864" s="2">
        <f t="shared" si="179"/>
        <v>1</v>
      </c>
      <c r="S1864">
        <f>SUMIF(Table1[product_category],"Bakery",Table1[Total_bill])</f>
        <v>2951.25</v>
      </c>
    </row>
    <row r="1865" spans="1:19" x14ac:dyDescent="0.3">
      <c r="A1865" s="2">
        <v>11864</v>
      </c>
      <c r="B1865" s="4">
        <v>47495</v>
      </c>
      <c r="C1865" t="s">
        <v>1989</v>
      </c>
      <c r="D1865" t="s">
        <v>40</v>
      </c>
      <c r="E1865" t="s">
        <v>41</v>
      </c>
      <c r="F1865" t="s">
        <v>105</v>
      </c>
      <c r="G1865">
        <v>3</v>
      </c>
      <c r="H1865" s="5">
        <v>3.5</v>
      </c>
      <c r="I1865" t="s">
        <v>36</v>
      </c>
      <c r="J1865" t="s">
        <v>37</v>
      </c>
      <c r="K1865" t="s">
        <v>62</v>
      </c>
      <c r="L1865" t="s">
        <v>2123</v>
      </c>
      <c r="M1865" s="5">
        <f t="shared" si="175"/>
        <v>10.5</v>
      </c>
      <c r="N1865" t="str">
        <f t="shared" si="176"/>
        <v>January</v>
      </c>
      <c r="O1865" t="str">
        <f t="shared" si="177"/>
        <v>Saturday</v>
      </c>
      <c r="P1865">
        <f t="shared" si="174"/>
        <v>12</v>
      </c>
      <c r="Q1865" s="2">
        <f t="shared" si="178"/>
        <v>6</v>
      </c>
      <c r="R1865" s="2">
        <f t="shared" si="179"/>
        <v>1</v>
      </c>
      <c r="S1865">
        <f>SUMIF(Table1[product_category],"Bakery",Table1[Total_bill])</f>
        <v>2951.25</v>
      </c>
    </row>
    <row r="1866" spans="1:19" x14ac:dyDescent="0.3">
      <c r="A1866" s="2">
        <v>11865</v>
      </c>
      <c r="B1866" s="4">
        <v>47496</v>
      </c>
      <c r="C1866" t="s">
        <v>1990</v>
      </c>
      <c r="D1866" t="s">
        <v>18</v>
      </c>
      <c r="E1866" t="s">
        <v>19</v>
      </c>
      <c r="F1866" t="s">
        <v>107</v>
      </c>
      <c r="G1866">
        <v>4</v>
      </c>
      <c r="H1866" s="5">
        <v>3.75</v>
      </c>
      <c r="I1866" t="s">
        <v>32</v>
      </c>
      <c r="J1866" t="s">
        <v>144</v>
      </c>
      <c r="K1866" t="s">
        <v>144</v>
      </c>
      <c r="L1866" t="s">
        <v>2123</v>
      </c>
      <c r="M1866" s="5">
        <f t="shared" si="175"/>
        <v>15</v>
      </c>
      <c r="N1866" t="str">
        <f t="shared" si="176"/>
        <v>January</v>
      </c>
      <c r="O1866" t="str">
        <f t="shared" si="177"/>
        <v>Sunday</v>
      </c>
      <c r="P1866">
        <f t="shared" si="174"/>
        <v>20</v>
      </c>
      <c r="Q1866" s="2">
        <f t="shared" si="178"/>
        <v>7</v>
      </c>
      <c r="R1866" s="2">
        <f t="shared" si="179"/>
        <v>1</v>
      </c>
      <c r="S1866">
        <f>SUMIF(Table1[product_category],"Bakery",Table1[Total_bill])</f>
        <v>2951.25</v>
      </c>
    </row>
    <row r="1867" spans="1:19" x14ac:dyDescent="0.3">
      <c r="A1867" s="2">
        <v>11866</v>
      </c>
      <c r="B1867" s="4">
        <v>47497</v>
      </c>
      <c r="C1867" t="s">
        <v>1991</v>
      </c>
      <c r="D1867" t="s">
        <v>18</v>
      </c>
      <c r="E1867" t="s">
        <v>19</v>
      </c>
      <c r="F1867" t="s">
        <v>109</v>
      </c>
      <c r="G1867">
        <v>2</v>
      </c>
      <c r="H1867" s="5">
        <v>8</v>
      </c>
      <c r="I1867" t="s">
        <v>28</v>
      </c>
      <c r="J1867" t="s">
        <v>28</v>
      </c>
      <c r="K1867" t="s">
        <v>76</v>
      </c>
      <c r="L1867" t="s">
        <v>2125</v>
      </c>
      <c r="M1867" s="5">
        <f t="shared" si="175"/>
        <v>16</v>
      </c>
      <c r="N1867" t="str">
        <f t="shared" si="176"/>
        <v>January</v>
      </c>
      <c r="O1867" t="str">
        <f t="shared" si="177"/>
        <v>Monday</v>
      </c>
      <c r="P1867">
        <f t="shared" si="174"/>
        <v>19</v>
      </c>
      <c r="Q1867" s="2">
        <f t="shared" si="178"/>
        <v>1</v>
      </c>
      <c r="R1867" s="2">
        <f t="shared" si="179"/>
        <v>1</v>
      </c>
      <c r="S1867">
        <f>SUMIF(Table1[product_category],"Bakery",Table1[Total_bill])</f>
        <v>2951.25</v>
      </c>
    </row>
    <row r="1868" spans="1:19" x14ac:dyDescent="0.3">
      <c r="A1868" s="2">
        <v>11867</v>
      </c>
      <c r="B1868" s="4">
        <v>47498</v>
      </c>
      <c r="C1868" t="s">
        <v>1992</v>
      </c>
      <c r="D1868" t="s">
        <v>40</v>
      </c>
      <c r="E1868" t="s">
        <v>41</v>
      </c>
      <c r="F1868" t="s">
        <v>112</v>
      </c>
      <c r="G1868">
        <v>4</v>
      </c>
      <c r="H1868" s="5">
        <v>3.5</v>
      </c>
      <c r="I1868" t="s">
        <v>36</v>
      </c>
      <c r="J1868" t="s">
        <v>37</v>
      </c>
      <c r="K1868" t="s">
        <v>276</v>
      </c>
      <c r="L1868" t="s">
        <v>2123</v>
      </c>
      <c r="M1868" s="5">
        <f t="shared" si="175"/>
        <v>14</v>
      </c>
      <c r="N1868" t="str">
        <f t="shared" si="176"/>
        <v>January</v>
      </c>
      <c r="O1868" t="str">
        <f t="shared" si="177"/>
        <v>Tuesday</v>
      </c>
      <c r="P1868">
        <f t="shared" si="174"/>
        <v>6</v>
      </c>
      <c r="Q1868" s="2">
        <f t="shared" si="178"/>
        <v>2</v>
      </c>
      <c r="R1868" s="2">
        <f t="shared" si="179"/>
        <v>1</v>
      </c>
      <c r="S1868">
        <f>SUMIF(Table1[product_category],"Bakery",Table1[Total_bill])</f>
        <v>2951.25</v>
      </c>
    </row>
    <row r="1869" spans="1:19" x14ac:dyDescent="0.3">
      <c r="A1869" s="2">
        <v>11868</v>
      </c>
      <c r="B1869" s="4">
        <v>47499</v>
      </c>
      <c r="C1869" t="s">
        <v>1993</v>
      </c>
      <c r="D1869" t="s">
        <v>18</v>
      </c>
      <c r="E1869" t="s">
        <v>19</v>
      </c>
      <c r="F1869" t="s">
        <v>115</v>
      </c>
      <c r="G1869">
        <v>3</v>
      </c>
      <c r="H1869" s="5">
        <v>13</v>
      </c>
      <c r="I1869" t="s">
        <v>98</v>
      </c>
      <c r="J1869" t="s">
        <v>98</v>
      </c>
      <c r="K1869" t="s">
        <v>95</v>
      </c>
      <c r="L1869" t="s">
        <v>2125</v>
      </c>
      <c r="M1869" s="5">
        <f t="shared" si="175"/>
        <v>39</v>
      </c>
      <c r="N1869" t="str">
        <f t="shared" si="176"/>
        <v>January</v>
      </c>
      <c r="O1869" t="str">
        <f t="shared" si="177"/>
        <v>Wednesday</v>
      </c>
      <c r="P1869">
        <f t="shared" si="174"/>
        <v>8</v>
      </c>
      <c r="Q1869" s="2">
        <f t="shared" si="178"/>
        <v>3</v>
      </c>
      <c r="R1869" s="2">
        <f t="shared" si="179"/>
        <v>1</v>
      </c>
      <c r="S1869">
        <f>SUMIF(Table1[product_category],"Bakery",Table1[Total_bill])</f>
        <v>2951.25</v>
      </c>
    </row>
    <row r="1870" spans="1:19" x14ac:dyDescent="0.3">
      <c r="A1870" s="2">
        <v>11869</v>
      </c>
      <c r="B1870" s="4">
        <v>47500</v>
      </c>
      <c r="C1870" t="s">
        <v>1994</v>
      </c>
      <c r="D1870" t="s">
        <v>25</v>
      </c>
      <c r="E1870" t="s">
        <v>26</v>
      </c>
      <c r="F1870" t="s">
        <v>117</v>
      </c>
      <c r="G1870">
        <v>2</v>
      </c>
      <c r="H1870" s="5">
        <v>6</v>
      </c>
      <c r="I1870" t="s">
        <v>72</v>
      </c>
      <c r="J1870" t="s">
        <v>72</v>
      </c>
      <c r="K1870" t="s">
        <v>138</v>
      </c>
      <c r="L1870" t="s">
        <v>2125</v>
      </c>
      <c r="M1870" s="5">
        <f t="shared" si="175"/>
        <v>12</v>
      </c>
      <c r="N1870" t="str">
        <f t="shared" si="176"/>
        <v>January</v>
      </c>
      <c r="O1870" t="str">
        <f t="shared" si="177"/>
        <v>Thursday</v>
      </c>
      <c r="P1870">
        <f t="shared" si="174"/>
        <v>7</v>
      </c>
      <c r="Q1870" s="2">
        <f t="shared" si="178"/>
        <v>4</v>
      </c>
      <c r="R1870" s="2">
        <f t="shared" si="179"/>
        <v>1</v>
      </c>
      <c r="S1870">
        <f>SUMIF(Table1[product_category],"Bakery",Table1[Total_bill])</f>
        <v>2951.25</v>
      </c>
    </row>
    <row r="1871" spans="1:19" x14ac:dyDescent="0.3">
      <c r="A1871" s="2">
        <v>11870</v>
      </c>
      <c r="B1871" s="4">
        <v>47501</v>
      </c>
      <c r="C1871" t="s">
        <v>1995</v>
      </c>
      <c r="D1871" t="s">
        <v>25</v>
      </c>
      <c r="E1871" t="s">
        <v>26</v>
      </c>
      <c r="F1871" t="s">
        <v>119</v>
      </c>
      <c r="G1871">
        <v>4</v>
      </c>
      <c r="H1871" s="5">
        <v>3.5</v>
      </c>
      <c r="I1871" t="s">
        <v>36</v>
      </c>
      <c r="J1871" t="s">
        <v>37</v>
      </c>
      <c r="K1871" t="s">
        <v>38</v>
      </c>
      <c r="L1871" t="s">
        <v>2123</v>
      </c>
      <c r="M1871" s="5">
        <f t="shared" si="175"/>
        <v>14</v>
      </c>
      <c r="N1871" t="str">
        <f t="shared" si="176"/>
        <v>January</v>
      </c>
      <c r="O1871" t="str">
        <f t="shared" si="177"/>
        <v>Friday</v>
      </c>
      <c r="P1871">
        <f t="shared" si="174"/>
        <v>15</v>
      </c>
      <c r="Q1871" s="2">
        <f t="shared" si="178"/>
        <v>5</v>
      </c>
      <c r="R1871" s="2">
        <f t="shared" si="179"/>
        <v>1</v>
      </c>
      <c r="S1871">
        <f>SUMIF(Table1[product_category],"Bakery",Table1[Total_bill])</f>
        <v>2951.25</v>
      </c>
    </row>
    <row r="1872" spans="1:19" x14ac:dyDescent="0.3">
      <c r="A1872" s="2">
        <v>11871</v>
      </c>
      <c r="B1872" s="4">
        <v>47502</v>
      </c>
      <c r="C1872" t="s">
        <v>1996</v>
      </c>
      <c r="D1872" t="s">
        <v>25</v>
      </c>
      <c r="E1872" t="s">
        <v>26</v>
      </c>
      <c r="F1872" t="s">
        <v>121</v>
      </c>
      <c r="G1872">
        <v>2</v>
      </c>
      <c r="H1872" s="5">
        <v>3.25</v>
      </c>
      <c r="I1872" t="s">
        <v>21</v>
      </c>
      <c r="J1872" t="s">
        <v>81</v>
      </c>
      <c r="K1872" t="s">
        <v>113</v>
      </c>
      <c r="L1872" t="s">
        <v>2125</v>
      </c>
      <c r="M1872" s="5">
        <f t="shared" si="175"/>
        <v>6.5</v>
      </c>
      <c r="N1872" t="str">
        <f t="shared" si="176"/>
        <v>January</v>
      </c>
      <c r="O1872" t="str">
        <f t="shared" si="177"/>
        <v>Saturday</v>
      </c>
      <c r="P1872">
        <f t="shared" si="174"/>
        <v>16</v>
      </c>
      <c r="Q1872" s="2">
        <f t="shared" si="178"/>
        <v>6</v>
      </c>
      <c r="R1872" s="2">
        <f t="shared" si="179"/>
        <v>1</v>
      </c>
      <c r="S1872">
        <f>SUMIF(Table1[product_category],"Bakery",Table1[Total_bill])</f>
        <v>2951.25</v>
      </c>
    </row>
    <row r="1873" spans="1:19" x14ac:dyDescent="0.3">
      <c r="A1873" s="2">
        <v>11872</v>
      </c>
      <c r="B1873" s="4">
        <v>47503</v>
      </c>
      <c r="C1873" t="s">
        <v>1997</v>
      </c>
      <c r="D1873" t="s">
        <v>18</v>
      </c>
      <c r="E1873" t="s">
        <v>19</v>
      </c>
      <c r="F1873" t="s">
        <v>124</v>
      </c>
      <c r="G1873">
        <v>2</v>
      </c>
      <c r="H1873" s="5">
        <v>2.5</v>
      </c>
      <c r="I1873" t="s">
        <v>36</v>
      </c>
      <c r="J1873" t="s">
        <v>37</v>
      </c>
      <c r="K1873" t="s">
        <v>38</v>
      </c>
      <c r="L1873" t="s">
        <v>2122</v>
      </c>
      <c r="M1873" s="5">
        <f t="shared" si="175"/>
        <v>5</v>
      </c>
      <c r="N1873" t="str">
        <f t="shared" si="176"/>
        <v>January</v>
      </c>
      <c r="O1873" t="str">
        <f t="shared" si="177"/>
        <v>Sunday</v>
      </c>
      <c r="P1873">
        <f t="shared" si="174"/>
        <v>8</v>
      </c>
      <c r="Q1873" s="2">
        <f t="shared" si="178"/>
        <v>7</v>
      </c>
      <c r="R1873" s="2">
        <f t="shared" si="179"/>
        <v>1</v>
      </c>
      <c r="S1873">
        <f>SUMIF(Table1[product_category],"Bakery",Table1[Total_bill])</f>
        <v>2951.25</v>
      </c>
    </row>
    <row r="1874" spans="1:19" x14ac:dyDescent="0.3">
      <c r="A1874" s="2">
        <v>11873</v>
      </c>
      <c r="B1874" s="4">
        <v>47504</v>
      </c>
      <c r="C1874" t="s">
        <v>1998</v>
      </c>
      <c r="D1874" t="s">
        <v>40</v>
      </c>
      <c r="E1874" t="s">
        <v>41</v>
      </c>
      <c r="F1874" t="s">
        <v>126</v>
      </c>
      <c r="G1874">
        <v>2</v>
      </c>
      <c r="H1874" s="5">
        <v>4</v>
      </c>
      <c r="I1874" t="s">
        <v>89</v>
      </c>
      <c r="J1874" t="s">
        <v>90</v>
      </c>
      <c r="K1874" t="s">
        <v>91</v>
      </c>
      <c r="L1874" t="s">
        <v>2122</v>
      </c>
      <c r="M1874" s="5">
        <f t="shared" si="175"/>
        <v>8</v>
      </c>
      <c r="N1874" t="str">
        <f t="shared" si="176"/>
        <v>January</v>
      </c>
      <c r="O1874" t="str">
        <f t="shared" si="177"/>
        <v>Monday</v>
      </c>
      <c r="P1874">
        <f t="shared" si="174"/>
        <v>12</v>
      </c>
      <c r="Q1874" s="2">
        <f t="shared" si="178"/>
        <v>1</v>
      </c>
      <c r="R1874" s="2">
        <f t="shared" si="179"/>
        <v>1</v>
      </c>
      <c r="S1874">
        <f>SUMIF(Table1[product_category],"Bakery",Table1[Total_bill])</f>
        <v>2951.25</v>
      </c>
    </row>
    <row r="1875" spans="1:19" x14ac:dyDescent="0.3">
      <c r="A1875" s="2">
        <v>11874</v>
      </c>
      <c r="B1875" s="4">
        <v>47505</v>
      </c>
      <c r="C1875" t="s">
        <v>1999</v>
      </c>
      <c r="D1875" t="s">
        <v>40</v>
      </c>
      <c r="E1875" t="s">
        <v>41</v>
      </c>
      <c r="F1875" t="s">
        <v>128</v>
      </c>
      <c r="G1875">
        <v>1</v>
      </c>
      <c r="H1875" s="5">
        <v>3.5</v>
      </c>
      <c r="I1875" t="s">
        <v>89</v>
      </c>
      <c r="J1875" t="s">
        <v>261</v>
      </c>
      <c r="K1875" t="s">
        <v>261</v>
      </c>
      <c r="L1875" t="s">
        <v>2122</v>
      </c>
      <c r="M1875" s="5">
        <f t="shared" si="175"/>
        <v>3.5</v>
      </c>
      <c r="N1875" t="str">
        <f t="shared" si="176"/>
        <v>January</v>
      </c>
      <c r="O1875" t="str">
        <f t="shared" si="177"/>
        <v>Tuesday</v>
      </c>
      <c r="P1875">
        <f t="shared" si="174"/>
        <v>17</v>
      </c>
      <c r="Q1875" s="2">
        <f t="shared" si="178"/>
        <v>2</v>
      </c>
      <c r="R1875" s="2">
        <f t="shared" si="179"/>
        <v>1</v>
      </c>
      <c r="S1875">
        <f>SUMIF(Table1[product_category],"Bakery",Table1[Total_bill])</f>
        <v>2951.25</v>
      </c>
    </row>
    <row r="1876" spans="1:19" x14ac:dyDescent="0.3">
      <c r="A1876" s="2">
        <v>11875</v>
      </c>
      <c r="B1876" s="4">
        <v>47506</v>
      </c>
      <c r="C1876" t="s">
        <v>2000</v>
      </c>
      <c r="D1876" t="s">
        <v>18</v>
      </c>
      <c r="E1876" t="s">
        <v>19</v>
      </c>
      <c r="F1876" t="s">
        <v>131</v>
      </c>
      <c r="G1876">
        <v>2</v>
      </c>
      <c r="H1876" s="5">
        <v>2.75</v>
      </c>
      <c r="I1876" t="s">
        <v>32</v>
      </c>
      <c r="J1876" t="s">
        <v>226</v>
      </c>
      <c r="K1876" t="s">
        <v>273</v>
      </c>
      <c r="L1876" t="s">
        <v>2122</v>
      </c>
      <c r="M1876" s="5">
        <f t="shared" si="175"/>
        <v>5.5</v>
      </c>
      <c r="N1876" t="str">
        <f t="shared" si="176"/>
        <v>January</v>
      </c>
      <c r="O1876" t="str">
        <f t="shared" si="177"/>
        <v>Wednesday</v>
      </c>
      <c r="P1876">
        <f t="shared" si="174"/>
        <v>15</v>
      </c>
      <c r="Q1876" s="2">
        <f t="shared" si="178"/>
        <v>3</v>
      </c>
      <c r="R1876" s="2">
        <f t="shared" si="179"/>
        <v>1</v>
      </c>
      <c r="S1876">
        <f>SUMIF(Table1[product_category],"Bakery",Table1[Total_bill])</f>
        <v>2951.25</v>
      </c>
    </row>
    <row r="1877" spans="1:19" x14ac:dyDescent="0.3">
      <c r="A1877" s="2">
        <v>11876</v>
      </c>
      <c r="B1877" s="4">
        <v>47507</v>
      </c>
      <c r="C1877" t="s">
        <v>2001</v>
      </c>
      <c r="D1877" t="s">
        <v>18</v>
      </c>
      <c r="E1877" t="s">
        <v>19</v>
      </c>
      <c r="F1877" t="s">
        <v>133</v>
      </c>
      <c r="G1877">
        <v>1</v>
      </c>
      <c r="H1877" s="5">
        <v>1.75</v>
      </c>
      <c r="I1877" t="s">
        <v>32</v>
      </c>
      <c r="J1877" t="s">
        <v>43</v>
      </c>
      <c r="K1877" t="s">
        <v>44</v>
      </c>
      <c r="L1877" t="s">
        <v>2122</v>
      </c>
      <c r="M1877" s="5">
        <f t="shared" si="175"/>
        <v>1.75</v>
      </c>
      <c r="N1877" t="str">
        <f t="shared" si="176"/>
        <v>January</v>
      </c>
      <c r="O1877" t="str">
        <f t="shared" si="177"/>
        <v>Thursday</v>
      </c>
      <c r="P1877">
        <f t="shared" si="174"/>
        <v>12</v>
      </c>
      <c r="Q1877" s="2">
        <f t="shared" si="178"/>
        <v>4</v>
      </c>
      <c r="R1877" s="2">
        <f t="shared" si="179"/>
        <v>1</v>
      </c>
      <c r="S1877">
        <f>SUMIF(Table1[product_category],"Bakery",Table1[Total_bill])</f>
        <v>2951.25</v>
      </c>
    </row>
    <row r="1878" spans="1:19" x14ac:dyDescent="0.3">
      <c r="A1878" s="2">
        <v>11877</v>
      </c>
      <c r="B1878" s="4">
        <v>47508</v>
      </c>
      <c r="C1878" t="s">
        <v>2002</v>
      </c>
      <c r="D1878" t="s">
        <v>40</v>
      </c>
      <c r="E1878" t="s">
        <v>41</v>
      </c>
      <c r="F1878" t="s">
        <v>135</v>
      </c>
      <c r="G1878">
        <v>2</v>
      </c>
      <c r="H1878" s="5">
        <v>3.5</v>
      </c>
      <c r="I1878" t="s">
        <v>32</v>
      </c>
      <c r="J1878" t="s">
        <v>33</v>
      </c>
      <c r="K1878" t="s">
        <v>33</v>
      </c>
      <c r="L1878" t="s">
        <v>2122</v>
      </c>
      <c r="M1878" s="5">
        <f t="shared" si="175"/>
        <v>7</v>
      </c>
      <c r="N1878" t="str">
        <f t="shared" si="176"/>
        <v>January</v>
      </c>
      <c r="O1878" t="str">
        <f t="shared" si="177"/>
        <v>Friday</v>
      </c>
      <c r="P1878">
        <f t="shared" si="174"/>
        <v>13</v>
      </c>
      <c r="Q1878" s="2">
        <f t="shared" si="178"/>
        <v>5</v>
      </c>
      <c r="R1878" s="2">
        <f t="shared" si="179"/>
        <v>1</v>
      </c>
      <c r="S1878">
        <f>SUMIF(Table1[product_category],"Bakery",Table1[Total_bill])</f>
        <v>2951.25</v>
      </c>
    </row>
    <row r="1879" spans="1:19" x14ac:dyDescent="0.3">
      <c r="A1879" s="2">
        <v>11878</v>
      </c>
      <c r="B1879" s="4">
        <v>47509</v>
      </c>
      <c r="C1879" t="s">
        <v>2003</v>
      </c>
      <c r="D1879" t="s">
        <v>40</v>
      </c>
      <c r="E1879" t="s">
        <v>41</v>
      </c>
      <c r="F1879" t="s">
        <v>137</v>
      </c>
      <c r="G1879">
        <v>3</v>
      </c>
      <c r="H1879" s="5">
        <v>3.75</v>
      </c>
      <c r="I1879" t="s">
        <v>36</v>
      </c>
      <c r="J1879" t="s">
        <v>211</v>
      </c>
      <c r="K1879" t="s">
        <v>212</v>
      </c>
      <c r="L1879" t="s">
        <v>2124</v>
      </c>
      <c r="M1879" s="5">
        <f t="shared" si="175"/>
        <v>11.25</v>
      </c>
      <c r="N1879" t="str">
        <f t="shared" si="176"/>
        <v>January</v>
      </c>
      <c r="O1879" t="str">
        <f t="shared" si="177"/>
        <v>Saturday</v>
      </c>
      <c r="P1879">
        <f t="shared" si="174"/>
        <v>12</v>
      </c>
      <c r="Q1879" s="2">
        <f t="shared" si="178"/>
        <v>6</v>
      </c>
      <c r="R1879" s="2">
        <f t="shared" si="179"/>
        <v>1</v>
      </c>
      <c r="S1879">
        <f>SUMIF(Table1[product_category],"Bakery",Table1[Total_bill])</f>
        <v>2951.25</v>
      </c>
    </row>
    <row r="1880" spans="1:19" x14ac:dyDescent="0.3">
      <c r="A1880" s="2">
        <v>11879</v>
      </c>
      <c r="B1880" s="4">
        <v>47510</v>
      </c>
      <c r="C1880" t="s">
        <v>2004</v>
      </c>
      <c r="D1880" t="s">
        <v>25</v>
      </c>
      <c r="E1880" t="s">
        <v>26</v>
      </c>
      <c r="F1880" t="s">
        <v>140</v>
      </c>
      <c r="G1880">
        <v>3</v>
      </c>
      <c r="H1880" s="5">
        <v>9.5</v>
      </c>
      <c r="I1880" t="s">
        <v>28</v>
      </c>
      <c r="J1880" t="s">
        <v>28</v>
      </c>
      <c r="K1880" t="s">
        <v>29</v>
      </c>
      <c r="L1880" t="s">
        <v>2125</v>
      </c>
      <c r="M1880" s="5">
        <f t="shared" si="175"/>
        <v>28.5</v>
      </c>
      <c r="N1880" t="str">
        <f t="shared" si="176"/>
        <v>January</v>
      </c>
      <c r="O1880" t="str">
        <f t="shared" si="177"/>
        <v>Sunday</v>
      </c>
      <c r="P1880">
        <f t="shared" si="174"/>
        <v>9</v>
      </c>
      <c r="Q1880" s="2">
        <f t="shared" si="178"/>
        <v>7</v>
      </c>
      <c r="R1880" s="2">
        <f t="shared" si="179"/>
        <v>1</v>
      </c>
      <c r="S1880">
        <f>SUMIF(Table1[product_category],"Bakery",Table1[Total_bill])</f>
        <v>2951.25</v>
      </c>
    </row>
    <row r="1881" spans="1:19" x14ac:dyDescent="0.3">
      <c r="A1881" s="2">
        <v>11880</v>
      </c>
      <c r="B1881" s="4">
        <v>47511</v>
      </c>
      <c r="C1881" t="s">
        <v>2005</v>
      </c>
      <c r="D1881" t="s">
        <v>25</v>
      </c>
      <c r="E1881" t="s">
        <v>26</v>
      </c>
      <c r="F1881" t="s">
        <v>143</v>
      </c>
      <c r="G1881">
        <v>3</v>
      </c>
      <c r="H1881" s="5">
        <v>2.75</v>
      </c>
      <c r="I1881" t="s">
        <v>32</v>
      </c>
      <c r="J1881" t="s">
        <v>226</v>
      </c>
      <c r="K1881" t="s">
        <v>273</v>
      </c>
      <c r="L1881" t="s">
        <v>2122</v>
      </c>
      <c r="M1881" s="5">
        <f t="shared" si="175"/>
        <v>8.25</v>
      </c>
      <c r="N1881" t="str">
        <f t="shared" si="176"/>
        <v>January</v>
      </c>
      <c r="O1881" t="str">
        <f t="shared" si="177"/>
        <v>Monday</v>
      </c>
      <c r="P1881">
        <f t="shared" si="174"/>
        <v>12</v>
      </c>
      <c r="Q1881" s="2">
        <f t="shared" si="178"/>
        <v>1</v>
      </c>
      <c r="R1881" s="2">
        <f t="shared" si="179"/>
        <v>1</v>
      </c>
      <c r="S1881">
        <f>SUMIF(Table1[product_category],"Bakery",Table1[Total_bill])</f>
        <v>2951.25</v>
      </c>
    </row>
    <row r="1882" spans="1:19" x14ac:dyDescent="0.3">
      <c r="A1882" s="2">
        <v>11881</v>
      </c>
      <c r="B1882" s="4">
        <v>47512</v>
      </c>
      <c r="C1882" t="s">
        <v>2006</v>
      </c>
      <c r="D1882" t="s">
        <v>40</v>
      </c>
      <c r="E1882" t="s">
        <v>41</v>
      </c>
      <c r="F1882" t="s">
        <v>146</v>
      </c>
      <c r="G1882">
        <v>2</v>
      </c>
      <c r="H1882" s="5">
        <v>4.25</v>
      </c>
      <c r="I1882" t="s">
        <v>32</v>
      </c>
      <c r="J1882" t="s">
        <v>202</v>
      </c>
      <c r="K1882" t="s">
        <v>202</v>
      </c>
      <c r="L1882" t="s">
        <v>2124</v>
      </c>
      <c r="M1882" s="5">
        <f t="shared" si="175"/>
        <v>8.5</v>
      </c>
      <c r="N1882" t="str">
        <f t="shared" si="176"/>
        <v>January</v>
      </c>
      <c r="O1882" t="str">
        <f t="shared" si="177"/>
        <v>Tuesday</v>
      </c>
      <c r="P1882">
        <f t="shared" si="174"/>
        <v>14</v>
      </c>
      <c r="Q1882" s="2">
        <f t="shared" si="178"/>
        <v>2</v>
      </c>
      <c r="R1882" s="2">
        <f t="shared" si="179"/>
        <v>1</v>
      </c>
      <c r="S1882">
        <f>SUMIF(Table1[product_category],"Bakery",Table1[Total_bill])</f>
        <v>2951.25</v>
      </c>
    </row>
    <row r="1883" spans="1:19" x14ac:dyDescent="0.3">
      <c r="A1883" s="2">
        <v>11882</v>
      </c>
      <c r="B1883" s="4">
        <v>47513</v>
      </c>
      <c r="C1883" t="s">
        <v>2007</v>
      </c>
      <c r="D1883" t="s">
        <v>40</v>
      </c>
      <c r="E1883" t="s">
        <v>41</v>
      </c>
      <c r="F1883" t="s">
        <v>148</v>
      </c>
      <c r="G1883">
        <v>3</v>
      </c>
      <c r="H1883" s="5">
        <v>4.75</v>
      </c>
      <c r="I1883" t="s">
        <v>32</v>
      </c>
      <c r="J1883" t="s">
        <v>202</v>
      </c>
      <c r="K1883" t="s">
        <v>202</v>
      </c>
      <c r="L1883" t="s">
        <v>2123</v>
      </c>
      <c r="M1883" s="5">
        <f t="shared" si="175"/>
        <v>14.25</v>
      </c>
      <c r="N1883" t="str">
        <f t="shared" si="176"/>
        <v>January</v>
      </c>
      <c r="O1883" t="str">
        <f t="shared" si="177"/>
        <v>Wednesday</v>
      </c>
      <c r="P1883">
        <f t="shared" si="174"/>
        <v>17</v>
      </c>
      <c r="Q1883" s="2">
        <f t="shared" si="178"/>
        <v>3</v>
      </c>
      <c r="R1883" s="2">
        <f t="shared" si="179"/>
        <v>1</v>
      </c>
      <c r="S1883">
        <f>SUMIF(Table1[product_category],"Bakery",Table1[Total_bill])</f>
        <v>2951.25</v>
      </c>
    </row>
    <row r="1884" spans="1:19" x14ac:dyDescent="0.3">
      <c r="A1884" s="2">
        <v>11883</v>
      </c>
      <c r="B1884" s="4">
        <v>47514</v>
      </c>
      <c r="C1884" t="s">
        <v>2008</v>
      </c>
      <c r="D1884" t="s">
        <v>18</v>
      </c>
      <c r="E1884" t="s">
        <v>19</v>
      </c>
      <c r="F1884" t="s">
        <v>150</v>
      </c>
      <c r="G1884">
        <v>1</v>
      </c>
      <c r="H1884" s="5">
        <v>4.5</v>
      </c>
      <c r="I1884" t="s">
        <v>89</v>
      </c>
      <c r="J1884" t="s">
        <v>261</v>
      </c>
      <c r="K1884" t="s">
        <v>261</v>
      </c>
      <c r="L1884" t="s">
        <v>2123</v>
      </c>
      <c r="M1884" s="5">
        <f t="shared" si="175"/>
        <v>4.5</v>
      </c>
      <c r="N1884" t="str">
        <f t="shared" si="176"/>
        <v>January</v>
      </c>
      <c r="O1884" t="str">
        <f t="shared" si="177"/>
        <v>Thursday</v>
      </c>
      <c r="P1884">
        <f t="shared" si="174"/>
        <v>13</v>
      </c>
      <c r="Q1884" s="2">
        <f t="shared" si="178"/>
        <v>4</v>
      </c>
      <c r="R1884" s="2">
        <f t="shared" si="179"/>
        <v>1</v>
      </c>
      <c r="S1884">
        <f>SUMIF(Table1[product_category],"Bakery",Table1[Total_bill])</f>
        <v>2951.25</v>
      </c>
    </row>
    <row r="1885" spans="1:19" x14ac:dyDescent="0.3">
      <c r="A1885" s="2">
        <v>11884</v>
      </c>
      <c r="B1885" s="4">
        <v>47515</v>
      </c>
      <c r="C1885" t="s">
        <v>2009</v>
      </c>
      <c r="D1885" t="s">
        <v>25</v>
      </c>
      <c r="E1885" t="s">
        <v>26</v>
      </c>
      <c r="F1885" t="s">
        <v>152</v>
      </c>
      <c r="G1885">
        <v>3</v>
      </c>
      <c r="H1885" s="5">
        <v>3.25</v>
      </c>
      <c r="I1885" t="s">
        <v>32</v>
      </c>
      <c r="J1885" t="s">
        <v>144</v>
      </c>
      <c r="K1885" t="s">
        <v>144</v>
      </c>
      <c r="L1885" t="s">
        <v>2124</v>
      </c>
      <c r="M1885" s="5">
        <f t="shared" si="175"/>
        <v>9.75</v>
      </c>
      <c r="N1885" t="str">
        <f t="shared" si="176"/>
        <v>February</v>
      </c>
      <c r="O1885" t="str">
        <f t="shared" si="177"/>
        <v>Friday</v>
      </c>
      <c r="P1885">
        <f t="shared" si="174"/>
        <v>15</v>
      </c>
      <c r="Q1885" s="2">
        <f t="shared" si="178"/>
        <v>5</v>
      </c>
      <c r="R1885" s="2">
        <f t="shared" si="179"/>
        <v>2</v>
      </c>
      <c r="S1885">
        <f>SUMIF(Table1[product_category],"Bakery",Table1[Total_bill])</f>
        <v>2951.25</v>
      </c>
    </row>
    <row r="1886" spans="1:19" x14ac:dyDescent="0.3">
      <c r="A1886" s="2">
        <v>11885</v>
      </c>
      <c r="B1886" s="4">
        <v>47516</v>
      </c>
      <c r="C1886" t="s">
        <v>2010</v>
      </c>
      <c r="D1886" t="s">
        <v>25</v>
      </c>
      <c r="E1886" t="s">
        <v>26</v>
      </c>
      <c r="F1886" t="s">
        <v>154</v>
      </c>
      <c r="G1886">
        <v>1</v>
      </c>
      <c r="H1886" s="5">
        <v>2.25</v>
      </c>
      <c r="I1886" t="s">
        <v>21</v>
      </c>
      <c r="J1886" t="s">
        <v>58</v>
      </c>
      <c r="K1886" t="s">
        <v>59</v>
      </c>
      <c r="L1886" t="s">
        <v>2125</v>
      </c>
      <c r="M1886" s="5">
        <f t="shared" si="175"/>
        <v>2.25</v>
      </c>
      <c r="N1886" t="str">
        <f t="shared" si="176"/>
        <v>February</v>
      </c>
      <c r="O1886" t="str">
        <f t="shared" si="177"/>
        <v>Saturday</v>
      </c>
      <c r="P1886">
        <f t="shared" si="174"/>
        <v>8</v>
      </c>
      <c r="Q1886" s="2">
        <f t="shared" si="178"/>
        <v>6</v>
      </c>
      <c r="R1886" s="2">
        <f t="shared" si="179"/>
        <v>2</v>
      </c>
      <c r="S1886">
        <f>SUMIF(Table1[product_category],"Bakery",Table1[Total_bill])</f>
        <v>2951.25</v>
      </c>
    </row>
    <row r="1887" spans="1:19" x14ac:dyDescent="0.3">
      <c r="A1887" s="2">
        <v>11886</v>
      </c>
      <c r="B1887" s="4">
        <v>47517</v>
      </c>
      <c r="C1887" t="s">
        <v>2011</v>
      </c>
      <c r="D1887" t="s">
        <v>25</v>
      </c>
      <c r="E1887" t="s">
        <v>26</v>
      </c>
      <c r="F1887" t="s">
        <v>156</v>
      </c>
      <c r="G1887">
        <v>3</v>
      </c>
      <c r="H1887" s="5">
        <v>13</v>
      </c>
      <c r="I1887" t="s">
        <v>98</v>
      </c>
      <c r="J1887" t="s">
        <v>98</v>
      </c>
      <c r="K1887" t="s">
        <v>95</v>
      </c>
      <c r="L1887" t="s">
        <v>2125</v>
      </c>
      <c r="M1887" s="5">
        <f t="shared" si="175"/>
        <v>39</v>
      </c>
      <c r="N1887" t="str">
        <f t="shared" si="176"/>
        <v>February</v>
      </c>
      <c r="O1887" t="str">
        <f t="shared" si="177"/>
        <v>Sunday</v>
      </c>
      <c r="P1887">
        <f t="shared" si="174"/>
        <v>11</v>
      </c>
      <c r="Q1887" s="2">
        <f t="shared" si="178"/>
        <v>7</v>
      </c>
      <c r="R1887" s="2">
        <f t="shared" si="179"/>
        <v>2</v>
      </c>
      <c r="S1887">
        <f>SUMIF(Table1[product_category],"Bakery",Table1[Total_bill])</f>
        <v>2951.25</v>
      </c>
    </row>
    <row r="1888" spans="1:19" x14ac:dyDescent="0.3">
      <c r="A1888" s="2">
        <v>11887</v>
      </c>
      <c r="B1888" s="4">
        <v>47518</v>
      </c>
      <c r="C1888" t="s">
        <v>2012</v>
      </c>
      <c r="D1888" t="s">
        <v>40</v>
      </c>
      <c r="E1888" t="s">
        <v>41</v>
      </c>
      <c r="F1888" t="s">
        <v>158</v>
      </c>
      <c r="G1888">
        <v>3</v>
      </c>
      <c r="H1888" s="5">
        <v>4.75</v>
      </c>
      <c r="I1888" t="s">
        <v>32</v>
      </c>
      <c r="J1888" t="s">
        <v>202</v>
      </c>
      <c r="K1888" t="s">
        <v>202</v>
      </c>
      <c r="L1888" t="s">
        <v>2123</v>
      </c>
      <c r="M1888" s="5">
        <f t="shared" si="175"/>
        <v>14.25</v>
      </c>
      <c r="N1888" t="str">
        <f t="shared" si="176"/>
        <v>February</v>
      </c>
      <c r="O1888" t="str">
        <f t="shared" si="177"/>
        <v>Monday</v>
      </c>
      <c r="P1888">
        <f t="shared" si="174"/>
        <v>6</v>
      </c>
      <c r="Q1888" s="2">
        <f t="shared" si="178"/>
        <v>1</v>
      </c>
      <c r="R1888" s="2">
        <f t="shared" si="179"/>
        <v>2</v>
      </c>
      <c r="S1888">
        <f>SUMIF(Table1[product_category],"Bakery",Table1[Total_bill])</f>
        <v>2951.25</v>
      </c>
    </row>
    <row r="1889" spans="1:19" x14ac:dyDescent="0.3">
      <c r="A1889" s="2">
        <v>11888</v>
      </c>
      <c r="B1889" s="4">
        <v>47519</v>
      </c>
      <c r="C1889" t="s">
        <v>2013</v>
      </c>
      <c r="D1889" t="s">
        <v>40</v>
      </c>
      <c r="E1889" t="s">
        <v>41</v>
      </c>
      <c r="F1889" t="s">
        <v>160</v>
      </c>
      <c r="G1889">
        <v>3</v>
      </c>
      <c r="H1889" s="5">
        <v>6</v>
      </c>
      <c r="I1889" t="s">
        <v>72</v>
      </c>
      <c r="J1889" t="s">
        <v>72</v>
      </c>
      <c r="K1889" t="s">
        <v>138</v>
      </c>
      <c r="L1889" t="s">
        <v>2125</v>
      </c>
      <c r="M1889" s="5">
        <f t="shared" si="175"/>
        <v>18</v>
      </c>
      <c r="N1889" t="str">
        <f t="shared" si="176"/>
        <v>February</v>
      </c>
      <c r="O1889" t="str">
        <f t="shared" si="177"/>
        <v>Tuesday</v>
      </c>
      <c r="P1889">
        <f t="shared" si="174"/>
        <v>8</v>
      </c>
      <c r="Q1889" s="2">
        <f t="shared" si="178"/>
        <v>2</v>
      </c>
      <c r="R1889" s="2">
        <f t="shared" si="179"/>
        <v>2</v>
      </c>
      <c r="S1889">
        <f>SUMIF(Table1[product_category],"Bakery",Table1[Total_bill])</f>
        <v>2951.25</v>
      </c>
    </row>
    <row r="1890" spans="1:19" x14ac:dyDescent="0.3">
      <c r="A1890" s="2">
        <v>11889</v>
      </c>
      <c r="B1890" s="4">
        <v>47520</v>
      </c>
      <c r="C1890" t="s">
        <v>2014</v>
      </c>
      <c r="D1890" t="s">
        <v>18</v>
      </c>
      <c r="E1890" t="s">
        <v>19</v>
      </c>
      <c r="F1890" t="s">
        <v>162</v>
      </c>
      <c r="G1890">
        <v>2</v>
      </c>
      <c r="H1890" s="5">
        <v>3.75</v>
      </c>
      <c r="I1890" t="s">
        <v>32</v>
      </c>
      <c r="J1890" t="s">
        <v>69</v>
      </c>
      <c r="K1890" t="s">
        <v>69</v>
      </c>
      <c r="L1890" t="s">
        <v>2122</v>
      </c>
      <c r="M1890" s="5">
        <f t="shared" si="175"/>
        <v>7.5</v>
      </c>
      <c r="N1890" t="str">
        <f t="shared" si="176"/>
        <v>February</v>
      </c>
      <c r="O1890" t="str">
        <f t="shared" si="177"/>
        <v>Wednesday</v>
      </c>
      <c r="P1890">
        <f t="shared" si="174"/>
        <v>15</v>
      </c>
      <c r="Q1890" s="2">
        <f t="shared" si="178"/>
        <v>3</v>
      </c>
      <c r="R1890" s="2">
        <f t="shared" si="179"/>
        <v>2</v>
      </c>
      <c r="S1890">
        <f>SUMIF(Table1[product_category],"Bakery",Table1[Total_bill])</f>
        <v>2951.25</v>
      </c>
    </row>
    <row r="1891" spans="1:19" x14ac:dyDescent="0.3">
      <c r="A1891" s="2">
        <v>11890</v>
      </c>
      <c r="B1891" s="4">
        <v>47521</v>
      </c>
      <c r="C1891" t="s">
        <v>2015</v>
      </c>
      <c r="D1891" t="s">
        <v>25</v>
      </c>
      <c r="E1891" t="s">
        <v>26</v>
      </c>
      <c r="F1891" t="s">
        <v>164</v>
      </c>
      <c r="G1891">
        <v>4</v>
      </c>
      <c r="H1891" s="5">
        <v>4</v>
      </c>
      <c r="I1891" t="s">
        <v>89</v>
      </c>
      <c r="J1891" t="s">
        <v>261</v>
      </c>
      <c r="K1891" t="s">
        <v>261</v>
      </c>
      <c r="L1891" t="s">
        <v>2124</v>
      </c>
      <c r="M1891" s="5">
        <f t="shared" si="175"/>
        <v>16</v>
      </c>
      <c r="N1891" t="str">
        <f t="shared" si="176"/>
        <v>February</v>
      </c>
      <c r="O1891" t="str">
        <f t="shared" si="177"/>
        <v>Thursday</v>
      </c>
      <c r="P1891">
        <f t="shared" si="174"/>
        <v>20</v>
      </c>
      <c r="Q1891" s="2">
        <f t="shared" si="178"/>
        <v>4</v>
      </c>
      <c r="R1891" s="2">
        <f t="shared" si="179"/>
        <v>2</v>
      </c>
      <c r="S1891">
        <f>SUMIF(Table1[product_category],"Bakery",Table1[Total_bill])</f>
        <v>2951.25</v>
      </c>
    </row>
    <row r="1892" spans="1:19" x14ac:dyDescent="0.3">
      <c r="A1892" s="2">
        <v>11891</v>
      </c>
      <c r="B1892" s="4">
        <v>47522</v>
      </c>
      <c r="C1892" t="s">
        <v>1505</v>
      </c>
      <c r="D1892" t="s">
        <v>40</v>
      </c>
      <c r="E1892" t="s">
        <v>41</v>
      </c>
      <c r="F1892" t="s">
        <v>166</v>
      </c>
      <c r="G1892">
        <v>2</v>
      </c>
      <c r="H1892" s="5">
        <v>2.75</v>
      </c>
      <c r="I1892" t="s">
        <v>21</v>
      </c>
      <c r="J1892" t="s">
        <v>22</v>
      </c>
      <c r="K1892" t="s">
        <v>23</v>
      </c>
      <c r="L1892" t="s">
        <v>2125</v>
      </c>
      <c r="M1892" s="5">
        <f t="shared" si="175"/>
        <v>5.5</v>
      </c>
      <c r="N1892" t="str">
        <f t="shared" si="176"/>
        <v>February</v>
      </c>
      <c r="O1892" t="str">
        <f t="shared" si="177"/>
        <v>Friday</v>
      </c>
      <c r="P1892">
        <f t="shared" si="174"/>
        <v>7</v>
      </c>
      <c r="Q1892" s="2">
        <f t="shared" si="178"/>
        <v>5</v>
      </c>
      <c r="R1892" s="2">
        <f t="shared" si="179"/>
        <v>2</v>
      </c>
      <c r="S1892">
        <f>SUMIF(Table1[product_category],"Bakery",Table1[Total_bill])</f>
        <v>2951.25</v>
      </c>
    </row>
    <row r="1893" spans="1:19" x14ac:dyDescent="0.3">
      <c r="A1893" s="2">
        <v>11892</v>
      </c>
      <c r="B1893" s="4">
        <v>47523</v>
      </c>
      <c r="C1893" t="s">
        <v>2016</v>
      </c>
      <c r="D1893" t="s">
        <v>25</v>
      </c>
      <c r="E1893" t="s">
        <v>26</v>
      </c>
      <c r="F1893" t="s">
        <v>168</v>
      </c>
      <c r="G1893">
        <v>3</v>
      </c>
      <c r="H1893" s="5">
        <v>4</v>
      </c>
      <c r="I1893" t="s">
        <v>89</v>
      </c>
      <c r="J1893" t="s">
        <v>261</v>
      </c>
      <c r="K1893" t="s">
        <v>261</v>
      </c>
      <c r="L1893" t="s">
        <v>2124</v>
      </c>
      <c r="M1893" s="5">
        <f t="shared" si="175"/>
        <v>12</v>
      </c>
      <c r="N1893" t="str">
        <f t="shared" si="176"/>
        <v>February</v>
      </c>
      <c r="O1893" t="str">
        <f t="shared" si="177"/>
        <v>Saturday</v>
      </c>
      <c r="P1893">
        <f t="shared" si="174"/>
        <v>10</v>
      </c>
      <c r="Q1893" s="2">
        <f t="shared" si="178"/>
        <v>6</v>
      </c>
      <c r="R1893" s="2">
        <f t="shared" si="179"/>
        <v>2</v>
      </c>
      <c r="S1893">
        <f>SUMIF(Table1[product_category],"Bakery",Table1[Total_bill])</f>
        <v>2951.25</v>
      </c>
    </row>
    <row r="1894" spans="1:19" x14ac:dyDescent="0.3">
      <c r="A1894" s="2">
        <v>11893</v>
      </c>
      <c r="B1894" s="4">
        <v>47524</v>
      </c>
      <c r="C1894" t="s">
        <v>2017</v>
      </c>
      <c r="D1894" t="s">
        <v>18</v>
      </c>
      <c r="E1894" t="s">
        <v>19</v>
      </c>
      <c r="F1894" t="s">
        <v>170</v>
      </c>
      <c r="G1894">
        <v>3</v>
      </c>
      <c r="H1894" s="5">
        <v>11</v>
      </c>
      <c r="I1894" t="s">
        <v>98</v>
      </c>
      <c r="J1894" t="s">
        <v>98</v>
      </c>
      <c r="K1894" t="s">
        <v>215</v>
      </c>
      <c r="L1894" t="s">
        <v>2125</v>
      </c>
      <c r="M1894" s="5">
        <f t="shared" si="175"/>
        <v>33</v>
      </c>
      <c r="N1894" t="str">
        <f t="shared" si="176"/>
        <v>February</v>
      </c>
      <c r="O1894" t="str">
        <f t="shared" si="177"/>
        <v>Sunday</v>
      </c>
      <c r="P1894">
        <f t="shared" si="174"/>
        <v>16</v>
      </c>
      <c r="Q1894" s="2">
        <f t="shared" si="178"/>
        <v>7</v>
      </c>
      <c r="R1894" s="2">
        <f t="shared" si="179"/>
        <v>2</v>
      </c>
      <c r="S1894">
        <f>SUMIF(Table1[product_category],"Bakery",Table1[Total_bill])</f>
        <v>2951.25</v>
      </c>
    </row>
    <row r="1895" spans="1:19" x14ac:dyDescent="0.3">
      <c r="A1895" s="2">
        <v>11894</v>
      </c>
      <c r="B1895" s="4">
        <v>47525</v>
      </c>
      <c r="C1895" t="s">
        <v>2018</v>
      </c>
      <c r="D1895" t="s">
        <v>25</v>
      </c>
      <c r="E1895" t="s">
        <v>26</v>
      </c>
      <c r="F1895" t="s">
        <v>172</v>
      </c>
      <c r="G1895">
        <v>4</v>
      </c>
      <c r="H1895" s="5">
        <v>4</v>
      </c>
      <c r="I1895" t="s">
        <v>89</v>
      </c>
      <c r="J1895" t="s">
        <v>261</v>
      </c>
      <c r="K1895" t="s">
        <v>261</v>
      </c>
      <c r="L1895" t="s">
        <v>2124</v>
      </c>
      <c r="M1895" s="5">
        <f t="shared" si="175"/>
        <v>16</v>
      </c>
      <c r="N1895" t="str">
        <f t="shared" si="176"/>
        <v>February</v>
      </c>
      <c r="O1895" t="str">
        <f t="shared" si="177"/>
        <v>Monday</v>
      </c>
      <c r="P1895">
        <f t="shared" si="174"/>
        <v>8</v>
      </c>
      <c r="Q1895" s="2">
        <f t="shared" si="178"/>
        <v>1</v>
      </c>
      <c r="R1895" s="2">
        <f t="shared" si="179"/>
        <v>2</v>
      </c>
      <c r="S1895">
        <f>SUMIF(Table1[product_category],"Bakery",Table1[Total_bill])</f>
        <v>2951.25</v>
      </c>
    </row>
    <row r="1896" spans="1:19" x14ac:dyDescent="0.3">
      <c r="A1896" s="2">
        <v>11895</v>
      </c>
      <c r="B1896" s="4">
        <v>47526</v>
      </c>
      <c r="C1896" t="s">
        <v>2019</v>
      </c>
      <c r="D1896" t="s">
        <v>18</v>
      </c>
      <c r="E1896" t="s">
        <v>19</v>
      </c>
      <c r="F1896" t="s">
        <v>174</v>
      </c>
      <c r="G1896">
        <v>2</v>
      </c>
      <c r="H1896" s="5">
        <v>9.5</v>
      </c>
      <c r="I1896" t="s">
        <v>28</v>
      </c>
      <c r="J1896" t="s">
        <v>28</v>
      </c>
      <c r="K1896" t="s">
        <v>29</v>
      </c>
      <c r="L1896" t="s">
        <v>2125</v>
      </c>
      <c r="M1896" s="5">
        <f t="shared" si="175"/>
        <v>19</v>
      </c>
      <c r="N1896" t="str">
        <f t="shared" si="176"/>
        <v>February</v>
      </c>
      <c r="O1896" t="str">
        <f t="shared" si="177"/>
        <v>Tuesday</v>
      </c>
      <c r="P1896">
        <f t="shared" si="174"/>
        <v>12</v>
      </c>
      <c r="Q1896" s="2">
        <f t="shared" si="178"/>
        <v>2</v>
      </c>
      <c r="R1896" s="2">
        <f t="shared" si="179"/>
        <v>2</v>
      </c>
      <c r="S1896">
        <f>SUMIF(Table1[product_category],"Bakery",Table1[Total_bill])</f>
        <v>2951.25</v>
      </c>
    </row>
    <row r="1897" spans="1:19" x14ac:dyDescent="0.3">
      <c r="A1897" s="2">
        <v>11896</v>
      </c>
      <c r="B1897" s="4">
        <v>47527</v>
      </c>
      <c r="C1897" t="s">
        <v>2020</v>
      </c>
      <c r="D1897" t="s">
        <v>18</v>
      </c>
      <c r="E1897" t="s">
        <v>19</v>
      </c>
      <c r="F1897" t="s">
        <v>176</v>
      </c>
      <c r="G1897">
        <v>2</v>
      </c>
      <c r="H1897" s="5">
        <v>11</v>
      </c>
      <c r="I1897" t="s">
        <v>98</v>
      </c>
      <c r="J1897" t="s">
        <v>98</v>
      </c>
      <c r="K1897" t="s">
        <v>215</v>
      </c>
      <c r="L1897" t="s">
        <v>2125</v>
      </c>
      <c r="M1897" s="5">
        <f t="shared" si="175"/>
        <v>22</v>
      </c>
      <c r="N1897" t="str">
        <f t="shared" si="176"/>
        <v>February</v>
      </c>
      <c r="O1897" t="str">
        <f t="shared" si="177"/>
        <v>Wednesday</v>
      </c>
      <c r="P1897">
        <f t="shared" si="174"/>
        <v>15</v>
      </c>
      <c r="Q1897" s="2">
        <f t="shared" si="178"/>
        <v>3</v>
      </c>
      <c r="R1897" s="2">
        <f t="shared" si="179"/>
        <v>2</v>
      </c>
      <c r="S1897">
        <f>SUMIF(Table1[product_category],"Bakery",Table1[Total_bill])</f>
        <v>2951.25</v>
      </c>
    </row>
    <row r="1898" spans="1:19" x14ac:dyDescent="0.3">
      <c r="A1898" s="2">
        <v>11897</v>
      </c>
      <c r="B1898" s="4">
        <v>47528</v>
      </c>
      <c r="C1898" t="s">
        <v>2021</v>
      </c>
      <c r="D1898" t="s">
        <v>40</v>
      </c>
      <c r="E1898" t="s">
        <v>41</v>
      </c>
      <c r="F1898" t="s">
        <v>178</v>
      </c>
      <c r="G1898">
        <v>1</v>
      </c>
      <c r="H1898" s="5">
        <v>1.75</v>
      </c>
      <c r="I1898" t="s">
        <v>32</v>
      </c>
      <c r="J1898" t="s">
        <v>43</v>
      </c>
      <c r="K1898" t="s">
        <v>44</v>
      </c>
      <c r="L1898" t="s">
        <v>2122</v>
      </c>
      <c r="M1898" s="5">
        <f t="shared" si="175"/>
        <v>1.75</v>
      </c>
      <c r="N1898" t="str">
        <f t="shared" si="176"/>
        <v>February</v>
      </c>
      <c r="O1898" t="str">
        <f t="shared" si="177"/>
        <v>Thursday</v>
      </c>
      <c r="P1898">
        <f t="shared" si="174"/>
        <v>13</v>
      </c>
      <c r="Q1898" s="2">
        <f t="shared" si="178"/>
        <v>4</v>
      </c>
      <c r="R1898" s="2">
        <f t="shared" si="179"/>
        <v>2</v>
      </c>
      <c r="S1898">
        <f>SUMIF(Table1[product_category],"Bakery",Table1[Total_bill])</f>
        <v>2951.25</v>
      </c>
    </row>
    <row r="1899" spans="1:19" x14ac:dyDescent="0.3">
      <c r="A1899" s="2">
        <v>11898</v>
      </c>
      <c r="B1899" s="4">
        <v>47529</v>
      </c>
      <c r="C1899" t="s">
        <v>2022</v>
      </c>
      <c r="D1899" t="s">
        <v>25</v>
      </c>
      <c r="E1899" t="s">
        <v>26</v>
      </c>
      <c r="F1899" t="s">
        <v>180</v>
      </c>
      <c r="G1899">
        <v>3</v>
      </c>
      <c r="H1899" s="5">
        <v>3</v>
      </c>
      <c r="I1899" t="s">
        <v>32</v>
      </c>
      <c r="J1899" t="s">
        <v>55</v>
      </c>
      <c r="K1899" t="s">
        <v>55</v>
      </c>
      <c r="L1899" t="s">
        <v>2122</v>
      </c>
      <c r="M1899" s="5">
        <f t="shared" si="175"/>
        <v>9</v>
      </c>
      <c r="N1899" t="str">
        <f t="shared" si="176"/>
        <v>February</v>
      </c>
      <c r="O1899" t="str">
        <f t="shared" si="177"/>
        <v>Friday</v>
      </c>
      <c r="P1899">
        <f t="shared" si="174"/>
        <v>8</v>
      </c>
      <c r="Q1899" s="2">
        <f t="shared" si="178"/>
        <v>5</v>
      </c>
      <c r="R1899" s="2">
        <f t="shared" si="179"/>
        <v>2</v>
      </c>
      <c r="S1899">
        <f>SUMIF(Table1[product_category],"Bakery",Table1[Total_bill])</f>
        <v>2951.25</v>
      </c>
    </row>
    <row r="1900" spans="1:19" x14ac:dyDescent="0.3">
      <c r="A1900" s="2">
        <v>11899</v>
      </c>
      <c r="B1900" s="4">
        <v>47530</v>
      </c>
      <c r="C1900" t="s">
        <v>2023</v>
      </c>
      <c r="D1900" t="s">
        <v>25</v>
      </c>
      <c r="E1900" t="s">
        <v>26</v>
      </c>
      <c r="F1900" t="s">
        <v>184</v>
      </c>
      <c r="G1900">
        <v>4</v>
      </c>
      <c r="H1900" s="5">
        <v>3</v>
      </c>
      <c r="I1900" t="s">
        <v>21</v>
      </c>
      <c r="J1900" t="s">
        <v>181</v>
      </c>
      <c r="K1900" t="s">
        <v>182</v>
      </c>
      <c r="L1900" t="s">
        <v>2125</v>
      </c>
      <c r="M1900" s="5">
        <f t="shared" si="175"/>
        <v>12</v>
      </c>
      <c r="N1900" t="str">
        <f t="shared" si="176"/>
        <v>February</v>
      </c>
      <c r="O1900" t="str">
        <f t="shared" si="177"/>
        <v>Saturday</v>
      </c>
      <c r="P1900">
        <f t="shared" si="174"/>
        <v>10</v>
      </c>
      <c r="Q1900" s="2">
        <f t="shared" si="178"/>
        <v>6</v>
      </c>
      <c r="R1900" s="2">
        <f t="shared" si="179"/>
        <v>2</v>
      </c>
      <c r="S1900">
        <f>SUMIF(Table1[product_category],"Bakery",Table1[Total_bill])</f>
        <v>2951.25</v>
      </c>
    </row>
    <row r="1901" spans="1:19" x14ac:dyDescent="0.3">
      <c r="A1901" s="2">
        <v>11900</v>
      </c>
      <c r="B1901" s="4">
        <v>47531</v>
      </c>
      <c r="C1901" t="s">
        <v>2024</v>
      </c>
      <c r="D1901" t="s">
        <v>18</v>
      </c>
      <c r="E1901" t="s">
        <v>19</v>
      </c>
      <c r="F1901" t="s">
        <v>186</v>
      </c>
      <c r="G1901">
        <v>2</v>
      </c>
      <c r="H1901" s="5">
        <v>11</v>
      </c>
      <c r="I1901" t="s">
        <v>98</v>
      </c>
      <c r="J1901" t="s">
        <v>98</v>
      </c>
      <c r="K1901" t="s">
        <v>215</v>
      </c>
      <c r="L1901" t="s">
        <v>2125</v>
      </c>
      <c r="M1901" s="5">
        <f t="shared" si="175"/>
        <v>22</v>
      </c>
      <c r="N1901" t="str">
        <f t="shared" si="176"/>
        <v>February</v>
      </c>
      <c r="O1901" t="str">
        <f t="shared" si="177"/>
        <v>Sunday</v>
      </c>
      <c r="P1901">
        <f t="shared" si="174"/>
        <v>16</v>
      </c>
      <c r="Q1901" s="2">
        <f t="shared" si="178"/>
        <v>7</v>
      </c>
      <c r="R1901" s="2">
        <f t="shared" si="179"/>
        <v>2</v>
      </c>
      <c r="S1901">
        <f>SUMIF(Table1[product_category],"Bakery",Table1[Total_bill])</f>
        <v>2951.25</v>
      </c>
    </row>
    <row r="1902" spans="1:19" x14ac:dyDescent="0.3">
      <c r="A1902" s="2">
        <v>11901</v>
      </c>
      <c r="B1902" s="4">
        <v>47532</v>
      </c>
      <c r="C1902" t="s">
        <v>2025</v>
      </c>
      <c r="D1902" t="s">
        <v>25</v>
      </c>
      <c r="E1902" t="s">
        <v>26</v>
      </c>
      <c r="F1902" t="s">
        <v>188</v>
      </c>
      <c r="G1902">
        <v>2</v>
      </c>
      <c r="H1902" s="5">
        <v>4</v>
      </c>
      <c r="I1902" t="s">
        <v>32</v>
      </c>
      <c r="J1902" t="s">
        <v>122</v>
      </c>
      <c r="K1902" t="s">
        <v>122</v>
      </c>
      <c r="L1902" t="s">
        <v>2124</v>
      </c>
      <c r="M1902" s="5">
        <f t="shared" si="175"/>
        <v>8</v>
      </c>
      <c r="N1902" t="str">
        <f t="shared" si="176"/>
        <v>February</v>
      </c>
      <c r="O1902" t="str">
        <f t="shared" si="177"/>
        <v>Monday</v>
      </c>
      <c r="P1902">
        <f t="shared" si="174"/>
        <v>12</v>
      </c>
      <c r="Q1902" s="2">
        <f t="shared" si="178"/>
        <v>1</v>
      </c>
      <c r="R1902" s="2">
        <f t="shared" si="179"/>
        <v>2</v>
      </c>
      <c r="S1902">
        <f>SUMIF(Table1[product_category],"Bakery",Table1[Total_bill])</f>
        <v>2951.25</v>
      </c>
    </row>
    <row r="1903" spans="1:19" x14ac:dyDescent="0.3">
      <c r="A1903" s="2">
        <v>11902</v>
      </c>
      <c r="B1903" s="4">
        <v>47533</v>
      </c>
      <c r="C1903" t="s">
        <v>2026</v>
      </c>
      <c r="D1903" t="s">
        <v>18</v>
      </c>
      <c r="E1903" t="s">
        <v>19</v>
      </c>
      <c r="F1903" t="s">
        <v>190</v>
      </c>
      <c r="G1903">
        <v>3</v>
      </c>
      <c r="H1903" s="5">
        <v>13</v>
      </c>
      <c r="I1903" t="s">
        <v>98</v>
      </c>
      <c r="J1903" t="s">
        <v>98</v>
      </c>
      <c r="K1903" t="s">
        <v>95</v>
      </c>
      <c r="L1903" t="s">
        <v>2125</v>
      </c>
      <c r="M1903" s="5">
        <f t="shared" si="175"/>
        <v>39</v>
      </c>
      <c r="N1903" t="str">
        <f t="shared" si="176"/>
        <v>February</v>
      </c>
      <c r="O1903" t="str">
        <f t="shared" si="177"/>
        <v>Tuesday</v>
      </c>
      <c r="P1903">
        <f t="shared" si="174"/>
        <v>6</v>
      </c>
      <c r="Q1903" s="2">
        <f t="shared" si="178"/>
        <v>2</v>
      </c>
      <c r="R1903" s="2">
        <f t="shared" si="179"/>
        <v>2</v>
      </c>
      <c r="S1903">
        <f>SUMIF(Table1[product_category],"Bakery",Table1[Total_bill])</f>
        <v>2951.25</v>
      </c>
    </row>
    <row r="1904" spans="1:19" x14ac:dyDescent="0.3">
      <c r="A1904" s="2">
        <v>11903</v>
      </c>
      <c r="B1904" s="4">
        <v>47534</v>
      </c>
      <c r="C1904" t="s">
        <v>2027</v>
      </c>
      <c r="D1904" t="s">
        <v>18</v>
      </c>
      <c r="E1904" t="s">
        <v>19</v>
      </c>
      <c r="F1904" t="s">
        <v>192</v>
      </c>
      <c r="G1904">
        <v>2</v>
      </c>
      <c r="H1904" s="5">
        <v>4.25</v>
      </c>
      <c r="I1904" t="s">
        <v>32</v>
      </c>
      <c r="J1904" t="s">
        <v>69</v>
      </c>
      <c r="K1904" t="s">
        <v>69</v>
      </c>
      <c r="L1904" t="s">
        <v>2124</v>
      </c>
      <c r="M1904" s="5">
        <f t="shared" si="175"/>
        <v>8.5</v>
      </c>
      <c r="N1904" t="str">
        <f t="shared" si="176"/>
        <v>February</v>
      </c>
      <c r="O1904" t="str">
        <f t="shared" si="177"/>
        <v>Wednesday</v>
      </c>
      <c r="P1904">
        <f t="shared" si="174"/>
        <v>15</v>
      </c>
      <c r="Q1904" s="2">
        <f t="shared" si="178"/>
        <v>3</v>
      </c>
      <c r="R1904" s="2">
        <f t="shared" si="179"/>
        <v>2</v>
      </c>
      <c r="S1904">
        <f>SUMIF(Table1[product_category],"Bakery",Table1[Total_bill])</f>
        <v>2951.25</v>
      </c>
    </row>
    <row r="1905" spans="1:19" x14ac:dyDescent="0.3">
      <c r="A1905" s="2">
        <v>11904</v>
      </c>
      <c r="B1905" s="4">
        <v>47535</v>
      </c>
      <c r="C1905" t="s">
        <v>2028</v>
      </c>
      <c r="D1905" t="s">
        <v>25</v>
      </c>
      <c r="E1905" t="s">
        <v>26</v>
      </c>
      <c r="F1905" t="s">
        <v>195</v>
      </c>
      <c r="G1905">
        <v>1</v>
      </c>
      <c r="H1905" s="5">
        <v>3.5</v>
      </c>
      <c r="I1905" t="s">
        <v>32</v>
      </c>
      <c r="J1905" t="s">
        <v>33</v>
      </c>
      <c r="K1905" t="s">
        <v>33</v>
      </c>
      <c r="L1905" t="s">
        <v>2122</v>
      </c>
      <c r="M1905" s="5">
        <f t="shared" si="175"/>
        <v>3.5</v>
      </c>
      <c r="N1905" t="str">
        <f t="shared" si="176"/>
        <v>February</v>
      </c>
      <c r="O1905" t="str">
        <f t="shared" si="177"/>
        <v>Thursday</v>
      </c>
      <c r="P1905">
        <f t="shared" si="174"/>
        <v>6</v>
      </c>
      <c r="Q1905" s="2">
        <f t="shared" si="178"/>
        <v>4</v>
      </c>
      <c r="R1905" s="2">
        <f t="shared" si="179"/>
        <v>2</v>
      </c>
      <c r="S1905">
        <f>SUMIF(Table1[product_category],"Bakery",Table1[Total_bill])</f>
        <v>2951.25</v>
      </c>
    </row>
    <row r="1906" spans="1:19" x14ac:dyDescent="0.3">
      <c r="A1906" s="2">
        <v>11905</v>
      </c>
      <c r="B1906" s="4">
        <v>47536</v>
      </c>
      <c r="C1906" t="s">
        <v>2029</v>
      </c>
      <c r="D1906" t="s">
        <v>40</v>
      </c>
      <c r="E1906" t="s">
        <v>41</v>
      </c>
      <c r="F1906" t="s">
        <v>197</v>
      </c>
      <c r="G1906">
        <v>4</v>
      </c>
      <c r="H1906" s="5">
        <v>4.25</v>
      </c>
      <c r="I1906" t="s">
        <v>32</v>
      </c>
      <c r="J1906" t="s">
        <v>202</v>
      </c>
      <c r="K1906" t="s">
        <v>202</v>
      </c>
      <c r="L1906" t="s">
        <v>2124</v>
      </c>
      <c r="M1906" s="5">
        <f t="shared" si="175"/>
        <v>17</v>
      </c>
      <c r="N1906" t="str">
        <f t="shared" si="176"/>
        <v>February</v>
      </c>
      <c r="O1906" t="str">
        <f t="shared" si="177"/>
        <v>Friday</v>
      </c>
      <c r="P1906">
        <f t="shared" si="174"/>
        <v>15</v>
      </c>
      <c r="Q1906" s="2">
        <f t="shared" si="178"/>
        <v>5</v>
      </c>
      <c r="R1906" s="2">
        <f t="shared" si="179"/>
        <v>2</v>
      </c>
      <c r="S1906">
        <f>SUMIF(Table1[product_category],"Bakery",Table1[Total_bill])</f>
        <v>2951.25</v>
      </c>
    </row>
    <row r="1907" spans="1:19" x14ac:dyDescent="0.3">
      <c r="A1907" s="2">
        <v>11906</v>
      </c>
      <c r="B1907" s="4">
        <v>47537</v>
      </c>
      <c r="C1907" t="s">
        <v>2030</v>
      </c>
      <c r="D1907" t="s">
        <v>18</v>
      </c>
      <c r="E1907" t="s">
        <v>19</v>
      </c>
      <c r="F1907" t="s">
        <v>199</v>
      </c>
      <c r="G1907">
        <v>4</v>
      </c>
      <c r="H1907" s="5">
        <v>3.25</v>
      </c>
      <c r="I1907" t="s">
        <v>21</v>
      </c>
      <c r="J1907" t="s">
        <v>81</v>
      </c>
      <c r="K1907" t="s">
        <v>113</v>
      </c>
      <c r="L1907" t="s">
        <v>2125</v>
      </c>
      <c r="M1907" s="5">
        <f t="shared" si="175"/>
        <v>13</v>
      </c>
      <c r="N1907" t="str">
        <f t="shared" si="176"/>
        <v>February</v>
      </c>
      <c r="O1907" t="str">
        <f t="shared" si="177"/>
        <v>Saturday</v>
      </c>
      <c r="P1907">
        <f t="shared" si="174"/>
        <v>8</v>
      </c>
      <c r="Q1907" s="2">
        <f t="shared" si="178"/>
        <v>6</v>
      </c>
      <c r="R1907" s="2">
        <f t="shared" si="179"/>
        <v>2</v>
      </c>
      <c r="S1907">
        <f>SUMIF(Table1[product_category],"Bakery",Table1[Total_bill])</f>
        <v>2951.25</v>
      </c>
    </row>
    <row r="1908" spans="1:19" x14ac:dyDescent="0.3">
      <c r="A1908" s="2">
        <v>11907</v>
      </c>
      <c r="B1908" s="4">
        <v>47538</v>
      </c>
      <c r="C1908" t="s">
        <v>2031</v>
      </c>
      <c r="D1908" t="s">
        <v>40</v>
      </c>
      <c r="E1908" t="s">
        <v>41</v>
      </c>
      <c r="F1908" t="s">
        <v>201</v>
      </c>
      <c r="G1908">
        <v>1</v>
      </c>
      <c r="H1908" s="5">
        <v>2.25</v>
      </c>
      <c r="I1908" t="s">
        <v>32</v>
      </c>
      <c r="J1908" t="s">
        <v>43</v>
      </c>
      <c r="K1908" t="s">
        <v>44</v>
      </c>
      <c r="L1908" t="s">
        <v>2124</v>
      </c>
      <c r="M1908" s="5">
        <f t="shared" si="175"/>
        <v>2.25</v>
      </c>
      <c r="N1908" t="str">
        <f t="shared" si="176"/>
        <v>February</v>
      </c>
      <c r="O1908" t="str">
        <f t="shared" si="177"/>
        <v>Sunday</v>
      </c>
      <c r="P1908">
        <f t="shared" si="174"/>
        <v>20</v>
      </c>
      <c r="Q1908" s="2">
        <f t="shared" si="178"/>
        <v>7</v>
      </c>
      <c r="R1908" s="2">
        <f t="shared" si="179"/>
        <v>2</v>
      </c>
      <c r="S1908">
        <f>SUMIF(Table1[product_category],"Bakery",Table1[Total_bill])</f>
        <v>2951.25</v>
      </c>
    </row>
    <row r="1909" spans="1:19" x14ac:dyDescent="0.3">
      <c r="A1909" s="2">
        <v>11908</v>
      </c>
      <c r="B1909" s="4">
        <v>47539</v>
      </c>
      <c r="C1909" t="s">
        <v>2032</v>
      </c>
      <c r="D1909" t="s">
        <v>18</v>
      </c>
      <c r="E1909" t="s">
        <v>19</v>
      </c>
      <c r="F1909" t="s">
        <v>204</v>
      </c>
      <c r="G1909">
        <v>2</v>
      </c>
      <c r="H1909" s="5">
        <v>3.75</v>
      </c>
      <c r="I1909" t="s">
        <v>32</v>
      </c>
      <c r="J1909" t="s">
        <v>226</v>
      </c>
      <c r="K1909" t="s">
        <v>273</v>
      </c>
      <c r="L1909" t="s">
        <v>2123</v>
      </c>
      <c r="M1909" s="5">
        <f t="shared" si="175"/>
        <v>7.5</v>
      </c>
      <c r="N1909" t="str">
        <f t="shared" si="176"/>
        <v>February</v>
      </c>
      <c r="O1909" t="str">
        <f t="shared" si="177"/>
        <v>Monday</v>
      </c>
      <c r="P1909">
        <f t="shared" si="174"/>
        <v>10</v>
      </c>
      <c r="Q1909" s="2">
        <f t="shared" si="178"/>
        <v>1</v>
      </c>
      <c r="R1909" s="2">
        <f t="shared" si="179"/>
        <v>2</v>
      </c>
      <c r="S1909">
        <f>SUMIF(Table1[product_category],"Bakery",Table1[Total_bill])</f>
        <v>2951.25</v>
      </c>
    </row>
    <row r="1910" spans="1:19" x14ac:dyDescent="0.3">
      <c r="A1910" s="2">
        <v>11909</v>
      </c>
      <c r="B1910" s="4">
        <v>47540</v>
      </c>
      <c r="C1910" t="s">
        <v>972</v>
      </c>
      <c r="D1910" t="s">
        <v>40</v>
      </c>
      <c r="E1910" t="s">
        <v>41</v>
      </c>
      <c r="F1910" t="s">
        <v>206</v>
      </c>
      <c r="G1910">
        <v>4</v>
      </c>
      <c r="H1910" s="5">
        <v>13</v>
      </c>
      <c r="I1910" t="s">
        <v>98</v>
      </c>
      <c r="J1910" t="s">
        <v>98</v>
      </c>
      <c r="K1910" t="s">
        <v>95</v>
      </c>
      <c r="L1910" t="s">
        <v>2125</v>
      </c>
      <c r="M1910" s="5">
        <f t="shared" si="175"/>
        <v>52</v>
      </c>
      <c r="N1910" t="str">
        <f t="shared" si="176"/>
        <v>February</v>
      </c>
      <c r="O1910" t="str">
        <f t="shared" si="177"/>
        <v>Tuesday</v>
      </c>
      <c r="P1910">
        <f t="shared" si="174"/>
        <v>9</v>
      </c>
      <c r="Q1910" s="2">
        <f t="shared" si="178"/>
        <v>2</v>
      </c>
      <c r="R1910" s="2">
        <f t="shared" si="179"/>
        <v>2</v>
      </c>
      <c r="S1910">
        <f>SUMIF(Table1[product_category],"Bakery",Table1[Total_bill])</f>
        <v>2951.25</v>
      </c>
    </row>
    <row r="1911" spans="1:19" x14ac:dyDescent="0.3">
      <c r="A1911" s="2">
        <v>11910</v>
      </c>
      <c r="B1911" s="4">
        <v>47541</v>
      </c>
      <c r="C1911" t="s">
        <v>2033</v>
      </c>
      <c r="D1911" t="s">
        <v>40</v>
      </c>
      <c r="E1911" t="s">
        <v>41</v>
      </c>
      <c r="F1911" t="s">
        <v>208</v>
      </c>
      <c r="G1911">
        <v>3</v>
      </c>
      <c r="H1911" s="5">
        <v>14</v>
      </c>
      <c r="I1911" t="s">
        <v>101</v>
      </c>
      <c r="J1911" t="s">
        <v>102</v>
      </c>
      <c r="K1911" t="s">
        <v>193</v>
      </c>
      <c r="L1911" t="s">
        <v>2125</v>
      </c>
      <c r="M1911" s="5">
        <f t="shared" si="175"/>
        <v>42</v>
      </c>
      <c r="N1911" t="str">
        <f t="shared" si="176"/>
        <v>February</v>
      </c>
      <c r="O1911" t="str">
        <f t="shared" si="177"/>
        <v>Wednesday</v>
      </c>
      <c r="P1911">
        <f t="shared" si="174"/>
        <v>7</v>
      </c>
      <c r="Q1911" s="2">
        <f t="shared" si="178"/>
        <v>3</v>
      </c>
      <c r="R1911" s="2">
        <f t="shared" si="179"/>
        <v>2</v>
      </c>
      <c r="S1911">
        <f>SUMIF(Table1[product_category],"Bakery",Table1[Total_bill])</f>
        <v>2951.25</v>
      </c>
    </row>
    <row r="1912" spans="1:19" x14ac:dyDescent="0.3">
      <c r="A1912" s="2">
        <v>11911</v>
      </c>
      <c r="B1912" s="4">
        <v>47542</v>
      </c>
      <c r="C1912" t="s">
        <v>2034</v>
      </c>
      <c r="D1912" t="s">
        <v>25</v>
      </c>
      <c r="E1912" t="s">
        <v>26</v>
      </c>
      <c r="F1912" t="s">
        <v>210</v>
      </c>
      <c r="G1912">
        <v>1</v>
      </c>
      <c r="H1912" s="5">
        <v>2.75</v>
      </c>
      <c r="I1912" t="s">
        <v>21</v>
      </c>
      <c r="J1912" t="s">
        <v>22</v>
      </c>
      <c r="K1912" t="s">
        <v>23</v>
      </c>
      <c r="L1912" t="s">
        <v>2125</v>
      </c>
      <c r="M1912" s="5">
        <f t="shared" si="175"/>
        <v>2.75</v>
      </c>
      <c r="N1912" t="str">
        <f t="shared" si="176"/>
        <v>February</v>
      </c>
      <c r="O1912" t="str">
        <f t="shared" si="177"/>
        <v>Thursday</v>
      </c>
      <c r="P1912">
        <f t="shared" si="174"/>
        <v>9</v>
      </c>
      <c r="Q1912" s="2">
        <f t="shared" si="178"/>
        <v>4</v>
      </c>
      <c r="R1912" s="2">
        <f t="shared" si="179"/>
        <v>2</v>
      </c>
      <c r="S1912">
        <f>SUMIF(Table1[product_category],"Bakery",Table1[Total_bill])</f>
        <v>2951.25</v>
      </c>
    </row>
    <row r="1913" spans="1:19" x14ac:dyDescent="0.3">
      <c r="A1913" s="2">
        <v>11912</v>
      </c>
      <c r="B1913" s="4">
        <v>47543</v>
      </c>
      <c r="C1913" t="s">
        <v>2035</v>
      </c>
      <c r="D1913" t="s">
        <v>18</v>
      </c>
      <c r="E1913" t="s">
        <v>19</v>
      </c>
      <c r="F1913" t="s">
        <v>214</v>
      </c>
      <c r="G1913">
        <v>1</v>
      </c>
      <c r="H1913" s="5">
        <v>3</v>
      </c>
      <c r="I1913" t="s">
        <v>36</v>
      </c>
      <c r="J1913" t="s">
        <v>37</v>
      </c>
      <c r="K1913" t="s">
        <v>276</v>
      </c>
      <c r="L1913" t="s">
        <v>2124</v>
      </c>
      <c r="M1913" s="5">
        <f t="shared" si="175"/>
        <v>3</v>
      </c>
      <c r="N1913" t="str">
        <f t="shared" si="176"/>
        <v>March</v>
      </c>
      <c r="O1913" t="str">
        <f t="shared" si="177"/>
        <v>Friday</v>
      </c>
      <c r="P1913">
        <f t="shared" si="174"/>
        <v>17</v>
      </c>
      <c r="Q1913" s="2">
        <f t="shared" si="178"/>
        <v>5</v>
      </c>
      <c r="R1913" s="2">
        <f t="shared" si="179"/>
        <v>3</v>
      </c>
      <c r="S1913">
        <f>SUMIF(Table1[product_category],"Bakery",Table1[Total_bill])</f>
        <v>2951.25</v>
      </c>
    </row>
    <row r="1914" spans="1:19" x14ac:dyDescent="0.3">
      <c r="A1914" s="2">
        <v>11913</v>
      </c>
      <c r="B1914" s="4">
        <v>47544</v>
      </c>
      <c r="C1914" t="s">
        <v>2036</v>
      </c>
      <c r="D1914" t="s">
        <v>18</v>
      </c>
      <c r="E1914" t="s">
        <v>19</v>
      </c>
      <c r="F1914" t="s">
        <v>217</v>
      </c>
      <c r="G1914">
        <v>1</v>
      </c>
      <c r="H1914" s="5">
        <v>8</v>
      </c>
      <c r="I1914" t="s">
        <v>28</v>
      </c>
      <c r="J1914" t="s">
        <v>28</v>
      </c>
      <c r="K1914" t="s">
        <v>76</v>
      </c>
      <c r="L1914" t="s">
        <v>2125</v>
      </c>
      <c r="M1914" s="5">
        <f t="shared" si="175"/>
        <v>8</v>
      </c>
      <c r="N1914" t="str">
        <f t="shared" si="176"/>
        <v>March</v>
      </c>
      <c r="O1914" t="str">
        <f t="shared" si="177"/>
        <v>Saturday</v>
      </c>
      <c r="P1914">
        <f t="shared" si="174"/>
        <v>20</v>
      </c>
      <c r="Q1914" s="2">
        <f t="shared" si="178"/>
        <v>6</v>
      </c>
      <c r="R1914" s="2">
        <f t="shared" si="179"/>
        <v>3</v>
      </c>
      <c r="S1914">
        <f>SUMIF(Table1[product_category],"Bakery",Table1[Total_bill])</f>
        <v>2951.25</v>
      </c>
    </row>
    <row r="1915" spans="1:19" x14ac:dyDescent="0.3">
      <c r="A1915" s="2">
        <v>11914</v>
      </c>
      <c r="B1915" s="4">
        <v>47545</v>
      </c>
      <c r="C1915" t="s">
        <v>2037</v>
      </c>
      <c r="D1915" t="s">
        <v>40</v>
      </c>
      <c r="E1915" t="s">
        <v>41</v>
      </c>
      <c r="F1915" t="s">
        <v>219</v>
      </c>
      <c r="G1915">
        <v>2</v>
      </c>
      <c r="H1915" s="5">
        <v>4.5</v>
      </c>
      <c r="I1915" t="s">
        <v>89</v>
      </c>
      <c r="J1915" t="s">
        <v>90</v>
      </c>
      <c r="K1915" t="s">
        <v>91</v>
      </c>
      <c r="L1915" t="s">
        <v>2124</v>
      </c>
      <c r="M1915" s="5">
        <f t="shared" si="175"/>
        <v>9</v>
      </c>
      <c r="N1915" t="str">
        <f t="shared" si="176"/>
        <v>March</v>
      </c>
      <c r="O1915" t="str">
        <f t="shared" si="177"/>
        <v>Sunday</v>
      </c>
      <c r="P1915">
        <f t="shared" si="174"/>
        <v>10</v>
      </c>
      <c r="Q1915" s="2">
        <f t="shared" si="178"/>
        <v>7</v>
      </c>
      <c r="R1915" s="2">
        <f t="shared" si="179"/>
        <v>3</v>
      </c>
      <c r="S1915">
        <f>SUMIF(Table1[product_category],"Bakery",Table1[Total_bill])</f>
        <v>2951.25</v>
      </c>
    </row>
    <row r="1916" spans="1:19" x14ac:dyDescent="0.3">
      <c r="A1916" s="2">
        <v>11915</v>
      </c>
      <c r="B1916" s="4">
        <v>47546</v>
      </c>
      <c r="C1916" t="s">
        <v>2038</v>
      </c>
      <c r="D1916" t="s">
        <v>18</v>
      </c>
      <c r="E1916" t="s">
        <v>19</v>
      </c>
      <c r="F1916" t="s">
        <v>221</v>
      </c>
      <c r="G1916">
        <v>2</v>
      </c>
      <c r="H1916" s="5">
        <v>13</v>
      </c>
      <c r="I1916" t="s">
        <v>98</v>
      </c>
      <c r="J1916" t="s">
        <v>98</v>
      </c>
      <c r="K1916" t="s">
        <v>95</v>
      </c>
      <c r="L1916" t="s">
        <v>2125</v>
      </c>
      <c r="M1916" s="5">
        <f t="shared" si="175"/>
        <v>26</v>
      </c>
      <c r="N1916" t="str">
        <f t="shared" si="176"/>
        <v>March</v>
      </c>
      <c r="O1916" t="str">
        <f t="shared" si="177"/>
        <v>Monday</v>
      </c>
      <c r="P1916">
        <f t="shared" si="174"/>
        <v>11</v>
      </c>
      <c r="Q1916" s="2">
        <f t="shared" si="178"/>
        <v>1</v>
      </c>
      <c r="R1916" s="2">
        <f t="shared" si="179"/>
        <v>3</v>
      </c>
      <c r="S1916">
        <f>SUMIF(Table1[product_category],"Bakery",Table1[Total_bill])</f>
        <v>2951.25</v>
      </c>
    </row>
    <row r="1917" spans="1:19" x14ac:dyDescent="0.3">
      <c r="A1917" s="2">
        <v>11916</v>
      </c>
      <c r="B1917" s="4">
        <v>47547</v>
      </c>
      <c r="C1917" t="s">
        <v>2039</v>
      </c>
      <c r="D1917" t="s">
        <v>25</v>
      </c>
      <c r="E1917" t="s">
        <v>26</v>
      </c>
      <c r="F1917" t="s">
        <v>223</v>
      </c>
      <c r="G1917">
        <v>3</v>
      </c>
      <c r="H1917" s="5">
        <v>2.25</v>
      </c>
      <c r="I1917" t="s">
        <v>21</v>
      </c>
      <c r="J1917" t="s">
        <v>58</v>
      </c>
      <c r="K1917" t="s">
        <v>59</v>
      </c>
      <c r="L1917" t="s">
        <v>2125</v>
      </c>
      <c r="M1917" s="5">
        <f t="shared" si="175"/>
        <v>6.75</v>
      </c>
      <c r="N1917" t="str">
        <f t="shared" si="176"/>
        <v>March</v>
      </c>
      <c r="O1917" t="str">
        <f t="shared" si="177"/>
        <v>Tuesday</v>
      </c>
      <c r="P1917">
        <f t="shared" si="174"/>
        <v>15</v>
      </c>
      <c r="Q1917" s="2">
        <f t="shared" si="178"/>
        <v>2</v>
      </c>
      <c r="R1917" s="2">
        <f t="shared" si="179"/>
        <v>3</v>
      </c>
      <c r="S1917">
        <f>SUMIF(Table1[product_category],"Bakery",Table1[Total_bill])</f>
        <v>2951.25</v>
      </c>
    </row>
    <row r="1918" spans="1:19" x14ac:dyDescent="0.3">
      <c r="A1918" s="2">
        <v>11917</v>
      </c>
      <c r="B1918" s="4">
        <v>47548</v>
      </c>
      <c r="C1918" t="s">
        <v>2040</v>
      </c>
      <c r="D1918" t="s">
        <v>25</v>
      </c>
      <c r="E1918" t="s">
        <v>26</v>
      </c>
      <c r="F1918" t="s">
        <v>225</v>
      </c>
      <c r="G1918">
        <v>1</v>
      </c>
      <c r="H1918" s="5">
        <v>9.5</v>
      </c>
      <c r="I1918" t="s">
        <v>28</v>
      </c>
      <c r="J1918" t="s">
        <v>28</v>
      </c>
      <c r="K1918" t="s">
        <v>29</v>
      </c>
      <c r="L1918" t="s">
        <v>2125</v>
      </c>
      <c r="M1918" s="5">
        <f t="shared" si="175"/>
        <v>9.5</v>
      </c>
      <c r="N1918" t="str">
        <f t="shared" si="176"/>
        <v>March</v>
      </c>
      <c r="O1918" t="str">
        <f t="shared" si="177"/>
        <v>Wednesday</v>
      </c>
      <c r="P1918">
        <f t="shared" si="174"/>
        <v>17</v>
      </c>
      <c r="Q1918" s="2">
        <f t="shared" si="178"/>
        <v>3</v>
      </c>
      <c r="R1918" s="2">
        <f t="shared" si="179"/>
        <v>3</v>
      </c>
      <c r="S1918">
        <f>SUMIF(Table1[product_category],"Bakery",Table1[Total_bill])</f>
        <v>2951.25</v>
      </c>
    </row>
    <row r="1919" spans="1:19" x14ac:dyDescent="0.3">
      <c r="A1919" s="2">
        <v>11918</v>
      </c>
      <c r="B1919" s="4">
        <v>47549</v>
      </c>
      <c r="C1919" t="s">
        <v>2041</v>
      </c>
      <c r="D1919" t="s">
        <v>25</v>
      </c>
      <c r="E1919" t="s">
        <v>26</v>
      </c>
      <c r="F1919" t="s">
        <v>229</v>
      </c>
      <c r="G1919">
        <v>2</v>
      </c>
      <c r="H1919" s="5">
        <v>3.25</v>
      </c>
      <c r="I1919" t="s">
        <v>21</v>
      </c>
      <c r="J1919" t="s">
        <v>81</v>
      </c>
      <c r="K1919" t="s">
        <v>113</v>
      </c>
      <c r="L1919" t="s">
        <v>2125</v>
      </c>
      <c r="M1919" s="5">
        <f t="shared" si="175"/>
        <v>6.5</v>
      </c>
      <c r="N1919" t="str">
        <f t="shared" si="176"/>
        <v>March</v>
      </c>
      <c r="O1919" t="str">
        <f t="shared" si="177"/>
        <v>Thursday</v>
      </c>
      <c r="P1919">
        <f t="shared" si="174"/>
        <v>13</v>
      </c>
      <c r="Q1919" s="2">
        <f t="shared" si="178"/>
        <v>4</v>
      </c>
      <c r="R1919" s="2">
        <f t="shared" si="179"/>
        <v>3</v>
      </c>
      <c r="S1919">
        <f>SUMIF(Table1[product_category],"Bakery",Table1[Total_bill])</f>
        <v>2951.25</v>
      </c>
    </row>
    <row r="1920" spans="1:19" x14ac:dyDescent="0.3">
      <c r="A1920" s="2">
        <v>11919</v>
      </c>
      <c r="B1920" s="4">
        <v>47550</v>
      </c>
      <c r="C1920" t="s">
        <v>1714</v>
      </c>
      <c r="D1920" t="s">
        <v>25</v>
      </c>
      <c r="E1920" t="s">
        <v>26</v>
      </c>
      <c r="F1920" t="s">
        <v>231</v>
      </c>
      <c r="G1920">
        <v>1</v>
      </c>
      <c r="H1920" s="5">
        <v>3.5</v>
      </c>
      <c r="I1920" t="s">
        <v>36</v>
      </c>
      <c r="J1920" t="s">
        <v>246</v>
      </c>
      <c r="K1920" t="s">
        <v>247</v>
      </c>
      <c r="L1920" t="s">
        <v>2123</v>
      </c>
      <c r="M1920" s="5">
        <f t="shared" si="175"/>
        <v>3.5</v>
      </c>
      <c r="N1920" t="str">
        <f t="shared" si="176"/>
        <v>March</v>
      </c>
      <c r="O1920" t="str">
        <f t="shared" si="177"/>
        <v>Friday</v>
      </c>
      <c r="P1920">
        <f t="shared" si="174"/>
        <v>10</v>
      </c>
      <c r="Q1920" s="2">
        <f t="shared" si="178"/>
        <v>5</v>
      </c>
      <c r="R1920" s="2">
        <f t="shared" si="179"/>
        <v>3</v>
      </c>
      <c r="S1920">
        <f>SUMIF(Table1[product_category],"Bakery",Table1[Total_bill])</f>
        <v>2951.25</v>
      </c>
    </row>
    <row r="1921" spans="1:19" x14ac:dyDescent="0.3">
      <c r="A1921" s="2">
        <v>11920</v>
      </c>
      <c r="B1921" s="4">
        <v>47551</v>
      </c>
      <c r="C1921" t="s">
        <v>2042</v>
      </c>
      <c r="D1921" t="s">
        <v>18</v>
      </c>
      <c r="E1921" t="s">
        <v>19</v>
      </c>
      <c r="F1921" t="s">
        <v>233</v>
      </c>
      <c r="G1921">
        <v>1</v>
      </c>
      <c r="H1921" s="5">
        <v>5.5</v>
      </c>
      <c r="I1921" t="s">
        <v>72</v>
      </c>
      <c r="J1921" t="s">
        <v>72</v>
      </c>
      <c r="K1921" t="s">
        <v>141</v>
      </c>
      <c r="L1921" t="s">
        <v>2125</v>
      </c>
      <c r="M1921" s="5">
        <f t="shared" si="175"/>
        <v>5.5</v>
      </c>
      <c r="N1921" t="str">
        <f t="shared" si="176"/>
        <v>March</v>
      </c>
      <c r="O1921" t="str">
        <f t="shared" si="177"/>
        <v>Saturday</v>
      </c>
      <c r="P1921">
        <f t="shared" si="174"/>
        <v>10</v>
      </c>
      <c r="Q1921" s="2">
        <f t="shared" si="178"/>
        <v>6</v>
      </c>
      <c r="R1921" s="2">
        <f t="shared" si="179"/>
        <v>3</v>
      </c>
      <c r="S1921">
        <f>SUMIF(Table1[product_category],"Bakery",Table1[Total_bill])</f>
        <v>2951.25</v>
      </c>
    </row>
    <row r="1922" spans="1:19" x14ac:dyDescent="0.3">
      <c r="A1922" s="2">
        <v>11921</v>
      </c>
      <c r="B1922" s="4">
        <v>47552</v>
      </c>
      <c r="C1922" t="s">
        <v>2043</v>
      </c>
      <c r="D1922" t="s">
        <v>40</v>
      </c>
      <c r="E1922" t="s">
        <v>41</v>
      </c>
      <c r="F1922" t="s">
        <v>20</v>
      </c>
      <c r="G1922">
        <v>3</v>
      </c>
      <c r="H1922" s="5">
        <v>2.25</v>
      </c>
      <c r="I1922" t="s">
        <v>32</v>
      </c>
      <c r="J1922" t="s">
        <v>43</v>
      </c>
      <c r="K1922" t="s">
        <v>44</v>
      </c>
      <c r="L1922" t="s">
        <v>2124</v>
      </c>
      <c r="M1922" s="5">
        <f t="shared" si="175"/>
        <v>6.75</v>
      </c>
      <c r="N1922" t="str">
        <f t="shared" si="176"/>
        <v>March</v>
      </c>
      <c r="O1922" t="str">
        <f t="shared" si="177"/>
        <v>Sunday</v>
      </c>
      <c r="P1922">
        <f t="shared" ref="P1922:P1985" si="180">HOUR(TIMEVALUE(C1922))</f>
        <v>14</v>
      </c>
      <c r="Q1922" s="2">
        <f t="shared" si="178"/>
        <v>7</v>
      </c>
      <c r="R1922" s="2">
        <f t="shared" si="179"/>
        <v>3</v>
      </c>
      <c r="S1922">
        <f>SUMIF(Table1[product_category],"Bakery",Table1[Total_bill])</f>
        <v>2951.25</v>
      </c>
    </row>
    <row r="1923" spans="1:19" x14ac:dyDescent="0.3">
      <c r="A1923" s="2">
        <v>11922</v>
      </c>
      <c r="B1923" s="4">
        <v>47553</v>
      </c>
      <c r="C1923" t="s">
        <v>1565</v>
      </c>
      <c r="D1923" t="s">
        <v>40</v>
      </c>
      <c r="E1923" t="s">
        <v>41</v>
      </c>
      <c r="F1923" t="s">
        <v>27</v>
      </c>
      <c r="G1923">
        <v>3</v>
      </c>
      <c r="H1923" s="5">
        <v>5</v>
      </c>
      <c r="I1923" t="s">
        <v>89</v>
      </c>
      <c r="J1923" t="s">
        <v>90</v>
      </c>
      <c r="K1923" t="s">
        <v>91</v>
      </c>
      <c r="L1923" t="s">
        <v>2123</v>
      </c>
      <c r="M1923" s="5">
        <f t="shared" ref="M1923:M1986" si="181">G1923*H1923</f>
        <v>15</v>
      </c>
      <c r="N1923" t="str">
        <f t="shared" ref="N1923:N1986" si="182">TEXT(B1923,"mmmm")</f>
        <v>March</v>
      </c>
      <c r="O1923" t="str">
        <f t="shared" ref="O1923:O1986" si="183">TEXT(B1923,"dddd")</f>
        <v>Monday</v>
      </c>
      <c r="P1923">
        <f t="shared" si="180"/>
        <v>6</v>
      </c>
      <c r="Q1923" s="2">
        <f t="shared" ref="Q1923:Q1986" si="184">WEEKDAY(B1923,2)</f>
        <v>1</v>
      </c>
      <c r="R1923" s="2">
        <f t="shared" ref="R1923:R1986" si="185">MONTH(B1923)</f>
        <v>3</v>
      </c>
      <c r="S1923">
        <f>SUMIF(Table1[product_category],"Bakery",Table1[Total_bill])</f>
        <v>2951.25</v>
      </c>
    </row>
    <row r="1924" spans="1:19" x14ac:dyDescent="0.3">
      <c r="A1924" s="2">
        <v>11923</v>
      </c>
      <c r="B1924" s="4">
        <v>47554</v>
      </c>
      <c r="C1924" t="s">
        <v>2044</v>
      </c>
      <c r="D1924" t="s">
        <v>25</v>
      </c>
      <c r="E1924" t="s">
        <v>26</v>
      </c>
      <c r="F1924" t="s">
        <v>31</v>
      </c>
      <c r="G1924">
        <v>4</v>
      </c>
      <c r="H1924" s="5">
        <v>2.5</v>
      </c>
      <c r="I1924" t="s">
        <v>21</v>
      </c>
      <c r="J1924" t="s">
        <v>47</v>
      </c>
      <c r="K1924" t="s">
        <v>48</v>
      </c>
      <c r="L1924" t="s">
        <v>2125</v>
      </c>
      <c r="M1924" s="5">
        <f t="shared" si="181"/>
        <v>10</v>
      </c>
      <c r="N1924" t="str">
        <f t="shared" si="182"/>
        <v>March</v>
      </c>
      <c r="O1924" t="str">
        <f t="shared" si="183"/>
        <v>Tuesday</v>
      </c>
      <c r="P1924">
        <f t="shared" si="180"/>
        <v>13</v>
      </c>
      <c r="Q1924" s="2">
        <f t="shared" si="184"/>
        <v>2</v>
      </c>
      <c r="R1924" s="2">
        <f t="shared" si="185"/>
        <v>3</v>
      </c>
      <c r="S1924">
        <f>SUMIF(Table1[product_category],"Bakery",Table1[Total_bill])</f>
        <v>2951.25</v>
      </c>
    </row>
    <row r="1925" spans="1:19" x14ac:dyDescent="0.3">
      <c r="A1925" s="2">
        <v>11924</v>
      </c>
      <c r="B1925" s="4">
        <v>47555</v>
      </c>
      <c r="C1925" t="s">
        <v>2045</v>
      </c>
      <c r="D1925" t="s">
        <v>25</v>
      </c>
      <c r="E1925" t="s">
        <v>26</v>
      </c>
      <c r="F1925" t="s">
        <v>35</v>
      </c>
      <c r="G1925">
        <v>4</v>
      </c>
      <c r="H1925" s="5">
        <v>3.5</v>
      </c>
      <c r="I1925" t="s">
        <v>32</v>
      </c>
      <c r="J1925" t="s">
        <v>226</v>
      </c>
      <c r="K1925" t="s">
        <v>227</v>
      </c>
      <c r="L1925" t="s">
        <v>2123</v>
      </c>
      <c r="M1925" s="5">
        <f t="shared" si="181"/>
        <v>14</v>
      </c>
      <c r="N1925" t="str">
        <f t="shared" si="182"/>
        <v>March</v>
      </c>
      <c r="O1925" t="str">
        <f t="shared" si="183"/>
        <v>Wednesday</v>
      </c>
      <c r="P1925">
        <f t="shared" si="180"/>
        <v>10</v>
      </c>
      <c r="Q1925" s="2">
        <f t="shared" si="184"/>
        <v>3</v>
      </c>
      <c r="R1925" s="2">
        <f t="shared" si="185"/>
        <v>3</v>
      </c>
      <c r="S1925">
        <f>SUMIF(Table1[product_category],"Bakery",Table1[Total_bill])</f>
        <v>2951.25</v>
      </c>
    </row>
    <row r="1926" spans="1:19" x14ac:dyDescent="0.3">
      <c r="A1926" s="2">
        <v>11925</v>
      </c>
      <c r="B1926" s="4">
        <v>47556</v>
      </c>
      <c r="C1926" t="s">
        <v>2046</v>
      </c>
      <c r="D1926" t="s">
        <v>25</v>
      </c>
      <c r="E1926" t="s">
        <v>26</v>
      </c>
      <c r="F1926" t="s">
        <v>42</v>
      </c>
      <c r="G1926">
        <v>2</v>
      </c>
      <c r="H1926" s="5">
        <v>3</v>
      </c>
      <c r="I1926" t="s">
        <v>21</v>
      </c>
      <c r="J1926" t="s">
        <v>181</v>
      </c>
      <c r="K1926" t="s">
        <v>182</v>
      </c>
      <c r="L1926" t="s">
        <v>2125</v>
      </c>
      <c r="M1926" s="5">
        <f t="shared" si="181"/>
        <v>6</v>
      </c>
      <c r="N1926" t="str">
        <f t="shared" si="182"/>
        <v>March</v>
      </c>
      <c r="O1926" t="str">
        <f t="shared" si="183"/>
        <v>Thursday</v>
      </c>
      <c r="P1926">
        <f t="shared" si="180"/>
        <v>16</v>
      </c>
      <c r="Q1926" s="2">
        <f t="shared" si="184"/>
        <v>4</v>
      </c>
      <c r="R1926" s="2">
        <f t="shared" si="185"/>
        <v>3</v>
      </c>
      <c r="S1926">
        <f>SUMIF(Table1[product_category],"Bakery",Table1[Total_bill])</f>
        <v>2951.25</v>
      </c>
    </row>
    <row r="1927" spans="1:19" x14ac:dyDescent="0.3">
      <c r="A1927" s="2">
        <v>11926</v>
      </c>
      <c r="B1927" s="4">
        <v>47557</v>
      </c>
      <c r="C1927" t="s">
        <v>2047</v>
      </c>
      <c r="D1927" t="s">
        <v>25</v>
      </c>
      <c r="E1927" t="s">
        <v>26</v>
      </c>
      <c r="F1927" t="s">
        <v>46</v>
      </c>
      <c r="G1927">
        <v>2</v>
      </c>
      <c r="H1927" s="5">
        <v>4.5</v>
      </c>
      <c r="I1927" t="s">
        <v>32</v>
      </c>
      <c r="J1927" t="s">
        <v>33</v>
      </c>
      <c r="K1927" t="s">
        <v>33</v>
      </c>
      <c r="L1927" t="s">
        <v>2123</v>
      </c>
      <c r="M1927" s="5">
        <f t="shared" si="181"/>
        <v>9</v>
      </c>
      <c r="N1927" t="str">
        <f t="shared" si="182"/>
        <v>March</v>
      </c>
      <c r="O1927" t="str">
        <f t="shared" si="183"/>
        <v>Friday</v>
      </c>
      <c r="P1927">
        <f t="shared" si="180"/>
        <v>7</v>
      </c>
      <c r="Q1927" s="2">
        <f t="shared" si="184"/>
        <v>5</v>
      </c>
      <c r="R1927" s="2">
        <f t="shared" si="185"/>
        <v>3</v>
      </c>
      <c r="S1927">
        <f>SUMIF(Table1[product_category],"Bakery",Table1[Total_bill])</f>
        <v>2951.25</v>
      </c>
    </row>
    <row r="1928" spans="1:19" x14ac:dyDescent="0.3">
      <c r="A1928" s="2">
        <v>11927</v>
      </c>
      <c r="B1928" s="4">
        <v>47558</v>
      </c>
      <c r="C1928" t="s">
        <v>2048</v>
      </c>
      <c r="D1928" t="s">
        <v>18</v>
      </c>
      <c r="E1928" t="s">
        <v>19</v>
      </c>
      <c r="F1928" t="s">
        <v>50</v>
      </c>
      <c r="G1928">
        <v>3</v>
      </c>
      <c r="H1928" s="5">
        <v>4.25</v>
      </c>
      <c r="I1928" t="s">
        <v>32</v>
      </c>
      <c r="J1928" t="s">
        <v>202</v>
      </c>
      <c r="K1928" t="s">
        <v>202</v>
      </c>
      <c r="L1928" t="s">
        <v>2124</v>
      </c>
      <c r="M1928" s="5">
        <f t="shared" si="181"/>
        <v>12.75</v>
      </c>
      <c r="N1928" t="str">
        <f t="shared" si="182"/>
        <v>March</v>
      </c>
      <c r="O1928" t="str">
        <f t="shared" si="183"/>
        <v>Saturday</v>
      </c>
      <c r="P1928">
        <f t="shared" si="180"/>
        <v>13</v>
      </c>
      <c r="Q1928" s="2">
        <f t="shared" si="184"/>
        <v>6</v>
      </c>
      <c r="R1928" s="2">
        <f t="shared" si="185"/>
        <v>3</v>
      </c>
      <c r="S1928">
        <f>SUMIF(Table1[product_category],"Bakery",Table1[Total_bill])</f>
        <v>2951.25</v>
      </c>
    </row>
    <row r="1929" spans="1:19" x14ac:dyDescent="0.3">
      <c r="A1929" s="2">
        <v>11928</v>
      </c>
      <c r="B1929" s="4">
        <v>47559</v>
      </c>
      <c r="C1929" t="s">
        <v>2049</v>
      </c>
      <c r="D1929" t="s">
        <v>40</v>
      </c>
      <c r="E1929" t="s">
        <v>41</v>
      </c>
      <c r="F1929" t="s">
        <v>54</v>
      </c>
      <c r="G1929">
        <v>3</v>
      </c>
      <c r="H1929" s="5">
        <v>3</v>
      </c>
      <c r="I1929" t="s">
        <v>21</v>
      </c>
      <c r="J1929" t="s">
        <v>181</v>
      </c>
      <c r="K1929" t="s">
        <v>182</v>
      </c>
      <c r="L1929" t="s">
        <v>2125</v>
      </c>
      <c r="M1929" s="5">
        <f t="shared" si="181"/>
        <v>9</v>
      </c>
      <c r="N1929" t="str">
        <f t="shared" si="182"/>
        <v>March</v>
      </c>
      <c r="O1929" t="str">
        <f t="shared" si="183"/>
        <v>Sunday</v>
      </c>
      <c r="P1929">
        <f t="shared" si="180"/>
        <v>11</v>
      </c>
      <c r="Q1929" s="2">
        <f t="shared" si="184"/>
        <v>7</v>
      </c>
      <c r="R1929" s="2">
        <f t="shared" si="185"/>
        <v>3</v>
      </c>
      <c r="S1929">
        <f>SUMIF(Table1[product_category],"Bakery",Table1[Total_bill])</f>
        <v>2951.25</v>
      </c>
    </row>
    <row r="1930" spans="1:19" x14ac:dyDescent="0.3">
      <c r="A1930" s="2">
        <v>11929</v>
      </c>
      <c r="B1930" s="4">
        <v>47560</v>
      </c>
      <c r="C1930" t="s">
        <v>2050</v>
      </c>
      <c r="D1930" t="s">
        <v>25</v>
      </c>
      <c r="E1930" t="s">
        <v>26</v>
      </c>
      <c r="F1930" t="s">
        <v>57</v>
      </c>
      <c r="G1930">
        <v>2</v>
      </c>
      <c r="H1930" s="5">
        <v>3.5</v>
      </c>
      <c r="I1930" t="s">
        <v>89</v>
      </c>
      <c r="J1930" t="s">
        <v>261</v>
      </c>
      <c r="K1930" t="s">
        <v>261</v>
      </c>
      <c r="L1930" t="s">
        <v>2122</v>
      </c>
      <c r="M1930" s="5">
        <f t="shared" si="181"/>
        <v>7</v>
      </c>
      <c r="N1930" t="str">
        <f t="shared" si="182"/>
        <v>March</v>
      </c>
      <c r="O1930" t="str">
        <f t="shared" si="183"/>
        <v>Monday</v>
      </c>
      <c r="P1930">
        <f t="shared" si="180"/>
        <v>14</v>
      </c>
      <c r="Q1930" s="2">
        <f t="shared" si="184"/>
        <v>1</v>
      </c>
      <c r="R1930" s="2">
        <f t="shared" si="185"/>
        <v>3</v>
      </c>
      <c r="S1930">
        <f>SUMIF(Table1[product_category],"Bakery",Table1[Total_bill])</f>
        <v>2951.25</v>
      </c>
    </row>
    <row r="1931" spans="1:19" x14ac:dyDescent="0.3">
      <c r="A1931" s="2">
        <v>11930</v>
      </c>
      <c r="B1931" s="4">
        <v>47561</v>
      </c>
      <c r="C1931" t="s">
        <v>2051</v>
      </c>
      <c r="D1931" t="s">
        <v>25</v>
      </c>
      <c r="E1931" t="s">
        <v>26</v>
      </c>
      <c r="F1931" t="s">
        <v>61</v>
      </c>
      <c r="G1931">
        <v>1</v>
      </c>
      <c r="H1931" s="5">
        <v>6</v>
      </c>
      <c r="I1931" t="s">
        <v>72</v>
      </c>
      <c r="J1931" t="s">
        <v>72</v>
      </c>
      <c r="K1931" t="s">
        <v>138</v>
      </c>
      <c r="L1931" t="s">
        <v>2125</v>
      </c>
      <c r="M1931" s="5">
        <f t="shared" si="181"/>
        <v>6</v>
      </c>
      <c r="N1931" t="str">
        <f t="shared" si="182"/>
        <v>March</v>
      </c>
      <c r="O1931" t="str">
        <f t="shared" si="183"/>
        <v>Tuesday</v>
      </c>
      <c r="P1931">
        <f t="shared" si="180"/>
        <v>7</v>
      </c>
      <c r="Q1931" s="2">
        <f t="shared" si="184"/>
        <v>2</v>
      </c>
      <c r="R1931" s="2">
        <f t="shared" si="185"/>
        <v>3</v>
      </c>
      <c r="S1931">
        <f>SUMIF(Table1[product_category],"Bakery",Table1[Total_bill])</f>
        <v>2951.25</v>
      </c>
    </row>
    <row r="1932" spans="1:19" x14ac:dyDescent="0.3">
      <c r="A1932" s="2">
        <v>11931</v>
      </c>
      <c r="B1932" s="4">
        <v>47562</v>
      </c>
      <c r="C1932" t="s">
        <v>2052</v>
      </c>
      <c r="D1932" t="s">
        <v>40</v>
      </c>
      <c r="E1932" t="s">
        <v>41</v>
      </c>
      <c r="F1932" t="s">
        <v>64</v>
      </c>
      <c r="G1932">
        <v>1</v>
      </c>
      <c r="H1932" s="5">
        <v>8</v>
      </c>
      <c r="I1932" t="s">
        <v>28</v>
      </c>
      <c r="J1932" t="s">
        <v>28</v>
      </c>
      <c r="K1932" t="s">
        <v>76</v>
      </c>
      <c r="L1932" t="s">
        <v>2125</v>
      </c>
      <c r="M1932" s="5">
        <f t="shared" si="181"/>
        <v>8</v>
      </c>
      <c r="N1932" t="str">
        <f t="shared" si="182"/>
        <v>March</v>
      </c>
      <c r="O1932" t="str">
        <f t="shared" si="183"/>
        <v>Wednesday</v>
      </c>
      <c r="P1932">
        <f t="shared" si="180"/>
        <v>13</v>
      </c>
      <c r="Q1932" s="2">
        <f t="shared" si="184"/>
        <v>3</v>
      </c>
      <c r="R1932" s="2">
        <f t="shared" si="185"/>
        <v>3</v>
      </c>
      <c r="S1932">
        <f>SUMIF(Table1[product_category],"Bakery",Table1[Total_bill])</f>
        <v>2951.25</v>
      </c>
    </row>
    <row r="1933" spans="1:19" x14ac:dyDescent="0.3">
      <c r="A1933" s="2">
        <v>11932</v>
      </c>
      <c r="B1933" s="4">
        <v>47563</v>
      </c>
      <c r="C1933" t="s">
        <v>2053</v>
      </c>
      <c r="D1933" t="s">
        <v>40</v>
      </c>
      <c r="E1933" t="s">
        <v>41</v>
      </c>
      <c r="F1933" t="s">
        <v>66</v>
      </c>
      <c r="G1933">
        <v>2</v>
      </c>
      <c r="H1933" s="5">
        <v>3.75</v>
      </c>
      <c r="I1933" t="s">
        <v>36</v>
      </c>
      <c r="J1933" t="s">
        <v>211</v>
      </c>
      <c r="K1933" t="s">
        <v>212</v>
      </c>
      <c r="L1933" t="s">
        <v>2124</v>
      </c>
      <c r="M1933" s="5">
        <f t="shared" si="181"/>
        <v>7.5</v>
      </c>
      <c r="N1933" t="str">
        <f t="shared" si="182"/>
        <v>March</v>
      </c>
      <c r="O1933" t="str">
        <f t="shared" si="183"/>
        <v>Thursday</v>
      </c>
      <c r="P1933">
        <f t="shared" si="180"/>
        <v>12</v>
      </c>
      <c r="Q1933" s="2">
        <f t="shared" si="184"/>
        <v>4</v>
      </c>
      <c r="R1933" s="2">
        <f t="shared" si="185"/>
        <v>3</v>
      </c>
      <c r="S1933">
        <f>SUMIF(Table1[product_category],"Bakery",Table1[Total_bill])</f>
        <v>2951.25</v>
      </c>
    </row>
    <row r="1934" spans="1:19" x14ac:dyDescent="0.3">
      <c r="A1934" s="2">
        <v>11933</v>
      </c>
      <c r="B1934" s="4">
        <v>47564</v>
      </c>
      <c r="C1934" t="s">
        <v>2054</v>
      </c>
      <c r="D1934" t="s">
        <v>40</v>
      </c>
      <c r="E1934" t="s">
        <v>41</v>
      </c>
      <c r="F1934" t="s">
        <v>68</v>
      </c>
      <c r="G1934">
        <v>1</v>
      </c>
      <c r="H1934" s="5">
        <v>3.5</v>
      </c>
      <c r="I1934" t="s">
        <v>21</v>
      </c>
      <c r="J1934" t="s">
        <v>51</v>
      </c>
      <c r="K1934" t="s">
        <v>52</v>
      </c>
      <c r="L1934" t="s">
        <v>2125</v>
      </c>
      <c r="M1934" s="5">
        <f t="shared" si="181"/>
        <v>3.5</v>
      </c>
      <c r="N1934" t="str">
        <f t="shared" si="182"/>
        <v>March</v>
      </c>
      <c r="O1934" t="str">
        <f t="shared" si="183"/>
        <v>Friday</v>
      </c>
      <c r="P1934">
        <f t="shared" si="180"/>
        <v>12</v>
      </c>
      <c r="Q1934" s="2">
        <f t="shared" si="184"/>
        <v>5</v>
      </c>
      <c r="R1934" s="2">
        <f t="shared" si="185"/>
        <v>3</v>
      </c>
      <c r="S1934">
        <f>SUMIF(Table1[product_category],"Bakery",Table1[Total_bill])</f>
        <v>2951.25</v>
      </c>
    </row>
    <row r="1935" spans="1:19" x14ac:dyDescent="0.3">
      <c r="A1935" s="2">
        <v>11934</v>
      </c>
      <c r="B1935" s="4">
        <v>47565</v>
      </c>
      <c r="C1935" t="s">
        <v>2055</v>
      </c>
      <c r="D1935" t="s">
        <v>40</v>
      </c>
      <c r="E1935" t="s">
        <v>41</v>
      </c>
      <c r="F1935" t="s">
        <v>71</v>
      </c>
      <c r="G1935">
        <v>3</v>
      </c>
      <c r="H1935" s="5">
        <v>4.5</v>
      </c>
      <c r="I1935" t="s">
        <v>36</v>
      </c>
      <c r="J1935" t="s">
        <v>110</v>
      </c>
      <c r="K1935" t="s">
        <v>110</v>
      </c>
      <c r="L1935" t="s">
        <v>2124</v>
      </c>
      <c r="M1935" s="5">
        <f t="shared" si="181"/>
        <v>13.5</v>
      </c>
      <c r="N1935" t="str">
        <f t="shared" si="182"/>
        <v>March</v>
      </c>
      <c r="O1935" t="str">
        <f t="shared" si="183"/>
        <v>Saturday</v>
      </c>
      <c r="P1935">
        <f t="shared" si="180"/>
        <v>13</v>
      </c>
      <c r="Q1935" s="2">
        <f t="shared" si="184"/>
        <v>6</v>
      </c>
      <c r="R1935" s="2">
        <f t="shared" si="185"/>
        <v>3</v>
      </c>
      <c r="S1935">
        <f>SUMIF(Table1[product_category],"Bakery",Table1[Total_bill])</f>
        <v>2951.25</v>
      </c>
    </row>
    <row r="1936" spans="1:19" x14ac:dyDescent="0.3">
      <c r="A1936" s="2">
        <v>11935</v>
      </c>
      <c r="B1936" s="4">
        <v>47566</v>
      </c>
      <c r="C1936" t="s">
        <v>2056</v>
      </c>
      <c r="D1936" t="s">
        <v>25</v>
      </c>
      <c r="E1936" t="s">
        <v>26</v>
      </c>
      <c r="F1936" t="s">
        <v>75</v>
      </c>
      <c r="G1936">
        <v>4</v>
      </c>
      <c r="H1936" s="5">
        <v>4</v>
      </c>
      <c r="I1936" t="s">
        <v>32</v>
      </c>
      <c r="J1936" t="s">
        <v>55</v>
      </c>
      <c r="K1936" t="s">
        <v>55</v>
      </c>
      <c r="L1936" t="s">
        <v>2123</v>
      </c>
      <c r="M1936" s="5">
        <f t="shared" si="181"/>
        <v>16</v>
      </c>
      <c r="N1936" t="str">
        <f t="shared" si="182"/>
        <v>March</v>
      </c>
      <c r="O1936" t="str">
        <f t="shared" si="183"/>
        <v>Sunday</v>
      </c>
      <c r="P1936">
        <f t="shared" si="180"/>
        <v>14</v>
      </c>
      <c r="Q1936" s="2">
        <f t="shared" si="184"/>
        <v>7</v>
      </c>
      <c r="R1936" s="2">
        <f t="shared" si="185"/>
        <v>3</v>
      </c>
      <c r="S1936">
        <f>SUMIF(Table1[product_category],"Bakery",Table1[Total_bill])</f>
        <v>2951.25</v>
      </c>
    </row>
    <row r="1937" spans="1:19" x14ac:dyDescent="0.3">
      <c r="A1937" s="2">
        <v>11936</v>
      </c>
      <c r="B1937" s="4">
        <v>47567</v>
      </c>
      <c r="C1937" t="s">
        <v>2057</v>
      </c>
      <c r="D1937" t="s">
        <v>40</v>
      </c>
      <c r="E1937" t="s">
        <v>41</v>
      </c>
      <c r="F1937" t="s">
        <v>78</v>
      </c>
      <c r="G1937">
        <v>2</v>
      </c>
      <c r="H1937" s="5">
        <v>4.5</v>
      </c>
      <c r="I1937" t="s">
        <v>89</v>
      </c>
      <c r="J1937" t="s">
        <v>90</v>
      </c>
      <c r="K1937" t="s">
        <v>91</v>
      </c>
      <c r="L1937" t="s">
        <v>2124</v>
      </c>
      <c r="M1937" s="5">
        <f t="shared" si="181"/>
        <v>9</v>
      </c>
      <c r="N1937" t="str">
        <f t="shared" si="182"/>
        <v>March</v>
      </c>
      <c r="O1937" t="str">
        <f t="shared" si="183"/>
        <v>Monday</v>
      </c>
      <c r="P1937">
        <f t="shared" si="180"/>
        <v>16</v>
      </c>
      <c r="Q1937" s="2">
        <f t="shared" si="184"/>
        <v>1</v>
      </c>
      <c r="R1937" s="2">
        <f t="shared" si="185"/>
        <v>3</v>
      </c>
      <c r="S1937">
        <f>SUMIF(Table1[product_category],"Bakery",Table1[Total_bill])</f>
        <v>2951.25</v>
      </c>
    </row>
    <row r="1938" spans="1:19" x14ac:dyDescent="0.3">
      <c r="A1938" s="2">
        <v>11937</v>
      </c>
      <c r="B1938" s="4">
        <v>47568</v>
      </c>
      <c r="C1938" t="s">
        <v>2058</v>
      </c>
      <c r="D1938" t="s">
        <v>18</v>
      </c>
      <c r="E1938" t="s">
        <v>19</v>
      </c>
      <c r="F1938" t="s">
        <v>80</v>
      </c>
      <c r="G1938">
        <v>3</v>
      </c>
      <c r="H1938" s="5">
        <v>3.25</v>
      </c>
      <c r="I1938" t="s">
        <v>21</v>
      </c>
      <c r="J1938" t="s">
        <v>81</v>
      </c>
      <c r="K1938" t="s">
        <v>82</v>
      </c>
      <c r="L1938" t="s">
        <v>2125</v>
      </c>
      <c r="M1938" s="5">
        <f t="shared" si="181"/>
        <v>9.75</v>
      </c>
      <c r="N1938" t="str">
        <f t="shared" si="182"/>
        <v>March</v>
      </c>
      <c r="O1938" t="str">
        <f t="shared" si="183"/>
        <v>Tuesday</v>
      </c>
      <c r="P1938">
        <f t="shared" si="180"/>
        <v>9</v>
      </c>
      <c r="Q1938" s="2">
        <f t="shared" si="184"/>
        <v>2</v>
      </c>
      <c r="R1938" s="2">
        <f t="shared" si="185"/>
        <v>3</v>
      </c>
      <c r="S1938">
        <f>SUMIF(Table1[product_category],"Bakery",Table1[Total_bill])</f>
        <v>2951.25</v>
      </c>
    </row>
    <row r="1939" spans="1:19" x14ac:dyDescent="0.3">
      <c r="A1939" s="2">
        <v>11938</v>
      </c>
      <c r="B1939" s="4">
        <v>47569</v>
      </c>
      <c r="C1939" t="s">
        <v>2059</v>
      </c>
      <c r="D1939" t="s">
        <v>18</v>
      </c>
      <c r="E1939" t="s">
        <v>19</v>
      </c>
      <c r="F1939" t="s">
        <v>84</v>
      </c>
      <c r="G1939">
        <v>3</v>
      </c>
      <c r="H1939" s="5">
        <v>14</v>
      </c>
      <c r="I1939" t="s">
        <v>98</v>
      </c>
      <c r="J1939" t="s">
        <v>98</v>
      </c>
      <c r="K1939" t="s">
        <v>129</v>
      </c>
      <c r="L1939" t="s">
        <v>2125</v>
      </c>
      <c r="M1939" s="5">
        <f t="shared" si="181"/>
        <v>42</v>
      </c>
      <c r="N1939" t="str">
        <f t="shared" si="182"/>
        <v>March</v>
      </c>
      <c r="O1939" t="str">
        <f t="shared" si="183"/>
        <v>Wednesday</v>
      </c>
      <c r="P1939">
        <f t="shared" si="180"/>
        <v>16</v>
      </c>
      <c r="Q1939" s="2">
        <f t="shared" si="184"/>
        <v>3</v>
      </c>
      <c r="R1939" s="2">
        <f t="shared" si="185"/>
        <v>3</v>
      </c>
      <c r="S1939">
        <f>SUMIF(Table1[product_category],"Bakery",Table1[Total_bill])</f>
        <v>2951.25</v>
      </c>
    </row>
    <row r="1940" spans="1:19" x14ac:dyDescent="0.3">
      <c r="A1940" s="2">
        <v>11939</v>
      </c>
      <c r="B1940" s="4">
        <v>47570</v>
      </c>
      <c r="C1940" t="s">
        <v>2060</v>
      </c>
      <c r="D1940" t="s">
        <v>18</v>
      </c>
      <c r="E1940" t="s">
        <v>19</v>
      </c>
      <c r="F1940" t="s">
        <v>86</v>
      </c>
      <c r="G1940">
        <v>2</v>
      </c>
      <c r="H1940" s="5">
        <v>4.5</v>
      </c>
      <c r="I1940" t="s">
        <v>32</v>
      </c>
      <c r="J1940" t="s">
        <v>94</v>
      </c>
      <c r="K1940" t="s">
        <v>95</v>
      </c>
      <c r="L1940" t="s">
        <v>2123</v>
      </c>
      <c r="M1940" s="5">
        <f t="shared" si="181"/>
        <v>9</v>
      </c>
      <c r="N1940" t="str">
        <f t="shared" si="182"/>
        <v>March</v>
      </c>
      <c r="O1940" t="str">
        <f t="shared" si="183"/>
        <v>Thursday</v>
      </c>
      <c r="P1940">
        <f t="shared" si="180"/>
        <v>11</v>
      </c>
      <c r="Q1940" s="2">
        <f t="shared" si="184"/>
        <v>4</v>
      </c>
      <c r="R1940" s="2">
        <f t="shared" si="185"/>
        <v>3</v>
      </c>
      <c r="S1940">
        <f>SUMIF(Table1[product_category],"Bakery",Table1[Total_bill])</f>
        <v>2951.25</v>
      </c>
    </row>
    <row r="1941" spans="1:19" x14ac:dyDescent="0.3">
      <c r="A1941" s="2">
        <v>11940</v>
      </c>
      <c r="B1941" s="4">
        <v>47571</v>
      </c>
      <c r="C1941" t="s">
        <v>2061</v>
      </c>
      <c r="D1941" t="s">
        <v>25</v>
      </c>
      <c r="E1941" t="s">
        <v>26</v>
      </c>
      <c r="F1941" t="s">
        <v>88</v>
      </c>
      <c r="G1941">
        <v>3</v>
      </c>
      <c r="H1941" s="5">
        <v>4.25</v>
      </c>
      <c r="I1941" t="s">
        <v>32</v>
      </c>
      <c r="J1941" t="s">
        <v>202</v>
      </c>
      <c r="K1941" t="s">
        <v>202</v>
      </c>
      <c r="L1941" t="s">
        <v>2124</v>
      </c>
      <c r="M1941" s="5">
        <f t="shared" si="181"/>
        <v>12.75</v>
      </c>
      <c r="N1941" t="str">
        <f t="shared" si="182"/>
        <v>March</v>
      </c>
      <c r="O1941" t="str">
        <f t="shared" si="183"/>
        <v>Friday</v>
      </c>
      <c r="P1941">
        <f t="shared" si="180"/>
        <v>7</v>
      </c>
      <c r="Q1941" s="2">
        <f t="shared" si="184"/>
        <v>5</v>
      </c>
      <c r="R1941" s="2">
        <f t="shared" si="185"/>
        <v>3</v>
      </c>
      <c r="S1941">
        <f>SUMIF(Table1[product_category],"Bakery",Table1[Total_bill])</f>
        <v>2951.25</v>
      </c>
    </row>
    <row r="1942" spans="1:19" x14ac:dyDescent="0.3">
      <c r="A1942" s="2">
        <v>11941</v>
      </c>
      <c r="B1942" s="4">
        <v>47572</v>
      </c>
      <c r="C1942" t="s">
        <v>2062</v>
      </c>
      <c r="D1942" t="s">
        <v>40</v>
      </c>
      <c r="E1942" t="s">
        <v>41</v>
      </c>
      <c r="F1942" t="s">
        <v>93</v>
      </c>
      <c r="G1942">
        <v>4</v>
      </c>
      <c r="H1942" s="5">
        <v>3.75</v>
      </c>
      <c r="I1942" t="s">
        <v>32</v>
      </c>
      <c r="J1942" t="s">
        <v>69</v>
      </c>
      <c r="K1942" t="s">
        <v>69</v>
      </c>
      <c r="L1942" t="s">
        <v>2122</v>
      </c>
      <c r="M1942" s="5">
        <f t="shared" si="181"/>
        <v>15</v>
      </c>
      <c r="N1942" t="str">
        <f t="shared" si="182"/>
        <v>March</v>
      </c>
      <c r="O1942" t="str">
        <f t="shared" si="183"/>
        <v>Saturday</v>
      </c>
      <c r="P1942">
        <f t="shared" si="180"/>
        <v>6</v>
      </c>
      <c r="Q1942" s="2">
        <f t="shared" si="184"/>
        <v>6</v>
      </c>
      <c r="R1942" s="2">
        <f t="shared" si="185"/>
        <v>3</v>
      </c>
      <c r="S1942">
        <f>SUMIF(Table1[product_category],"Bakery",Table1[Total_bill])</f>
        <v>2951.25</v>
      </c>
    </row>
    <row r="1943" spans="1:19" x14ac:dyDescent="0.3">
      <c r="A1943" s="2">
        <v>11942</v>
      </c>
      <c r="B1943" s="4">
        <v>47573</v>
      </c>
      <c r="C1943" t="s">
        <v>2063</v>
      </c>
      <c r="D1943" t="s">
        <v>40</v>
      </c>
      <c r="E1943" t="s">
        <v>41</v>
      </c>
      <c r="F1943" t="s">
        <v>97</v>
      </c>
      <c r="G1943">
        <v>4</v>
      </c>
      <c r="H1943" s="5">
        <v>5.5</v>
      </c>
      <c r="I1943" t="s">
        <v>72</v>
      </c>
      <c r="J1943" t="s">
        <v>72</v>
      </c>
      <c r="K1943" t="s">
        <v>73</v>
      </c>
      <c r="L1943" t="s">
        <v>2125</v>
      </c>
      <c r="M1943" s="5">
        <f t="shared" si="181"/>
        <v>22</v>
      </c>
      <c r="N1943" t="str">
        <f t="shared" si="182"/>
        <v>March</v>
      </c>
      <c r="O1943" t="str">
        <f t="shared" si="183"/>
        <v>Sunday</v>
      </c>
      <c r="P1943">
        <f t="shared" si="180"/>
        <v>9</v>
      </c>
      <c r="Q1943" s="2">
        <f t="shared" si="184"/>
        <v>7</v>
      </c>
      <c r="R1943" s="2">
        <f t="shared" si="185"/>
        <v>3</v>
      </c>
      <c r="S1943">
        <f>SUMIF(Table1[product_category],"Bakery",Table1[Total_bill])</f>
        <v>2951.25</v>
      </c>
    </row>
    <row r="1944" spans="1:19" x14ac:dyDescent="0.3">
      <c r="A1944" s="2">
        <v>11943</v>
      </c>
      <c r="B1944" s="4">
        <v>47574</v>
      </c>
      <c r="C1944" t="s">
        <v>2064</v>
      </c>
      <c r="D1944" t="s">
        <v>40</v>
      </c>
      <c r="E1944" t="s">
        <v>41</v>
      </c>
      <c r="F1944" t="s">
        <v>100</v>
      </c>
      <c r="G1944">
        <v>2</v>
      </c>
      <c r="H1944" s="5">
        <v>2.75</v>
      </c>
      <c r="I1944" t="s">
        <v>32</v>
      </c>
      <c r="J1944" t="s">
        <v>144</v>
      </c>
      <c r="K1944" t="s">
        <v>144</v>
      </c>
      <c r="L1944" t="s">
        <v>2122</v>
      </c>
      <c r="M1944" s="5">
        <f t="shared" si="181"/>
        <v>5.5</v>
      </c>
      <c r="N1944" t="str">
        <f t="shared" si="182"/>
        <v>April</v>
      </c>
      <c r="O1944" t="str">
        <f t="shared" si="183"/>
        <v>Monday</v>
      </c>
      <c r="P1944">
        <f t="shared" si="180"/>
        <v>16</v>
      </c>
      <c r="Q1944" s="2">
        <f t="shared" si="184"/>
        <v>1</v>
      </c>
      <c r="R1944" s="2">
        <f t="shared" si="185"/>
        <v>4</v>
      </c>
      <c r="S1944">
        <f>SUMIF(Table1[product_category],"Bakery",Table1[Total_bill])</f>
        <v>2951.25</v>
      </c>
    </row>
    <row r="1945" spans="1:19" x14ac:dyDescent="0.3">
      <c r="A1945" s="2">
        <v>11944</v>
      </c>
      <c r="B1945" s="4">
        <v>47575</v>
      </c>
      <c r="C1945" t="s">
        <v>2065</v>
      </c>
      <c r="D1945" t="s">
        <v>40</v>
      </c>
      <c r="E1945" t="s">
        <v>41</v>
      </c>
      <c r="F1945" t="s">
        <v>105</v>
      </c>
      <c r="G1945">
        <v>2</v>
      </c>
      <c r="H1945" s="5">
        <v>13</v>
      </c>
      <c r="I1945" t="s">
        <v>98</v>
      </c>
      <c r="J1945" t="s">
        <v>98</v>
      </c>
      <c r="K1945" t="s">
        <v>95</v>
      </c>
      <c r="L1945" t="s">
        <v>2125</v>
      </c>
      <c r="M1945" s="5">
        <f t="shared" si="181"/>
        <v>26</v>
      </c>
      <c r="N1945" t="str">
        <f t="shared" si="182"/>
        <v>April</v>
      </c>
      <c r="O1945" t="str">
        <f t="shared" si="183"/>
        <v>Tuesday</v>
      </c>
      <c r="P1945">
        <f t="shared" si="180"/>
        <v>14</v>
      </c>
      <c r="Q1945" s="2">
        <f t="shared" si="184"/>
        <v>2</v>
      </c>
      <c r="R1945" s="2">
        <f t="shared" si="185"/>
        <v>4</v>
      </c>
      <c r="S1945">
        <f>SUMIF(Table1[product_category],"Bakery",Table1[Total_bill])</f>
        <v>2951.25</v>
      </c>
    </row>
    <row r="1946" spans="1:19" x14ac:dyDescent="0.3">
      <c r="A1946" s="2">
        <v>11945</v>
      </c>
      <c r="B1946" s="4">
        <v>47576</v>
      </c>
      <c r="C1946" t="s">
        <v>2066</v>
      </c>
      <c r="D1946" t="s">
        <v>40</v>
      </c>
      <c r="E1946" t="s">
        <v>41</v>
      </c>
      <c r="F1946" t="s">
        <v>107</v>
      </c>
      <c r="G1946">
        <v>4</v>
      </c>
      <c r="H1946" s="5">
        <v>2.5</v>
      </c>
      <c r="I1946" t="s">
        <v>21</v>
      </c>
      <c r="J1946" t="s">
        <v>47</v>
      </c>
      <c r="K1946" t="s">
        <v>48</v>
      </c>
      <c r="L1946" t="s">
        <v>2125</v>
      </c>
      <c r="M1946" s="5">
        <f t="shared" si="181"/>
        <v>10</v>
      </c>
      <c r="N1946" t="str">
        <f t="shared" si="182"/>
        <v>April</v>
      </c>
      <c r="O1946" t="str">
        <f t="shared" si="183"/>
        <v>Wednesday</v>
      </c>
      <c r="P1946">
        <f t="shared" si="180"/>
        <v>16</v>
      </c>
      <c r="Q1946" s="2">
        <f t="shared" si="184"/>
        <v>3</v>
      </c>
      <c r="R1946" s="2">
        <f t="shared" si="185"/>
        <v>4</v>
      </c>
      <c r="S1946">
        <f>SUMIF(Table1[product_category],"Bakery",Table1[Total_bill])</f>
        <v>2951.25</v>
      </c>
    </row>
    <row r="1947" spans="1:19" x14ac:dyDescent="0.3">
      <c r="A1947" s="2">
        <v>11946</v>
      </c>
      <c r="B1947" s="4">
        <v>47577</v>
      </c>
      <c r="C1947" t="s">
        <v>2067</v>
      </c>
      <c r="D1947" t="s">
        <v>40</v>
      </c>
      <c r="E1947" t="s">
        <v>41</v>
      </c>
      <c r="F1947" t="s">
        <v>109</v>
      </c>
      <c r="G1947">
        <v>4</v>
      </c>
      <c r="H1947" s="5">
        <v>3.5</v>
      </c>
      <c r="I1947" t="s">
        <v>32</v>
      </c>
      <c r="J1947" t="s">
        <v>55</v>
      </c>
      <c r="K1947" t="s">
        <v>55</v>
      </c>
      <c r="L1947" t="s">
        <v>2124</v>
      </c>
      <c r="M1947" s="5">
        <f t="shared" si="181"/>
        <v>14</v>
      </c>
      <c r="N1947" t="str">
        <f t="shared" si="182"/>
        <v>April</v>
      </c>
      <c r="O1947" t="str">
        <f t="shared" si="183"/>
        <v>Thursday</v>
      </c>
      <c r="P1947">
        <f t="shared" si="180"/>
        <v>12</v>
      </c>
      <c r="Q1947" s="2">
        <f t="shared" si="184"/>
        <v>4</v>
      </c>
      <c r="R1947" s="2">
        <f t="shared" si="185"/>
        <v>4</v>
      </c>
      <c r="S1947">
        <f>SUMIF(Table1[product_category],"Bakery",Table1[Total_bill])</f>
        <v>2951.25</v>
      </c>
    </row>
    <row r="1948" spans="1:19" x14ac:dyDescent="0.3">
      <c r="A1948" s="2">
        <v>11947</v>
      </c>
      <c r="B1948" s="4">
        <v>47578</v>
      </c>
      <c r="C1948" t="s">
        <v>2068</v>
      </c>
      <c r="D1948" t="s">
        <v>40</v>
      </c>
      <c r="E1948" t="s">
        <v>41</v>
      </c>
      <c r="F1948" t="s">
        <v>112</v>
      </c>
      <c r="G1948">
        <v>3</v>
      </c>
      <c r="H1948" s="5">
        <v>4.25</v>
      </c>
      <c r="I1948" t="s">
        <v>32</v>
      </c>
      <c r="J1948" t="s">
        <v>202</v>
      </c>
      <c r="K1948" t="s">
        <v>202</v>
      </c>
      <c r="L1948" t="s">
        <v>2124</v>
      </c>
      <c r="M1948" s="5">
        <f t="shared" si="181"/>
        <v>12.75</v>
      </c>
      <c r="N1948" t="str">
        <f t="shared" si="182"/>
        <v>April</v>
      </c>
      <c r="O1948" t="str">
        <f t="shared" si="183"/>
        <v>Friday</v>
      </c>
      <c r="P1948">
        <f t="shared" si="180"/>
        <v>11</v>
      </c>
      <c r="Q1948" s="2">
        <f t="shared" si="184"/>
        <v>5</v>
      </c>
      <c r="R1948" s="2">
        <f t="shared" si="185"/>
        <v>4</v>
      </c>
      <c r="S1948">
        <f>SUMIF(Table1[product_category],"Bakery",Table1[Total_bill])</f>
        <v>2951.25</v>
      </c>
    </row>
    <row r="1949" spans="1:19" x14ac:dyDescent="0.3">
      <c r="A1949" s="2">
        <v>11948</v>
      </c>
      <c r="B1949" s="4">
        <v>47579</v>
      </c>
      <c r="C1949" t="s">
        <v>2069</v>
      </c>
      <c r="D1949" t="s">
        <v>40</v>
      </c>
      <c r="E1949" t="s">
        <v>41</v>
      </c>
      <c r="F1949" t="s">
        <v>115</v>
      </c>
      <c r="G1949">
        <v>4</v>
      </c>
      <c r="H1949" s="5">
        <v>4</v>
      </c>
      <c r="I1949" t="s">
        <v>32</v>
      </c>
      <c r="J1949" t="s">
        <v>94</v>
      </c>
      <c r="K1949" t="s">
        <v>95</v>
      </c>
      <c r="L1949" t="s">
        <v>2124</v>
      </c>
      <c r="M1949" s="5">
        <f t="shared" si="181"/>
        <v>16</v>
      </c>
      <c r="N1949" t="str">
        <f t="shared" si="182"/>
        <v>April</v>
      </c>
      <c r="O1949" t="str">
        <f t="shared" si="183"/>
        <v>Saturday</v>
      </c>
      <c r="P1949">
        <f t="shared" si="180"/>
        <v>7</v>
      </c>
      <c r="Q1949" s="2">
        <f t="shared" si="184"/>
        <v>6</v>
      </c>
      <c r="R1949" s="2">
        <f t="shared" si="185"/>
        <v>4</v>
      </c>
      <c r="S1949">
        <f>SUMIF(Table1[product_category],"Bakery",Table1[Total_bill])</f>
        <v>2951.25</v>
      </c>
    </row>
    <row r="1950" spans="1:19" x14ac:dyDescent="0.3">
      <c r="A1950" s="2">
        <v>11949</v>
      </c>
      <c r="B1950" s="4">
        <v>47580</v>
      </c>
      <c r="C1950" t="s">
        <v>2070</v>
      </c>
      <c r="D1950" t="s">
        <v>25</v>
      </c>
      <c r="E1950" t="s">
        <v>26</v>
      </c>
      <c r="F1950" t="s">
        <v>117</v>
      </c>
      <c r="G1950">
        <v>4</v>
      </c>
      <c r="H1950" s="5">
        <v>3.5</v>
      </c>
      <c r="I1950" t="s">
        <v>32</v>
      </c>
      <c r="J1950" t="s">
        <v>226</v>
      </c>
      <c r="K1950" t="s">
        <v>227</v>
      </c>
      <c r="L1950" t="s">
        <v>2123</v>
      </c>
      <c r="M1950" s="5">
        <f t="shared" si="181"/>
        <v>14</v>
      </c>
      <c r="N1950" t="str">
        <f t="shared" si="182"/>
        <v>April</v>
      </c>
      <c r="O1950" t="str">
        <f t="shared" si="183"/>
        <v>Sunday</v>
      </c>
      <c r="P1950">
        <f t="shared" si="180"/>
        <v>9</v>
      </c>
      <c r="Q1950" s="2">
        <f t="shared" si="184"/>
        <v>7</v>
      </c>
      <c r="R1950" s="2">
        <f t="shared" si="185"/>
        <v>4</v>
      </c>
      <c r="S1950">
        <f>SUMIF(Table1[product_category],"Bakery",Table1[Total_bill])</f>
        <v>2951.25</v>
      </c>
    </row>
    <row r="1951" spans="1:19" x14ac:dyDescent="0.3">
      <c r="A1951" s="2">
        <v>11950</v>
      </c>
      <c r="B1951" s="4">
        <v>47581</v>
      </c>
      <c r="C1951" t="s">
        <v>2071</v>
      </c>
      <c r="D1951" t="s">
        <v>25</v>
      </c>
      <c r="E1951" t="s">
        <v>26</v>
      </c>
      <c r="F1951" t="s">
        <v>119</v>
      </c>
      <c r="G1951">
        <v>1</v>
      </c>
      <c r="H1951" s="5">
        <v>3.5</v>
      </c>
      <c r="I1951" t="s">
        <v>32</v>
      </c>
      <c r="J1951" t="s">
        <v>33</v>
      </c>
      <c r="K1951" t="s">
        <v>33</v>
      </c>
      <c r="L1951" t="s">
        <v>2122</v>
      </c>
      <c r="M1951" s="5">
        <f t="shared" si="181"/>
        <v>3.5</v>
      </c>
      <c r="N1951" t="str">
        <f t="shared" si="182"/>
        <v>April</v>
      </c>
      <c r="O1951" t="str">
        <f t="shared" si="183"/>
        <v>Monday</v>
      </c>
      <c r="P1951">
        <f t="shared" si="180"/>
        <v>11</v>
      </c>
      <c r="Q1951" s="2">
        <f t="shared" si="184"/>
        <v>1</v>
      </c>
      <c r="R1951" s="2">
        <f t="shared" si="185"/>
        <v>4</v>
      </c>
      <c r="S1951">
        <f>SUMIF(Table1[product_category],"Bakery",Table1[Total_bill])</f>
        <v>2951.25</v>
      </c>
    </row>
    <row r="1952" spans="1:19" x14ac:dyDescent="0.3">
      <c r="A1952" s="2">
        <v>11951</v>
      </c>
      <c r="B1952" s="4">
        <v>47582</v>
      </c>
      <c r="C1952" t="s">
        <v>2072</v>
      </c>
      <c r="D1952" t="s">
        <v>40</v>
      </c>
      <c r="E1952" t="s">
        <v>41</v>
      </c>
      <c r="F1952" t="s">
        <v>121</v>
      </c>
      <c r="G1952">
        <v>4</v>
      </c>
      <c r="H1952" s="5">
        <v>14</v>
      </c>
      <c r="I1952" t="s">
        <v>98</v>
      </c>
      <c r="J1952" t="s">
        <v>98</v>
      </c>
      <c r="K1952" t="s">
        <v>129</v>
      </c>
      <c r="L1952" t="s">
        <v>2125</v>
      </c>
      <c r="M1952" s="5">
        <f t="shared" si="181"/>
        <v>56</v>
      </c>
      <c r="N1952" t="str">
        <f t="shared" si="182"/>
        <v>April</v>
      </c>
      <c r="O1952" t="str">
        <f t="shared" si="183"/>
        <v>Tuesday</v>
      </c>
      <c r="P1952">
        <f t="shared" si="180"/>
        <v>7</v>
      </c>
      <c r="Q1952" s="2">
        <f t="shared" si="184"/>
        <v>2</v>
      </c>
      <c r="R1952" s="2">
        <f t="shared" si="185"/>
        <v>4</v>
      </c>
      <c r="S1952">
        <f>SUMIF(Table1[product_category],"Bakery",Table1[Total_bill])</f>
        <v>2951.25</v>
      </c>
    </row>
    <row r="1953" spans="1:19" x14ac:dyDescent="0.3">
      <c r="A1953" s="2">
        <v>11952</v>
      </c>
      <c r="B1953" s="4">
        <v>47583</v>
      </c>
      <c r="C1953" t="s">
        <v>2073</v>
      </c>
      <c r="D1953" t="s">
        <v>40</v>
      </c>
      <c r="E1953" t="s">
        <v>41</v>
      </c>
      <c r="F1953" t="s">
        <v>124</v>
      </c>
      <c r="G1953">
        <v>1</v>
      </c>
      <c r="H1953" s="5">
        <v>3.25</v>
      </c>
      <c r="I1953" t="s">
        <v>36</v>
      </c>
      <c r="J1953" t="s">
        <v>211</v>
      </c>
      <c r="K1953" t="s">
        <v>239</v>
      </c>
      <c r="L1953" t="s">
        <v>2122</v>
      </c>
      <c r="M1953" s="5">
        <f t="shared" si="181"/>
        <v>3.25</v>
      </c>
      <c r="N1953" t="str">
        <f t="shared" si="182"/>
        <v>April</v>
      </c>
      <c r="O1953" t="str">
        <f t="shared" si="183"/>
        <v>Wednesday</v>
      </c>
      <c r="P1953">
        <f t="shared" si="180"/>
        <v>8</v>
      </c>
      <c r="Q1953" s="2">
        <f t="shared" si="184"/>
        <v>3</v>
      </c>
      <c r="R1953" s="2">
        <f t="shared" si="185"/>
        <v>4</v>
      </c>
      <c r="S1953">
        <f>SUMIF(Table1[product_category],"Bakery",Table1[Total_bill])</f>
        <v>2951.25</v>
      </c>
    </row>
    <row r="1954" spans="1:19" x14ac:dyDescent="0.3">
      <c r="A1954" s="2">
        <v>11953</v>
      </c>
      <c r="B1954" s="4">
        <v>47584</v>
      </c>
      <c r="C1954" t="s">
        <v>2074</v>
      </c>
      <c r="D1954" t="s">
        <v>40</v>
      </c>
      <c r="E1954" t="s">
        <v>41</v>
      </c>
      <c r="F1954" t="s">
        <v>126</v>
      </c>
      <c r="G1954">
        <v>3</v>
      </c>
      <c r="H1954" s="5">
        <v>3.25</v>
      </c>
      <c r="I1954" t="s">
        <v>36</v>
      </c>
      <c r="J1954" t="s">
        <v>211</v>
      </c>
      <c r="K1954" t="s">
        <v>212</v>
      </c>
      <c r="L1954" t="s">
        <v>2122</v>
      </c>
      <c r="M1954" s="5">
        <f t="shared" si="181"/>
        <v>9.75</v>
      </c>
      <c r="N1954" t="str">
        <f t="shared" si="182"/>
        <v>April</v>
      </c>
      <c r="O1954" t="str">
        <f t="shared" si="183"/>
        <v>Thursday</v>
      </c>
      <c r="P1954">
        <f t="shared" si="180"/>
        <v>13</v>
      </c>
      <c r="Q1954" s="2">
        <f t="shared" si="184"/>
        <v>4</v>
      </c>
      <c r="R1954" s="2">
        <f t="shared" si="185"/>
        <v>4</v>
      </c>
      <c r="S1954">
        <f>SUMIF(Table1[product_category],"Bakery",Table1[Total_bill])</f>
        <v>2951.25</v>
      </c>
    </row>
    <row r="1955" spans="1:19" x14ac:dyDescent="0.3">
      <c r="A1955" s="2">
        <v>11954</v>
      </c>
      <c r="B1955" s="4">
        <v>47585</v>
      </c>
      <c r="C1955" t="s">
        <v>2075</v>
      </c>
      <c r="D1955" t="s">
        <v>18</v>
      </c>
      <c r="E1955" t="s">
        <v>19</v>
      </c>
      <c r="F1955" t="s">
        <v>128</v>
      </c>
      <c r="G1955">
        <v>4</v>
      </c>
      <c r="H1955" s="5">
        <v>4.25</v>
      </c>
      <c r="I1955" t="s">
        <v>36</v>
      </c>
      <c r="J1955" t="s">
        <v>211</v>
      </c>
      <c r="K1955" t="s">
        <v>212</v>
      </c>
      <c r="L1955" t="s">
        <v>2123</v>
      </c>
      <c r="M1955" s="5">
        <f t="shared" si="181"/>
        <v>17</v>
      </c>
      <c r="N1955" t="str">
        <f t="shared" si="182"/>
        <v>April</v>
      </c>
      <c r="O1955" t="str">
        <f t="shared" si="183"/>
        <v>Friday</v>
      </c>
      <c r="P1955">
        <f t="shared" si="180"/>
        <v>15</v>
      </c>
      <c r="Q1955" s="2">
        <f t="shared" si="184"/>
        <v>5</v>
      </c>
      <c r="R1955" s="2">
        <f t="shared" si="185"/>
        <v>4</v>
      </c>
      <c r="S1955">
        <f>SUMIF(Table1[product_category],"Bakery",Table1[Total_bill])</f>
        <v>2951.25</v>
      </c>
    </row>
    <row r="1956" spans="1:19" x14ac:dyDescent="0.3">
      <c r="A1956" s="2">
        <v>11955</v>
      </c>
      <c r="B1956" s="4">
        <v>47586</v>
      </c>
      <c r="C1956" t="s">
        <v>2076</v>
      </c>
      <c r="D1956" t="s">
        <v>18</v>
      </c>
      <c r="E1956" t="s">
        <v>19</v>
      </c>
      <c r="F1956" t="s">
        <v>131</v>
      </c>
      <c r="G1956">
        <v>2</v>
      </c>
      <c r="H1956" s="5">
        <v>3.5</v>
      </c>
      <c r="I1956" t="s">
        <v>89</v>
      </c>
      <c r="J1956" t="s">
        <v>261</v>
      </c>
      <c r="K1956" t="s">
        <v>261</v>
      </c>
      <c r="L1956" t="s">
        <v>2122</v>
      </c>
      <c r="M1956" s="5">
        <f t="shared" si="181"/>
        <v>7</v>
      </c>
      <c r="N1956" t="str">
        <f t="shared" si="182"/>
        <v>April</v>
      </c>
      <c r="O1956" t="str">
        <f t="shared" si="183"/>
        <v>Saturday</v>
      </c>
      <c r="P1956">
        <f t="shared" si="180"/>
        <v>20</v>
      </c>
      <c r="Q1956" s="2">
        <f t="shared" si="184"/>
        <v>6</v>
      </c>
      <c r="R1956" s="2">
        <f t="shared" si="185"/>
        <v>4</v>
      </c>
      <c r="S1956">
        <f>SUMIF(Table1[product_category],"Bakery",Table1[Total_bill])</f>
        <v>2951.25</v>
      </c>
    </row>
    <row r="1957" spans="1:19" x14ac:dyDescent="0.3">
      <c r="A1957" s="2">
        <v>11956</v>
      </c>
      <c r="B1957" s="4">
        <v>47587</v>
      </c>
      <c r="C1957" t="s">
        <v>2077</v>
      </c>
      <c r="D1957" t="s">
        <v>18</v>
      </c>
      <c r="E1957" t="s">
        <v>19</v>
      </c>
      <c r="F1957" t="s">
        <v>133</v>
      </c>
      <c r="G1957">
        <v>3</v>
      </c>
      <c r="H1957" s="5">
        <v>4.75</v>
      </c>
      <c r="I1957" t="s">
        <v>32</v>
      </c>
      <c r="J1957" t="s">
        <v>202</v>
      </c>
      <c r="K1957" t="s">
        <v>202</v>
      </c>
      <c r="L1957" t="s">
        <v>2123</v>
      </c>
      <c r="M1957" s="5">
        <f t="shared" si="181"/>
        <v>14.25</v>
      </c>
      <c r="N1957" t="str">
        <f t="shared" si="182"/>
        <v>April</v>
      </c>
      <c r="O1957" t="str">
        <f t="shared" si="183"/>
        <v>Sunday</v>
      </c>
      <c r="P1957">
        <f t="shared" si="180"/>
        <v>19</v>
      </c>
      <c r="Q1957" s="2">
        <f t="shared" si="184"/>
        <v>7</v>
      </c>
      <c r="R1957" s="2">
        <f t="shared" si="185"/>
        <v>4</v>
      </c>
      <c r="S1957">
        <f>SUMIF(Table1[product_category],"Bakery",Table1[Total_bill])</f>
        <v>2951.25</v>
      </c>
    </row>
    <row r="1958" spans="1:19" x14ac:dyDescent="0.3">
      <c r="A1958" s="2">
        <v>11957</v>
      </c>
      <c r="B1958" s="4">
        <v>47588</v>
      </c>
      <c r="C1958" t="s">
        <v>2078</v>
      </c>
      <c r="D1958" t="s">
        <v>40</v>
      </c>
      <c r="E1958" t="s">
        <v>41</v>
      </c>
      <c r="F1958" t="s">
        <v>135</v>
      </c>
      <c r="G1958">
        <v>3</v>
      </c>
      <c r="H1958" s="5">
        <v>4.75</v>
      </c>
      <c r="I1958" t="s">
        <v>32</v>
      </c>
      <c r="J1958" t="s">
        <v>202</v>
      </c>
      <c r="K1958" t="s">
        <v>202</v>
      </c>
      <c r="L1958" t="s">
        <v>2123</v>
      </c>
      <c r="M1958" s="5">
        <f t="shared" si="181"/>
        <v>14.25</v>
      </c>
      <c r="N1958" t="str">
        <f t="shared" si="182"/>
        <v>April</v>
      </c>
      <c r="O1958" t="str">
        <f t="shared" si="183"/>
        <v>Monday</v>
      </c>
      <c r="P1958">
        <f t="shared" si="180"/>
        <v>14</v>
      </c>
      <c r="Q1958" s="2">
        <f t="shared" si="184"/>
        <v>1</v>
      </c>
      <c r="R1958" s="2">
        <f t="shared" si="185"/>
        <v>4</v>
      </c>
      <c r="S1958">
        <f>SUMIF(Table1[product_category],"Bakery",Table1[Total_bill])</f>
        <v>2951.25</v>
      </c>
    </row>
    <row r="1959" spans="1:19" x14ac:dyDescent="0.3">
      <c r="A1959" s="2">
        <v>11958</v>
      </c>
      <c r="B1959" s="4">
        <v>47589</v>
      </c>
      <c r="C1959" t="s">
        <v>957</v>
      </c>
      <c r="D1959" t="s">
        <v>40</v>
      </c>
      <c r="E1959" t="s">
        <v>41</v>
      </c>
      <c r="F1959" t="s">
        <v>137</v>
      </c>
      <c r="G1959">
        <v>1</v>
      </c>
      <c r="H1959" s="5">
        <v>5</v>
      </c>
      <c r="I1959" t="s">
        <v>36</v>
      </c>
      <c r="J1959" t="s">
        <v>110</v>
      </c>
      <c r="K1959" t="s">
        <v>110</v>
      </c>
      <c r="L1959" t="s">
        <v>2123</v>
      </c>
      <c r="M1959" s="5">
        <f t="shared" si="181"/>
        <v>5</v>
      </c>
      <c r="N1959" t="str">
        <f t="shared" si="182"/>
        <v>April</v>
      </c>
      <c r="O1959" t="str">
        <f t="shared" si="183"/>
        <v>Tuesday</v>
      </c>
      <c r="P1959">
        <f t="shared" si="180"/>
        <v>10</v>
      </c>
      <c r="Q1959" s="2">
        <f t="shared" si="184"/>
        <v>2</v>
      </c>
      <c r="R1959" s="2">
        <f t="shared" si="185"/>
        <v>4</v>
      </c>
      <c r="S1959">
        <f>SUMIF(Table1[product_category],"Bakery",Table1[Total_bill])</f>
        <v>2951.25</v>
      </c>
    </row>
    <row r="1960" spans="1:19" x14ac:dyDescent="0.3">
      <c r="A1960" s="2">
        <v>11959</v>
      </c>
      <c r="B1960" s="4">
        <v>47590</v>
      </c>
      <c r="C1960" t="s">
        <v>2079</v>
      </c>
      <c r="D1960" t="s">
        <v>25</v>
      </c>
      <c r="E1960" t="s">
        <v>26</v>
      </c>
      <c r="F1960" t="s">
        <v>140</v>
      </c>
      <c r="G1960">
        <v>1</v>
      </c>
      <c r="H1960" s="5">
        <v>14</v>
      </c>
      <c r="I1960" t="s">
        <v>98</v>
      </c>
      <c r="J1960" t="s">
        <v>98</v>
      </c>
      <c r="K1960" t="s">
        <v>129</v>
      </c>
      <c r="L1960" t="s">
        <v>2125</v>
      </c>
      <c r="M1960" s="5">
        <f t="shared" si="181"/>
        <v>14</v>
      </c>
      <c r="N1960" t="str">
        <f t="shared" si="182"/>
        <v>April</v>
      </c>
      <c r="O1960" t="str">
        <f t="shared" si="183"/>
        <v>Wednesday</v>
      </c>
      <c r="P1960">
        <f t="shared" si="180"/>
        <v>13</v>
      </c>
      <c r="Q1960" s="2">
        <f t="shared" si="184"/>
        <v>3</v>
      </c>
      <c r="R1960" s="2">
        <f t="shared" si="185"/>
        <v>4</v>
      </c>
      <c r="S1960">
        <f>SUMIF(Table1[product_category],"Bakery",Table1[Total_bill])</f>
        <v>2951.25</v>
      </c>
    </row>
    <row r="1961" spans="1:19" x14ac:dyDescent="0.3">
      <c r="A1961" s="2">
        <v>11960</v>
      </c>
      <c r="B1961" s="4">
        <v>47591</v>
      </c>
      <c r="C1961" t="s">
        <v>2080</v>
      </c>
      <c r="D1961" t="s">
        <v>25</v>
      </c>
      <c r="E1961" t="s">
        <v>26</v>
      </c>
      <c r="F1961" t="s">
        <v>143</v>
      </c>
      <c r="G1961">
        <v>2</v>
      </c>
      <c r="H1961" s="5">
        <v>11</v>
      </c>
      <c r="I1961" t="s">
        <v>98</v>
      </c>
      <c r="J1961" t="s">
        <v>98</v>
      </c>
      <c r="K1961" t="s">
        <v>215</v>
      </c>
      <c r="L1961" t="s">
        <v>2125</v>
      </c>
      <c r="M1961" s="5">
        <f t="shared" si="181"/>
        <v>22</v>
      </c>
      <c r="N1961" t="str">
        <f t="shared" si="182"/>
        <v>April</v>
      </c>
      <c r="O1961" t="str">
        <f t="shared" si="183"/>
        <v>Thursday</v>
      </c>
      <c r="P1961">
        <f t="shared" si="180"/>
        <v>16</v>
      </c>
      <c r="Q1961" s="2">
        <f t="shared" si="184"/>
        <v>4</v>
      </c>
      <c r="R1961" s="2">
        <f t="shared" si="185"/>
        <v>4</v>
      </c>
      <c r="S1961">
        <f>SUMIF(Table1[product_category],"Bakery",Table1[Total_bill])</f>
        <v>2951.25</v>
      </c>
    </row>
    <row r="1962" spans="1:19" x14ac:dyDescent="0.3">
      <c r="A1962" s="2">
        <v>11961</v>
      </c>
      <c r="B1962" s="4">
        <v>47592</v>
      </c>
      <c r="C1962" t="s">
        <v>2081</v>
      </c>
      <c r="D1962" t="s">
        <v>40</v>
      </c>
      <c r="E1962" t="s">
        <v>41</v>
      </c>
      <c r="F1962" t="s">
        <v>146</v>
      </c>
      <c r="G1962">
        <v>1</v>
      </c>
      <c r="H1962" s="5">
        <v>2.5</v>
      </c>
      <c r="I1962" t="s">
        <v>36</v>
      </c>
      <c r="J1962" t="s">
        <v>37</v>
      </c>
      <c r="K1962" t="s">
        <v>276</v>
      </c>
      <c r="L1962" t="s">
        <v>2122</v>
      </c>
      <c r="M1962" s="5">
        <f t="shared" si="181"/>
        <v>2.5</v>
      </c>
      <c r="N1962" t="str">
        <f t="shared" si="182"/>
        <v>April</v>
      </c>
      <c r="O1962" t="str">
        <f t="shared" si="183"/>
        <v>Friday</v>
      </c>
      <c r="P1962">
        <f t="shared" si="180"/>
        <v>7</v>
      </c>
      <c r="Q1962" s="2">
        <f t="shared" si="184"/>
        <v>5</v>
      </c>
      <c r="R1962" s="2">
        <f t="shared" si="185"/>
        <v>4</v>
      </c>
      <c r="S1962">
        <f>SUMIF(Table1[product_category],"Bakery",Table1[Total_bill])</f>
        <v>2951.25</v>
      </c>
    </row>
    <row r="1963" spans="1:19" x14ac:dyDescent="0.3">
      <c r="A1963" s="2">
        <v>11962</v>
      </c>
      <c r="B1963" s="4">
        <v>47593</v>
      </c>
      <c r="C1963" t="s">
        <v>2082</v>
      </c>
      <c r="D1963" t="s">
        <v>25</v>
      </c>
      <c r="E1963" t="s">
        <v>26</v>
      </c>
      <c r="F1963" t="s">
        <v>148</v>
      </c>
      <c r="G1963">
        <v>3</v>
      </c>
      <c r="H1963" s="5">
        <v>3.25</v>
      </c>
      <c r="I1963" t="s">
        <v>21</v>
      </c>
      <c r="J1963" t="s">
        <v>81</v>
      </c>
      <c r="K1963" t="s">
        <v>113</v>
      </c>
      <c r="L1963" t="s">
        <v>2125</v>
      </c>
      <c r="M1963" s="5">
        <f t="shared" si="181"/>
        <v>9.75</v>
      </c>
      <c r="N1963" t="str">
        <f t="shared" si="182"/>
        <v>April</v>
      </c>
      <c r="O1963" t="str">
        <f t="shared" si="183"/>
        <v>Saturday</v>
      </c>
      <c r="P1963">
        <f t="shared" si="180"/>
        <v>10</v>
      </c>
      <c r="Q1963" s="2">
        <f t="shared" si="184"/>
        <v>6</v>
      </c>
      <c r="R1963" s="2">
        <f t="shared" si="185"/>
        <v>4</v>
      </c>
      <c r="S1963">
        <f>SUMIF(Table1[product_category],"Bakery",Table1[Total_bill])</f>
        <v>2951.25</v>
      </c>
    </row>
    <row r="1964" spans="1:19" x14ac:dyDescent="0.3">
      <c r="A1964" s="2">
        <v>11963</v>
      </c>
      <c r="B1964" s="4">
        <v>47594</v>
      </c>
      <c r="C1964" t="s">
        <v>2083</v>
      </c>
      <c r="D1964" t="s">
        <v>25</v>
      </c>
      <c r="E1964" t="s">
        <v>26</v>
      </c>
      <c r="F1964" t="s">
        <v>150</v>
      </c>
      <c r="G1964">
        <v>4</v>
      </c>
      <c r="H1964" s="5">
        <v>6</v>
      </c>
      <c r="I1964" t="s">
        <v>72</v>
      </c>
      <c r="J1964" t="s">
        <v>72</v>
      </c>
      <c r="K1964" t="s">
        <v>138</v>
      </c>
      <c r="L1964" t="s">
        <v>2125</v>
      </c>
      <c r="M1964" s="5">
        <f t="shared" si="181"/>
        <v>24</v>
      </c>
      <c r="N1964" t="str">
        <f t="shared" si="182"/>
        <v>April</v>
      </c>
      <c r="O1964" t="str">
        <f t="shared" si="183"/>
        <v>Sunday</v>
      </c>
      <c r="P1964">
        <f t="shared" si="180"/>
        <v>16</v>
      </c>
      <c r="Q1964" s="2">
        <f t="shared" si="184"/>
        <v>7</v>
      </c>
      <c r="R1964" s="2">
        <f t="shared" si="185"/>
        <v>4</v>
      </c>
      <c r="S1964">
        <f>SUMIF(Table1[product_category],"Bakery",Table1[Total_bill])</f>
        <v>2951.25</v>
      </c>
    </row>
    <row r="1965" spans="1:19" x14ac:dyDescent="0.3">
      <c r="A1965" s="2">
        <v>11964</v>
      </c>
      <c r="B1965" s="4">
        <v>47595</v>
      </c>
      <c r="C1965" t="s">
        <v>2084</v>
      </c>
      <c r="D1965" t="s">
        <v>40</v>
      </c>
      <c r="E1965" t="s">
        <v>41</v>
      </c>
      <c r="F1965" t="s">
        <v>152</v>
      </c>
      <c r="G1965">
        <v>4</v>
      </c>
      <c r="H1965" s="5">
        <v>9.5</v>
      </c>
      <c r="I1965" t="s">
        <v>28</v>
      </c>
      <c r="J1965" t="s">
        <v>28</v>
      </c>
      <c r="K1965" t="s">
        <v>29</v>
      </c>
      <c r="L1965" t="s">
        <v>2125</v>
      </c>
      <c r="M1965" s="5">
        <f t="shared" si="181"/>
        <v>38</v>
      </c>
      <c r="N1965" t="str">
        <f t="shared" si="182"/>
        <v>April</v>
      </c>
      <c r="O1965" t="str">
        <f t="shared" si="183"/>
        <v>Monday</v>
      </c>
      <c r="P1965">
        <f t="shared" si="180"/>
        <v>10</v>
      </c>
      <c r="Q1965" s="2">
        <f t="shared" si="184"/>
        <v>1</v>
      </c>
      <c r="R1965" s="2">
        <f t="shared" si="185"/>
        <v>4</v>
      </c>
      <c r="S1965">
        <f>SUMIF(Table1[product_category],"Bakery",Table1[Total_bill])</f>
        <v>2951.25</v>
      </c>
    </row>
    <row r="1966" spans="1:19" x14ac:dyDescent="0.3">
      <c r="A1966" s="2">
        <v>11965</v>
      </c>
      <c r="B1966" s="4">
        <v>47596</v>
      </c>
      <c r="C1966" t="s">
        <v>2085</v>
      </c>
      <c r="D1966" t="s">
        <v>25</v>
      </c>
      <c r="E1966" t="s">
        <v>26</v>
      </c>
      <c r="F1966" t="s">
        <v>154</v>
      </c>
      <c r="G1966">
        <v>4</v>
      </c>
      <c r="H1966" s="5">
        <v>3.75</v>
      </c>
      <c r="I1966" t="s">
        <v>36</v>
      </c>
      <c r="J1966" t="s">
        <v>211</v>
      </c>
      <c r="K1966" t="s">
        <v>239</v>
      </c>
      <c r="L1966" t="s">
        <v>2124</v>
      </c>
      <c r="M1966" s="5">
        <f t="shared" si="181"/>
        <v>15</v>
      </c>
      <c r="N1966" t="str">
        <f t="shared" si="182"/>
        <v>April</v>
      </c>
      <c r="O1966" t="str">
        <f t="shared" si="183"/>
        <v>Tuesday</v>
      </c>
      <c r="P1966">
        <f t="shared" si="180"/>
        <v>13</v>
      </c>
      <c r="Q1966" s="2">
        <f t="shared" si="184"/>
        <v>2</v>
      </c>
      <c r="R1966" s="2">
        <f t="shared" si="185"/>
        <v>4</v>
      </c>
      <c r="S1966">
        <f>SUMIF(Table1[product_category],"Bakery",Table1[Total_bill])</f>
        <v>2951.25</v>
      </c>
    </row>
    <row r="1967" spans="1:19" x14ac:dyDescent="0.3">
      <c r="A1967" s="2">
        <v>11966</v>
      </c>
      <c r="B1967" s="4">
        <v>47597</v>
      </c>
      <c r="C1967" t="s">
        <v>2086</v>
      </c>
      <c r="D1967" t="s">
        <v>18</v>
      </c>
      <c r="E1967" t="s">
        <v>19</v>
      </c>
      <c r="F1967" t="s">
        <v>156</v>
      </c>
      <c r="G1967">
        <v>4</v>
      </c>
      <c r="H1967" s="5">
        <v>4.25</v>
      </c>
      <c r="I1967" t="s">
        <v>36</v>
      </c>
      <c r="J1967" t="s">
        <v>211</v>
      </c>
      <c r="K1967" t="s">
        <v>212</v>
      </c>
      <c r="L1967" t="s">
        <v>2123</v>
      </c>
      <c r="M1967" s="5">
        <f t="shared" si="181"/>
        <v>17</v>
      </c>
      <c r="N1967" t="str">
        <f t="shared" si="182"/>
        <v>April</v>
      </c>
      <c r="O1967" t="str">
        <f t="shared" si="183"/>
        <v>Wednesday</v>
      </c>
      <c r="P1967">
        <f t="shared" si="180"/>
        <v>13</v>
      </c>
      <c r="Q1967" s="2">
        <f t="shared" si="184"/>
        <v>3</v>
      </c>
      <c r="R1967" s="2">
        <f t="shared" si="185"/>
        <v>4</v>
      </c>
      <c r="S1967">
        <f>SUMIF(Table1[product_category],"Bakery",Table1[Total_bill])</f>
        <v>2951.25</v>
      </c>
    </row>
    <row r="1968" spans="1:19" x14ac:dyDescent="0.3">
      <c r="A1968" s="2">
        <v>11967</v>
      </c>
      <c r="B1968" s="4">
        <v>47598</v>
      </c>
      <c r="C1968" t="s">
        <v>2087</v>
      </c>
      <c r="D1968" t="s">
        <v>18</v>
      </c>
      <c r="E1968" t="s">
        <v>19</v>
      </c>
      <c r="F1968" t="s">
        <v>158</v>
      </c>
      <c r="G1968">
        <v>3</v>
      </c>
      <c r="H1968" s="5">
        <v>13</v>
      </c>
      <c r="I1968" t="s">
        <v>98</v>
      </c>
      <c r="J1968" t="s">
        <v>98</v>
      </c>
      <c r="K1968" t="s">
        <v>95</v>
      </c>
      <c r="L1968" t="s">
        <v>2125</v>
      </c>
      <c r="M1968" s="5">
        <f t="shared" si="181"/>
        <v>39</v>
      </c>
      <c r="N1968" t="str">
        <f t="shared" si="182"/>
        <v>April</v>
      </c>
      <c r="O1968" t="str">
        <f t="shared" si="183"/>
        <v>Thursday</v>
      </c>
      <c r="P1968">
        <f t="shared" si="180"/>
        <v>8</v>
      </c>
      <c r="Q1968" s="2">
        <f t="shared" si="184"/>
        <v>4</v>
      </c>
      <c r="R1968" s="2">
        <f t="shared" si="185"/>
        <v>4</v>
      </c>
      <c r="S1968">
        <f>SUMIF(Table1[product_category],"Bakery",Table1[Total_bill])</f>
        <v>2951.25</v>
      </c>
    </row>
    <row r="1969" spans="1:19" x14ac:dyDescent="0.3">
      <c r="A1969" s="2">
        <v>11968</v>
      </c>
      <c r="B1969" s="4">
        <v>47599</v>
      </c>
      <c r="C1969" t="s">
        <v>2088</v>
      </c>
      <c r="D1969" t="s">
        <v>25</v>
      </c>
      <c r="E1969" t="s">
        <v>26</v>
      </c>
      <c r="F1969" t="s">
        <v>160</v>
      </c>
      <c r="G1969">
        <v>1</v>
      </c>
      <c r="H1969" s="5">
        <v>3.5</v>
      </c>
      <c r="I1969" t="s">
        <v>32</v>
      </c>
      <c r="J1969" t="s">
        <v>33</v>
      </c>
      <c r="K1969" t="s">
        <v>33</v>
      </c>
      <c r="L1969" t="s">
        <v>2122</v>
      </c>
      <c r="M1969" s="5">
        <f t="shared" si="181"/>
        <v>3.5</v>
      </c>
      <c r="N1969" t="str">
        <f t="shared" si="182"/>
        <v>April</v>
      </c>
      <c r="O1969" t="str">
        <f t="shared" si="183"/>
        <v>Friday</v>
      </c>
      <c r="P1969">
        <f t="shared" si="180"/>
        <v>10</v>
      </c>
      <c r="Q1969" s="2">
        <f t="shared" si="184"/>
        <v>5</v>
      </c>
      <c r="R1969" s="2">
        <f t="shared" si="185"/>
        <v>4</v>
      </c>
      <c r="S1969">
        <f>SUMIF(Table1[product_category],"Bakery",Table1[Total_bill])</f>
        <v>2951.25</v>
      </c>
    </row>
    <row r="1970" spans="1:19" x14ac:dyDescent="0.3">
      <c r="A1970" s="2">
        <v>11969</v>
      </c>
      <c r="B1970" s="4">
        <v>47600</v>
      </c>
      <c r="C1970" t="s">
        <v>2089</v>
      </c>
      <c r="D1970" t="s">
        <v>40</v>
      </c>
      <c r="E1970" t="s">
        <v>41</v>
      </c>
      <c r="F1970" t="s">
        <v>162</v>
      </c>
      <c r="G1970">
        <v>1</v>
      </c>
      <c r="H1970" s="5">
        <v>3.25</v>
      </c>
      <c r="I1970" t="s">
        <v>32</v>
      </c>
      <c r="J1970" t="s">
        <v>144</v>
      </c>
      <c r="K1970" t="s">
        <v>144</v>
      </c>
      <c r="L1970" t="s">
        <v>2124</v>
      </c>
      <c r="M1970" s="5">
        <f t="shared" si="181"/>
        <v>3.25</v>
      </c>
      <c r="N1970" t="str">
        <f t="shared" si="182"/>
        <v>April</v>
      </c>
      <c r="O1970" t="str">
        <f t="shared" si="183"/>
        <v>Saturday</v>
      </c>
      <c r="P1970">
        <f t="shared" si="180"/>
        <v>9</v>
      </c>
      <c r="Q1970" s="2">
        <f t="shared" si="184"/>
        <v>6</v>
      </c>
      <c r="R1970" s="2">
        <f t="shared" si="185"/>
        <v>4</v>
      </c>
      <c r="S1970">
        <f>SUMIF(Table1[product_category],"Bakery",Table1[Total_bill])</f>
        <v>2951.25</v>
      </c>
    </row>
    <row r="1971" spans="1:19" x14ac:dyDescent="0.3">
      <c r="A1971" s="2">
        <v>11970</v>
      </c>
      <c r="B1971" s="4">
        <v>47601</v>
      </c>
      <c r="C1971" t="s">
        <v>2090</v>
      </c>
      <c r="D1971" t="s">
        <v>18</v>
      </c>
      <c r="E1971" t="s">
        <v>19</v>
      </c>
      <c r="F1971" t="s">
        <v>164</v>
      </c>
      <c r="G1971">
        <v>3</v>
      </c>
      <c r="H1971" s="5">
        <v>3.75</v>
      </c>
      <c r="I1971" t="s">
        <v>32</v>
      </c>
      <c r="J1971" t="s">
        <v>226</v>
      </c>
      <c r="K1971" t="s">
        <v>273</v>
      </c>
      <c r="L1971" t="s">
        <v>2123</v>
      </c>
      <c r="M1971" s="5">
        <f t="shared" si="181"/>
        <v>11.25</v>
      </c>
      <c r="N1971" t="str">
        <f t="shared" si="182"/>
        <v>April</v>
      </c>
      <c r="O1971" t="str">
        <f t="shared" si="183"/>
        <v>Sunday</v>
      </c>
      <c r="P1971">
        <f t="shared" si="180"/>
        <v>6</v>
      </c>
      <c r="Q1971" s="2">
        <f t="shared" si="184"/>
        <v>7</v>
      </c>
      <c r="R1971" s="2">
        <f t="shared" si="185"/>
        <v>4</v>
      </c>
      <c r="S1971">
        <f>SUMIF(Table1[product_category],"Bakery",Table1[Total_bill])</f>
        <v>2951.25</v>
      </c>
    </row>
    <row r="1972" spans="1:19" x14ac:dyDescent="0.3">
      <c r="A1972" s="2">
        <v>11971</v>
      </c>
      <c r="B1972" s="4">
        <v>47602</v>
      </c>
      <c r="C1972" t="s">
        <v>2091</v>
      </c>
      <c r="D1972" t="s">
        <v>40</v>
      </c>
      <c r="E1972" t="s">
        <v>41</v>
      </c>
      <c r="F1972" t="s">
        <v>166</v>
      </c>
      <c r="G1972">
        <v>4</v>
      </c>
      <c r="H1972" s="5">
        <v>8</v>
      </c>
      <c r="I1972" t="s">
        <v>28</v>
      </c>
      <c r="J1972" t="s">
        <v>28</v>
      </c>
      <c r="K1972" t="s">
        <v>76</v>
      </c>
      <c r="L1972" t="s">
        <v>2125</v>
      </c>
      <c r="M1972" s="5">
        <f t="shared" si="181"/>
        <v>32</v>
      </c>
      <c r="N1972" t="str">
        <f t="shared" si="182"/>
        <v>April</v>
      </c>
      <c r="O1972" t="str">
        <f t="shared" si="183"/>
        <v>Monday</v>
      </c>
      <c r="P1972">
        <f t="shared" si="180"/>
        <v>6</v>
      </c>
      <c r="Q1972" s="2">
        <f t="shared" si="184"/>
        <v>1</v>
      </c>
      <c r="R1972" s="2">
        <f t="shared" si="185"/>
        <v>4</v>
      </c>
      <c r="S1972">
        <f>SUMIF(Table1[product_category],"Bakery",Table1[Total_bill])</f>
        <v>2951.25</v>
      </c>
    </row>
    <row r="1973" spans="1:19" x14ac:dyDescent="0.3">
      <c r="A1973" s="2">
        <v>11972</v>
      </c>
      <c r="B1973" s="4">
        <v>47603</v>
      </c>
      <c r="C1973" t="s">
        <v>2092</v>
      </c>
      <c r="D1973" t="s">
        <v>40</v>
      </c>
      <c r="E1973" t="s">
        <v>41</v>
      </c>
      <c r="F1973" t="s">
        <v>168</v>
      </c>
      <c r="G1973">
        <v>4</v>
      </c>
      <c r="H1973" s="5">
        <v>3.5</v>
      </c>
      <c r="I1973" t="s">
        <v>32</v>
      </c>
      <c r="J1973" t="s">
        <v>55</v>
      </c>
      <c r="K1973" t="s">
        <v>55</v>
      </c>
      <c r="L1973" t="s">
        <v>2124</v>
      </c>
      <c r="M1973" s="5">
        <f t="shared" si="181"/>
        <v>14</v>
      </c>
      <c r="N1973" t="str">
        <f t="shared" si="182"/>
        <v>April</v>
      </c>
      <c r="O1973" t="str">
        <f t="shared" si="183"/>
        <v>Tuesday</v>
      </c>
      <c r="P1973">
        <f t="shared" si="180"/>
        <v>16</v>
      </c>
      <c r="Q1973" s="2">
        <f t="shared" si="184"/>
        <v>2</v>
      </c>
      <c r="R1973" s="2">
        <f t="shared" si="185"/>
        <v>4</v>
      </c>
      <c r="S1973">
        <f>SUMIF(Table1[product_category],"Bakery",Table1[Total_bill])</f>
        <v>2951.25</v>
      </c>
    </row>
    <row r="1974" spans="1:19" x14ac:dyDescent="0.3">
      <c r="A1974" s="2">
        <v>11973</v>
      </c>
      <c r="B1974" s="4">
        <v>47604</v>
      </c>
      <c r="C1974" t="s">
        <v>2093</v>
      </c>
      <c r="D1974" t="s">
        <v>18</v>
      </c>
      <c r="E1974" t="s">
        <v>19</v>
      </c>
      <c r="F1974" t="s">
        <v>170</v>
      </c>
      <c r="G1974">
        <v>3</v>
      </c>
      <c r="H1974" s="5">
        <v>4</v>
      </c>
      <c r="I1974" t="s">
        <v>89</v>
      </c>
      <c r="J1974" t="s">
        <v>90</v>
      </c>
      <c r="K1974" t="s">
        <v>91</v>
      </c>
      <c r="L1974" t="s">
        <v>2122</v>
      </c>
      <c r="M1974" s="5">
        <f t="shared" si="181"/>
        <v>12</v>
      </c>
      <c r="N1974" t="str">
        <f t="shared" si="182"/>
        <v>May</v>
      </c>
      <c r="O1974" t="str">
        <f t="shared" si="183"/>
        <v>Wednesday</v>
      </c>
      <c r="P1974">
        <f t="shared" si="180"/>
        <v>9</v>
      </c>
      <c r="Q1974" s="2">
        <f t="shared" si="184"/>
        <v>3</v>
      </c>
      <c r="R1974" s="2">
        <f t="shared" si="185"/>
        <v>5</v>
      </c>
      <c r="S1974">
        <f>SUMIF(Table1[product_category],"Bakery",Table1[Total_bill])</f>
        <v>2951.25</v>
      </c>
    </row>
    <row r="1975" spans="1:19" x14ac:dyDescent="0.3">
      <c r="A1975" s="2">
        <v>11974</v>
      </c>
      <c r="B1975" s="4">
        <v>47605</v>
      </c>
      <c r="C1975" t="s">
        <v>2094</v>
      </c>
      <c r="D1975" t="s">
        <v>40</v>
      </c>
      <c r="E1975" t="s">
        <v>41</v>
      </c>
      <c r="F1975" t="s">
        <v>172</v>
      </c>
      <c r="G1975">
        <v>4</v>
      </c>
      <c r="H1975" s="5">
        <v>4.5</v>
      </c>
      <c r="I1975" t="s">
        <v>36</v>
      </c>
      <c r="J1975" t="s">
        <v>110</v>
      </c>
      <c r="K1975" t="s">
        <v>110</v>
      </c>
      <c r="L1975" t="s">
        <v>2124</v>
      </c>
      <c r="M1975" s="5">
        <f t="shared" si="181"/>
        <v>18</v>
      </c>
      <c r="N1975" t="str">
        <f t="shared" si="182"/>
        <v>May</v>
      </c>
      <c r="O1975" t="str">
        <f t="shared" si="183"/>
        <v>Thursday</v>
      </c>
      <c r="P1975">
        <f t="shared" si="180"/>
        <v>12</v>
      </c>
      <c r="Q1975" s="2">
        <f t="shared" si="184"/>
        <v>4</v>
      </c>
      <c r="R1975" s="2">
        <f t="shared" si="185"/>
        <v>5</v>
      </c>
      <c r="S1975">
        <f>SUMIF(Table1[product_category],"Bakery",Table1[Total_bill])</f>
        <v>2951.25</v>
      </c>
    </row>
    <row r="1976" spans="1:19" x14ac:dyDescent="0.3">
      <c r="A1976" s="2">
        <v>11975</v>
      </c>
      <c r="B1976" s="4">
        <v>47606</v>
      </c>
      <c r="C1976" t="s">
        <v>2095</v>
      </c>
      <c r="D1976" t="s">
        <v>40</v>
      </c>
      <c r="E1976" t="s">
        <v>41</v>
      </c>
      <c r="F1976" t="s">
        <v>174</v>
      </c>
      <c r="G1976">
        <v>1</v>
      </c>
      <c r="H1976" s="5">
        <v>2.75</v>
      </c>
      <c r="I1976" t="s">
        <v>32</v>
      </c>
      <c r="J1976" t="s">
        <v>226</v>
      </c>
      <c r="K1976" t="s">
        <v>273</v>
      </c>
      <c r="L1976" t="s">
        <v>2122</v>
      </c>
      <c r="M1976" s="5">
        <f t="shared" si="181"/>
        <v>2.75</v>
      </c>
      <c r="N1976" t="str">
        <f t="shared" si="182"/>
        <v>May</v>
      </c>
      <c r="O1976" t="str">
        <f t="shared" si="183"/>
        <v>Friday</v>
      </c>
      <c r="P1976">
        <f t="shared" si="180"/>
        <v>9</v>
      </c>
      <c r="Q1976" s="2">
        <f t="shared" si="184"/>
        <v>5</v>
      </c>
      <c r="R1976" s="2">
        <f t="shared" si="185"/>
        <v>5</v>
      </c>
      <c r="S1976">
        <f>SUMIF(Table1[product_category],"Bakery",Table1[Total_bill])</f>
        <v>2951.25</v>
      </c>
    </row>
    <row r="1977" spans="1:19" x14ac:dyDescent="0.3">
      <c r="A1977" s="2">
        <v>11976</v>
      </c>
      <c r="B1977" s="4">
        <v>47607</v>
      </c>
      <c r="C1977" t="s">
        <v>2096</v>
      </c>
      <c r="D1977" t="s">
        <v>18</v>
      </c>
      <c r="E1977" t="s">
        <v>19</v>
      </c>
      <c r="F1977" t="s">
        <v>176</v>
      </c>
      <c r="G1977">
        <v>3</v>
      </c>
      <c r="H1977" s="5">
        <v>3.25</v>
      </c>
      <c r="I1977" t="s">
        <v>21</v>
      </c>
      <c r="J1977" t="s">
        <v>81</v>
      </c>
      <c r="K1977" t="s">
        <v>82</v>
      </c>
      <c r="L1977" t="s">
        <v>2125</v>
      </c>
      <c r="M1977" s="5">
        <f t="shared" si="181"/>
        <v>9.75</v>
      </c>
      <c r="N1977" t="str">
        <f t="shared" si="182"/>
        <v>May</v>
      </c>
      <c r="O1977" t="str">
        <f t="shared" si="183"/>
        <v>Saturday</v>
      </c>
      <c r="P1977">
        <f t="shared" si="180"/>
        <v>19</v>
      </c>
      <c r="Q1977" s="2">
        <f t="shared" si="184"/>
        <v>6</v>
      </c>
      <c r="R1977" s="2">
        <f t="shared" si="185"/>
        <v>5</v>
      </c>
      <c r="S1977">
        <f>SUMIF(Table1[product_category],"Bakery",Table1[Total_bill])</f>
        <v>2951.25</v>
      </c>
    </row>
    <row r="1978" spans="1:19" x14ac:dyDescent="0.3">
      <c r="A1978" s="2">
        <v>11977</v>
      </c>
      <c r="B1978" s="4">
        <v>47608</v>
      </c>
      <c r="C1978" t="s">
        <v>2097</v>
      </c>
      <c r="D1978" t="s">
        <v>25</v>
      </c>
      <c r="E1978" t="s">
        <v>26</v>
      </c>
      <c r="F1978" t="s">
        <v>178</v>
      </c>
      <c r="G1978">
        <v>4</v>
      </c>
      <c r="H1978" s="5">
        <v>8</v>
      </c>
      <c r="I1978" t="s">
        <v>28</v>
      </c>
      <c r="J1978" t="s">
        <v>28</v>
      </c>
      <c r="K1978" t="s">
        <v>76</v>
      </c>
      <c r="L1978" t="s">
        <v>2125</v>
      </c>
      <c r="M1978" s="5">
        <f t="shared" si="181"/>
        <v>32</v>
      </c>
      <c r="N1978" t="str">
        <f t="shared" si="182"/>
        <v>May</v>
      </c>
      <c r="O1978" t="str">
        <f t="shared" si="183"/>
        <v>Sunday</v>
      </c>
      <c r="P1978">
        <f t="shared" si="180"/>
        <v>8</v>
      </c>
      <c r="Q1978" s="2">
        <f t="shared" si="184"/>
        <v>7</v>
      </c>
      <c r="R1978" s="2">
        <f t="shared" si="185"/>
        <v>5</v>
      </c>
      <c r="S1978">
        <f>SUMIF(Table1[product_category],"Bakery",Table1[Total_bill])</f>
        <v>2951.25</v>
      </c>
    </row>
    <row r="1979" spans="1:19" x14ac:dyDescent="0.3">
      <c r="A1979" s="2">
        <v>11978</v>
      </c>
      <c r="B1979" s="4">
        <v>47609</v>
      </c>
      <c r="C1979" t="s">
        <v>2098</v>
      </c>
      <c r="D1979" t="s">
        <v>40</v>
      </c>
      <c r="E1979" t="s">
        <v>41</v>
      </c>
      <c r="F1979" t="s">
        <v>180</v>
      </c>
      <c r="G1979">
        <v>4</v>
      </c>
      <c r="H1979" s="5">
        <v>4.5</v>
      </c>
      <c r="I1979" t="s">
        <v>32</v>
      </c>
      <c r="J1979" t="s">
        <v>94</v>
      </c>
      <c r="K1979" t="s">
        <v>95</v>
      </c>
      <c r="L1979" t="s">
        <v>2123</v>
      </c>
      <c r="M1979" s="5">
        <f t="shared" si="181"/>
        <v>18</v>
      </c>
      <c r="N1979" t="str">
        <f t="shared" si="182"/>
        <v>May</v>
      </c>
      <c r="O1979" t="str">
        <f t="shared" si="183"/>
        <v>Monday</v>
      </c>
      <c r="P1979">
        <f t="shared" si="180"/>
        <v>10</v>
      </c>
      <c r="Q1979" s="2">
        <f t="shared" si="184"/>
        <v>1</v>
      </c>
      <c r="R1979" s="2">
        <f t="shared" si="185"/>
        <v>5</v>
      </c>
      <c r="S1979">
        <f>SUMIF(Table1[product_category],"Bakery",Table1[Total_bill])</f>
        <v>2951.25</v>
      </c>
    </row>
    <row r="1980" spans="1:19" x14ac:dyDescent="0.3">
      <c r="A1980" s="2">
        <v>11979</v>
      </c>
      <c r="B1980" s="4">
        <v>47610</v>
      </c>
      <c r="C1980" t="s">
        <v>2099</v>
      </c>
      <c r="D1980" t="s">
        <v>18</v>
      </c>
      <c r="E1980" t="s">
        <v>19</v>
      </c>
      <c r="F1980" t="s">
        <v>184</v>
      </c>
      <c r="G1980">
        <v>3</v>
      </c>
      <c r="H1980" s="5">
        <v>3.75</v>
      </c>
      <c r="I1980" t="s">
        <v>36</v>
      </c>
      <c r="J1980" t="s">
        <v>211</v>
      </c>
      <c r="K1980" t="s">
        <v>239</v>
      </c>
      <c r="L1980" t="s">
        <v>2124</v>
      </c>
      <c r="M1980" s="5">
        <f t="shared" si="181"/>
        <v>11.25</v>
      </c>
      <c r="N1980" t="str">
        <f t="shared" si="182"/>
        <v>May</v>
      </c>
      <c r="O1980" t="str">
        <f t="shared" si="183"/>
        <v>Tuesday</v>
      </c>
      <c r="P1980">
        <f t="shared" si="180"/>
        <v>17</v>
      </c>
      <c r="Q1980" s="2">
        <f t="shared" si="184"/>
        <v>2</v>
      </c>
      <c r="R1980" s="2">
        <f t="shared" si="185"/>
        <v>5</v>
      </c>
      <c r="S1980">
        <f>SUMIF(Table1[product_category],"Bakery",Table1[Total_bill])</f>
        <v>2951.25</v>
      </c>
    </row>
    <row r="1981" spans="1:19" x14ac:dyDescent="0.3">
      <c r="A1981" s="2">
        <v>11980</v>
      </c>
      <c r="B1981" s="4">
        <v>47611</v>
      </c>
      <c r="C1981" t="s">
        <v>2100</v>
      </c>
      <c r="D1981" t="s">
        <v>25</v>
      </c>
      <c r="E1981" t="s">
        <v>26</v>
      </c>
      <c r="F1981" t="s">
        <v>186</v>
      </c>
      <c r="G1981">
        <v>2</v>
      </c>
      <c r="H1981" s="5">
        <v>3.75</v>
      </c>
      <c r="I1981" t="s">
        <v>32</v>
      </c>
      <c r="J1981" t="s">
        <v>144</v>
      </c>
      <c r="K1981" t="s">
        <v>144</v>
      </c>
      <c r="L1981" t="s">
        <v>2123</v>
      </c>
      <c r="M1981" s="5">
        <f t="shared" si="181"/>
        <v>7.5</v>
      </c>
      <c r="N1981" t="str">
        <f t="shared" si="182"/>
        <v>May</v>
      </c>
      <c r="O1981" t="str">
        <f t="shared" si="183"/>
        <v>Wednesday</v>
      </c>
      <c r="P1981">
        <f t="shared" si="180"/>
        <v>17</v>
      </c>
      <c r="Q1981" s="2">
        <f t="shared" si="184"/>
        <v>3</v>
      </c>
      <c r="R1981" s="2">
        <f t="shared" si="185"/>
        <v>5</v>
      </c>
      <c r="S1981">
        <f>SUMIF(Table1[product_category],"Bakery",Table1[Total_bill])</f>
        <v>2951.25</v>
      </c>
    </row>
    <row r="1982" spans="1:19" x14ac:dyDescent="0.3">
      <c r="A1982" s="2">
        <v>11981</v>
      </c>
      <c r="B1982" s="4">
        <v>47612</v>
      </c>
      <c r="C1982" t="s">
        <v>2101</v>
      </c>
      <c r="D1982" t="s">
        <v>18</v>
      </c>
      <c r="E1982" t="s">
        <v>19</v>
      </c>
      <c r="F1982" t="s">
        <v>188</v>
      </c>
      <c r="G1982">
        <v>3</v>
      </c>
      <c r="H1982" s="5">
        <v>5</v>
      </c>
      <c r="I1982" t="s">
        <v>89</v>
      </c>
      <c r="J1982" t="s">
        <v>90</v>
      </c>
      <c r="K1982" t="s">
        <v>91</v>
      </c>
      <c r="L1982" t="s">
        <v>2123</v>
      </c>
      <c r="M1982" s="5">
        <f t="shared" si="181"/>
        <v>15</v>
      </c>
      <c r="N1982" t="str">
        <f t="shared" si="182"/>
        <v>May</v>
      </c>
      <c r="O1982" t="str">
        <f t="shared" si="183"/>
        <v>Thursday</v>
      </c>
      <c r="P1982">
        <f t="shared" si="180"/>
        <v>8</v>
      </c>
      <c r="Q1982" s="2">
        <f t="shared" si="184"/>
        <v>4</v>
      </c>
      <c r="R1982" s="2">
        <f t="shared" si="185"/>
        <v>5</v>
      </c>
      <c r="S1982">
        <f>SUMIF(Table1[product_category],"Bakery",Table1[Total_bill])</f>
        <v>2951.25</v>
      </c>
    </row>
    <row r="1983" spans="1:19" x14ac:dyDescent="0.3">
      <c r="A1983" s="2">
        <v>11982</v>
      </c>
      <c r="B1983" s="4">
        <v>47613</v>
      </c>
      <c r="C1983" t="s">
        <v>2102</v>
      </c>
      <c r="D1983" t="s">
        <v>25</v>
      </c>
      <c r="E1983" t="s">
        <v>26</v>
      </c>
      <c r="F1983" t="s">
        <v>190</v>
      </c>
      <c r="G1983">
        <v>1</v>
      </c>
      <c r="H1983" s="5">
        <v>3.5</v>
      </c>
      <c r="I1983" t="s">
        <v>32</v>
      </c>
      <c r="J1983" t="s">
        <v>33</v>
      </c>
      <c r="K1983" t="s">
        <v>33</v>
      </c>
      <c r="L1983" t="s">
        <v>2122</v>
      </c>
      <c r="M1983" s="5">
        <f t="shared" si="181"/>
        <v>3.5</v>
      </c>
      <c r="N1983" t="str">
        <f t="shared" si="182"/>
        <v>May</v>
      </c>
      <c r="O1983" t="str">
        <f t="shared" si="183"/>
        <v>Friday</v>
      </c>
      <c r="P1983">
        <f t="shared" si="180"/>
        <v>16</v>
      </c>
      <c r="Q1983" s="2">
        <f t="shared" si="184"/>
        <v>5</v>
      </c>
      <c r="R1983" s="2">
        <f t="shared" si="185"/>
        <v>5</v>
      </c>
      <c r="S1983">
        <f>SUMIF(Table1[product_category],"Bakery",Table1[Total_bill])</f>
        <v>2951.25</v>
      </c>
    </row>
    <row r="1984" spans="1:19" x14ac:dyDescent="0.3">
      <c r="A1984" s="2">
        <v>11983</v>
      </c>
      <c r="B1984" s="4">
        <v>47614</v>
      </c>
      <c r="C1984" t="s">
        <v>2103</v>
      </c>
      <c r="D1984" t="s">
        <v>18</v>
      </c>
      <c r="E1984" t="s">
        <v>19</v>
      </c>
      <c r="F1984" t="s">
        <v>192</v>
      </c>
      <c r="G1984">
        <v>1</v>
      </c>
      <c r="H1984" s="5">
        <v>4.25</v>
      </c>
      <c r="I1984" t="s">
        <v>32</v>
      </c>
      <c r="J1984" t="s">
        <v>202</v>
      </c>
      <c r="K1984" t="s">
        <v>202</v>
      </c>
      <c r="L1984" t="s">
        <v>2124</v>
      </c>
      <c r="M1984" s="5">
        <f t="shared" si="181"/>
        <v>4.25</v>
      </c>
      <c r="N1984" t="str">
        <f t="shared" si="182"/>
        <v>May</v>
      </c>
      <c r="O1984" t="str">
        <f t="shared" si="183"/>
        <v>Saturday</v>
      </c>
      <c r="P1984">
        <f t="shared" si="180"/>
        <v>11</v>
      </c>
      <c r="Q1984" s="2">
        <f t="shared" si="184"/>
        <v>6</v>
      </c>
      <c r="R1984" s="2">
        <f t="shared" si="185"/>
        <v>5</v>
      </c>
      <c r="S1984">
        <f>SUMIF(Table1[product_category],"Bakery",Table1[Total_bill])</f>
        <v>2951.25</v>
      </c>
    </row>
    <row r="1985" spans="1:19" x14ac:dyDescent="0.3">
      <c r="A1985" s="2">
        <v>11984</v>
      </c>
      <c r="B1985" s="4">
        <v>47615</v>
      </c>
      <c r="C1985" t="s">
        <v>2104</v>
      </c>
      <c r="D1985" t="s">
        <v>18</v>
      </c>
      <c r="E1985" t="s">
        <v>19</v>
      </c>
      <c r="F1985" t="s">
        <v>195</v>
      </c>
      <c r="G1985">
        <v>3</v>
      </c>
      <c r="H1985" s="5">
        <v>4.75</v>
      </c>
      <c r="I1985" t="s">
        <v>32</v>
      </c>
      <c r="J1985" t="s">
        <v>122</v>
      </c>
      <c r="K1985" t="s">
        <v>122</v>
      </c>
      <c r="L1985" t="s">
        <v>2123</v>
      </c>
      <c r="M1985" s="5">
        <f t="shared" si="181"/>
        <v>14.25</v>
      </c>
      <c r="N1985" t="str">
        <f t="shared" si="182"/>
        <v>May</v>
      </c>
      <c r="O1985" t="str">
        <f t="shared" si="183"/>
        <v>Sunday</v>
      </c>
      <c r="P1985">
        <f t="shared" si="180"/>
        <v>11</v>
      </c>
      <c r="Q1985" s="2">
        <f t="shared" si="184"/>
        <v>7</v>
      </c>
      <c r="R1985" s="2">
        <f t="shared" si="185"/>
        <v>5</v>
      </c>
      <c r="S1985">
        <f>SUMIF(Table1[product_category],"Bakery",Table1[Total_bill])</f>
        <v>2951.25</v>
      </c>
    </row>
    <row r="1986" spans="1:19" x14ac:dyDescent="0.3">
      <c r="A1986" s="2">
        <v>11985</v>
      </c>
      <c r="B1986" s="4">
        <v>47616</v>
      </c>
      <c r="C1986" t="s">
        <v>2105</v>
      </c>
      <c r="D1986" t="s">
        <v>25</v>
      </c>
      <c r="E1986" t="s">
        <v>26</v>
      </c>
      <c r="F1986" t="s">
        <v>197</v>
      </c>
      <c r="G1986">
        <v>2</v>
      </c>
      <c r="H1986" s="5">
        <v>3.25</v>
      </c>
      <c r="I1986" t="s">
        <v>21</v>
      </c>
      <c r="J1986" t="s">
        <v>81</v>
      </c>
      <c r="K1986" t="s">
        <v>113</v>
      </c>
      <c r="L1986" t="s">
        <v>2125</v>
      </c>
      <c r="M1986" s="5">
        <f t="shared" si="181"/>
        <v>6.5</v>
      </c>
      <c r="N1986" t="str">
        <f t="shared" si="182"/>
        <v>May</v>
      </c>
      <c r="O1986" t="str">
        <f t="shared" si="183"/>
        <v>Monday</v>
      </c>
      <c r="P1986">
        <f t="shared" ref="P1986:P2001" si="186">HOUR(TIMEVALUE(C1986))</f>
        <v>7</v>
      </c>
      <c r="Q1986" s="2">
        <f t="shared" si="184"/>
        <v>1</v>
      </c>
      <c r="R1986" s="2">
        <f t="shared" si="185"/>
        <v>5</v>
      </c>
      <c r="S1986">
        <f>SUMIF(Table1[product_category],"Bakery",Table1[Total_bill])</f>
        <v>2951.25</v>
      </c>
    </row>
    <row r="1987" spans="1:19" x14ac:dyDescent="0.3">
      <c r="A1987" s="2">
        <v>11986</v>
      </c>
      <c r="B1987" s="4">
        <v>47617</v>
      </c>
      <c r="C1987" t="s">
        <v>2106</v>
      </c>
      <c r="D1987" t="s">
        <v>18</v>
      </c>
      <c r="E1987" t="s">
        <v>19</v>
      </c>
      <c r="F1987" t="s">
        <v>199</v>
      </c>
      <c r="G1987">
        <v>1</v>
      </c>
      <c r="H1987" s="5">
        <v>4</v>
      </c>
      <c r="I1987" t="s">
        <v>89</v>
      </c>
      <c r="J1987" t="s">
        <v>261</v>
      </c>
      <c r="K1987" t="s">
        <v>261</v>
      </c>
      <c r="L1987" t="s">
        <v>2124</v>
      </c>
      <c r="M1987" s="5">
        <f t="shared" ref="M1987:M2001" si="187">G1987*H1987</f>
        <v>4</v>
      </c>
      <c r="N1987" t="str">
        <f t="shared" ref="N1987:N2001" si="188">TEXT(B1987,"mmmm")</f>
        <v>May</v>
      </c>
      <c r="O1987" t="str">
        <f t="shared" ref="O1987:O2001" si="189">TEXT(B1987,"dddd")</f>
        <v>Tuesday</v>
      </c>
      <c r="P1987">
        <f t="shared" si="186"/>
        <v>7</v>
      </c>
      <c r="Q1987" s="2">
        <f t="shared" ref="Q1987:Q2001" si="190">WEEKDAY(B1987,2)</f>
        <v>2</v>
      </c>
      <c r="R1987" s="2">
        <f t="shared" ref="R1987:R2001" si="191">MONTH(B1987)</f>
        <v>5</v>
      </c>
      <c r="S1987">
        <f>SUMIF(Table1[product_category],"Bakery",Table1[Total_bill])</f>
        <v>2951.25</v>
      </c>
    </row>
    <row r="1988" spans="1:19" x14ac:dyDescent="0.3">
      <c r="A1988" s="2">
        <v>11987</v>
      </c>
      <c r="B1988" s="4">
        <v>47618</v>
      </c>
      <c r="C1988" t="s">
        <v>2107</v>
      </c>
      <c r="D1988" t="s">
        <v>25</v>
      </c>
      <c r="E1988" t="s">
        <v>26</v>
      </c>
      <c r="F1988" t="s">
        <v>201</v>
      </c>
      <c r="G1988">
        <v>1</v>
      </c>
      <c r="H1988" s="5">
        <v>3.5</v>
      </c>
      <c r="I1988" t="s">
        <v>32</v>
      </c>
      <c r="J1988" t="s">
        <v>226</v>
      </c>
      <c r="K1988" t="s">
        <v>227</v>
      </c>
      <c r="L1988" t="s">
        <v>2123</v>
      </c>
      <c r="M1988" s="5">
        <f t="shared" si="187"/>
        <v>3.5</v>
      </c>
      <c r="N1988" t="str">
        <f t="shared" si="188"/>
        <v>May</v>
      </c>
      <c r="O1988" t="str">
        <f t="shared" si="189"/>
        <v>Wednesday</v>
      </c>
      <c r="P1988">
        <f t="shared" si="186"/>
        <v>15</v>
      </c>
      <c r="Q1988" s="2">
        <f t="shared" si="190"/>
        <v>3</v>
      </c>
      <c r="R1988" s="2">
        <f t="shared" si="191"/>
        <v>5</v>
      </c>
      <c r="S1988">
        <f>SUMIF(Table1[product_category],"Bakery",Table1[Total_bill])</f>
        <v>2951.25</v>
      </c>
    </row>
    <row r="1989" spans="1:19" x14ac:dyDescent="0.3">
      <c r="A1989" s="2">
        <v>11988</v>
      </c>
      <c r="B1989" s="4">
        <v>47619</v>
      </c>
      <c r="C1989" t="s">
        <v>2108</v>
      </c>
      <c r="D1989" t="s">
        <v>18</v>
      </c>
      <c r="E1989" t="s">
        <v>19</v>
      </c>
      <c r="F1989" t="s">
        <v>204</v>
      </c>
      <c r="G1989">
        <v>2</v>
      </c>
      <c r="H1989" s="5">
        <v>3</v>
      </c>
      <c r="I1989" t="s">
        <v>32</v>
      </c>
      <c r="J1989" t="s">
        <v>55</v>
      </c>
      <c r="K1989" t="s">
        <v>55</v>
      </c>
      <c r="L1989" t="s">
        <v>2122</v>
      </c>
      <c r="M1989" s="5">
        <f t="shared" si="187"/>
        <v>6</v>
      </c>
      <c r="N1989" t="str">
        <f t="shared" si="188"/>
        <v>May</v>
      </c>
      <c r="O1989" t="str">
        <f t="shared" si="189"/>
        <v>Thursday</v>
      </c>
      <c r="P1989">
        <f t="shared" si="186"/>
        <v>11</v>
      </c>
      <c r="Q1989" s="2">
        <f t="shared" si="190"/>
        <v>4</v>
      </c>
      <c r="R1989" s="2">
        <f t="shared" si="191"/>
        <v>5</v>
      </c>
      <c r="S1989">
        <f>SUMIF(Table1[product_category],"Bakery",Table1[Total_bill])</f>
        <v>2951.25</v>
      </c>
    </row>
    <row r="1990" spans="1:19" x14ac:dyDescent="0.3">
      <c r="A1990" s="2">
        <v>11989</v>
      </c>
      <c r="B1990" s="4">
        <v>47620</v>
      </c>
      <c r="C1990" t="s">
        <v>2109</v>
      </c>
      <c r="D1990" t="s">
        <v>25</v>
      </c>
      <c r="E1990" t="s">
        <v>26</v>
      </c>
      <c r="F1990" t="s">
        <v>206</v>
      </c>
      <c r="G1990">
        <v>4</v>
      </c>
      <c r="H1990" s="5">
        <v>3.5</v>
      </c>
      <c r="I1990" t="s">
        <v>32</v>
      </c>
      <c r="J1990" t="s">
        <v>33</v>
      </c>
      <c r="K1990" t="s">
        <v>33</v>
      </c>
      <c r="L1990" t="s">
        <v>2122</v>
      </c>
      <c r="M1990" s="5">
        <f t="shared" si="187"/>
        <v>14</v>
      </c>
      <c r="N1990" t="str">
        <f t="shared" si="188"/>
        <v>May</v>
      </c>
      <c r="O1990" t="str">
        <f t="shared" si="189"/>
        <v>Friday</v>
      </c>
      <c r="P1990">
        <f t="shared" si="186"/>
        <v>11</v>
      </c>
      <c r="Q1990" s="2">
        <f t="shared" si="190"/>
        <v>5</v>
      </c>
      <c r="R1990" s="2">
        <f t="shared" si="191"/>
        <v>5</v>
      </c>
      <c r="S1990">
        <f>SUMIF(Table1[product_category],"Bakery",Table1[Total_bill])</f>
        <v>2951.25</v>
      </c>
    </row>
    <row r="1991" spans="1:19" x14ac:dyDescent="0.3">
      <c r="A1991" s="2">
        <v>11990</v>
      </c>
      <c r="B1991" s="4">
        <v>47621</v>
      </c>
      <c r="C1991" t="s">
        <v>2110</v>
      </c>
      <c r="D1991" t="s">
        <v>25</v>
      </c>
      <c r="E1991" t="s">
        <v>26</v>
      </c>
      <c r="F1991" t="s">
        <v>208</v>
      </c>
      <c r="G1991">
        <v>4</v>
      </c>
      <c r="H1991" s="5">
        <v>4</v>
      </c>
      <c r="I1991" t="s">
        <v>89</v>
      </c>
      <c r="J1991" t="s">
        <v>90</v>
      </c>
      <c r="K1991" t="s">
        <v>91</v>
      </c>
      <c r="L1991" t="s">
        <v>2122</v>
      </c>
      <c r="M1991" s="5">
        <f t="shared" si="187"/>
        <v>16</v>
      </c>
      <c r="N1991" t="str">
        <f t="shared" si="188"/>
        <v>May</v>
      </c>
      <c r="O1991" t="str">
        <f t="shared" si="189"/>
        <v>Saturday</v>
      </c>
      <c r="P1991">
        <f t="shared" si="186"/>
        <v>15</v>
      </c>
      <c r="Q1991" s="2">
        <f t="shared" si="190"/>
        <v>6</v>
      </c>
      <c r="R1991" s="2">
        <f t="shared" si="191"/>
        <v>5</v>
      </c>
      <c r="S1991">
        <f>SUMIF(Table1[product_category],"Bakery",Table1[Total_bill])</f>
        <v>2951.25</v>
      </c>
    </row>
    <row r="1992" spans="1:19" x14ac:dyDescent="0.3">
      <c r="A1992" s="2">
        <v>11991</v>
      </c>
      <c r="B1992" s="4">
        <v>47622</v>
      </c>
      <c r="C1992" t="s">
        <v>2111</v>
      </c>
      <c r="D1992" t="s">
        <v>40</v>
      </c>
      <c r="E1992" t="s">
        <v>41</v>
      </c>
      <c r="F1992" t="s">
        <v>210</v>
      </c>
      <c r="G1992">
        <v>4</v>
      </c>
      <c r="H1992" s="5">
        <v>3.75</v>
      </c>
      <c r="I1992" t="s">
        <v>32</v>
      </c>
      <c r="J1992" t="s">
        <v>69</v>
      </c>
      <c r="K1992" t="s">
        <v>69</v>
      </c>
      <c r="L1992" t="s">
        <v>2122</v>
      </c>
      <c r="M1992" s="5">
        <f t="shared" si="187"/>
        <v>15</v>
      </c>
      <c r="N1992" t="str">
        <f t="shared" si="188"/>
        <v>May</v>
      </c>
      <c r="O1992" t="str">
        <f t="shared" si="189"/>
        <v>Sunday</v>
      </c>
      <c r="P1992">
        <f t="shared" si="186"/>
        <v>15</v>
      </c>
      <c r="Q1992" s="2">
        <f t="shared" si="190"/>
        <v>7</v>
      </c>
      <c r="R1992" s="2">
        <f t="shared" si="191"/>
        <v>5</v>
      </c>
      <c r="S1992">
        <f>SUMIF(Table1[product_category],"Bakery",Table1[Total_bill])</f>
        <v>2951.25</v>
      </c>
    </row>
    <row r="1993" spans="1:19" x14ac:dyDescent="0.3">
      <c r="A1993" s="2">
        <v>11992</v>
      </c>
      <c r="B1993" s="4">
        <v>47623</v>
      </c>
      <c r="C1993" t="s">
        <v>2112</v>
      </c>
      <c r="D1993" t="s">
        <v>18</v>
      </c>
      <c r="E1993" t="s">
        <v>19</v>
      </c>
      <c r="F1993" t="s">
        <v>214</v>
      </c>
      <c r="G1993">
        <v>2</v>
      </c>
      <c r="H1993" s="5">
        <v>14</v>
      </c>
      <c r="I1993" t="s">
        <v>98</v>
      </c>
      <c r="J1993" t="s">
        <v>98</v>
      </c>
      <c r="K1993" t="s">
        <v>129</v>
      </c>
      <c r="L1993" t="s">
        <v>2125</v>
      </c>
      <c r="M1993" s="5">
        <f t="shared" si="187"/>
        <v>28</v>
      </c>
      <c r="N1993" t="str">
        <f t="shared" si="188"/>
        <v>May</v>
      </c>
      <c r="O1993" t="str">
        <f t="shared" si="189"/>
        <v>Monday</v>
      </c>
      <c r="P1993">
        <f t="shared" si="186"/>
        <v>7</v>
      </c>
      <c r="Q1993" s="2">
        <f t="shared" si="190"/>
        <v>1</v>
      </c>
      <c r="R1993" s="2">
        <f t="shared" si="191"/>
        <v>5</v>
      </c>
      <c r="S1993">
        <f>SUMIF(Table1[product_category],"Bakery",Table1[Total_bill])</f>
        <v>2951.25</v>
      </c>
    </row>
    <row r="1994" spans="1:19" x14ac:dyDescent="0.3">
      <c r="A1994" s="2">
        <v>11993</v>
      </c>
      <c r="B1994" s="4">
        <v>47624</v>
      </c>
      <c r="C1994" t="s">
        <v>2113</v>
      </c>
      <c r="D1994" t="s">
        <v>25</v>
      </c>
      <c r="E1994" t="s">
        <v>26</v>
      </c>
      <c r="F1994" t="s">
        <v>217</v>
      </c>
      <c r="G1994">
        <v>3</v>
      </c>
      <c r="H1994" s="5">
        <v>2.75</v>
      </c>
      <c r="I1994" t="s">
        <v>32</v>
      </c>
      <c r="J1994" t="s">
        <v>226</v>
      </c>
      <c r="K1994" t="s">
        <v>273</v>
      </c>
      <c r="L1994" t="s">
        <v>2122</v>
      </c>
      <c r="M1994" s="5">
        <f t="shared" si="187"/>
        <v>8.25</v>
      </c>
      <c r="N1994" t="str">
        <f t="shared" si="188"/>
        <v>May</v>
      </c>
      <c r="O1994" t="str">
        <f t="shared" si="189"/>
        <v>Tuesday</v>
      </c>
      <c r="P1994">
        <f t="shared" si="186"/>
        <v>13</v>
      </c>
      <c r="Q1994" s="2">
        <f t="shared" si="190"/>
        <v>2</v>
      </c>
      <c r="R1994" s="2">
        <f t="shared" si="191"/>
        <v>5</v>
      </c>
      <c r="S1994">
        <f>SUMIF(Table1[product_category],"Bakery",Table1[Total_bill])</f>
        <v>2951.25</v>
      </c>
    </row>
    <row r="1995" spans="1:19" x14ac:dyDescent="0.3">
      <c r="A1995" s="2">
        <v>11994</v>
      </c>
      <c r="B1995" s="4">
        <v>47625</v>
      </c>
      <c r="C1995" t="s">
        <v>2114</v>
      </c>
      <c r="D1995" t="s">
        <v>18</v>
      </c>
      <c r="E1995" t="s">
        <v>19</v>
      </c>
      <c r="F1995" t="s">
        <v>219</v>
      </c>
      <c r="G1995">
        <v>1</v>
      </c>
      <c r="H1995" s="5">
        <v>9.5</v>
      </c>
      <c r="I1995" t="s">
        <v>28</v>
      </c>
      <c r="J1995" t="s">
        <v>28</v>
      </c>
      <c r="K1995" t="s">
        <v>29</v>
      </c>
      <c r="L1995" t="s">
        <v>2125</v>
      </c>
      <c r="M1995" s="5">
        <f t="shared" si="187"/>
        <v>9.5</v>
      </c>
      <c r="N1995" t="str">
        <f t="shared" si="188"/>
        <v>May</v>
      </c>
      <c r="O1995" t="str">
        <f t="shared" si="189"/>
        <v>Wednesday</v>
      </c>
      <c r="P1995">
        <f t="shared" si="186"/>
        <v>7</v>
      </c>
      <c r="Q1995" s="2">
        <f t="shared" si="190"/>
        <v>3</v>
      </c>
      <c r="R1995" s="2">
        <f t="shared" si="191"/>
        <v>5</v>
      </c>
      <c r="S1995">
        <f>SUMIF(Table1[product_category],"Bakery",Table1[Total_bill])</f>
        <v>2951.25</v>
      </c>
    </row>
    <row r="1996" spans="1:19" x14ac:dyDescent="0.3">
      <c r="A1996" s="2">
        <v>11995</v>
      </c>
      <c r="B1996" s="4">
        <v>47626</v>
      </c>
      <c r="C1996" t="s">
        <v>2115</v>
      </c>
      <c r="D1996" t="s">
        <v>40</v>
      </c>
      <c r="E1996" t="s">
        <v>41</v>
      </c>
      <c r="F1996" t="s">
        <v>221</v>
      </c>
      <c r="G1996">
        <v>1</v>
      </c>
      <c r="H1996" s="5">
        <v>3</v>
      </c>
      <c r="I1996" t="s">
        <v>32</v>
      </c>
      <c r="J1996" t="s">
        <v>55</v>
      </c>
      <c r="K1996" t="s">
        <v>55</v>
      </c>
      <c r="L1996" t="s">
        <v>2122</v>
      </c>
      <c r="M1996" s="5">
        <f t="shared" si="187"/>
        <v>3</v>
      </c>
      <c r="N1996" t="str">
        <f t="shared" si="188"/>
        <v>May</v>
      </c>
      <c r="O1996" t="str">
        <f t="shared" si="189"/>
        <v>Thursday</v>
      </c>
      <c r="P1996">
        <f t="shared" si="186"/>
        <v>15</v>
      </c>
      <c r="Q1996" s="2">
        <f t="shared" si="190"/>
        <v>4</v>
      </c>
      <c r="R1996" s="2">
        <f t="shared" si="191"/>
        <v>5</v>
      </c>
      <c r="S1996">
        <f>SUMIF(Table1[product_category],"Bakery",Table1[Total_bill])</f>
        <v>2951.25</v>
      </c>
    </row>
    <row r="1997" spans="1:19" x14ac:dyDescent="0.3">
      <c r="A1997" s="2">
        <v>11996</v>
      </c>
      <c r="B1997" s="4">
        <v>47627</v>
      </c>
      <c r="C1997" t="s">
        <v>2116</v>
      </c>
      <c r="D1997" t="s">
        <v>18</v>
      </c>
      <c r="E1997" t="s">
        <v>19</v>
      </c>
      <c r="F1997" t="s">
        <v>223</v>
      </c>
      <c r="G1997">
        <v>3</v>
      </c>
      <c r="H1997" s="5">
        <v>4.25</v>
      </c>
      <c r="I1997" t="s">
        <v>32</v>
      </c>
      <c r="J1997" t="s">
        <v>202</v>
      </c>
      <c r="K1997" t="s">
        <v>202</v>
      </c>
      <c r="L1997" t="s">
        <v>2124</v>
      </c>
      <c r="M1997" s="5">
        <f t="shared" si="187"/>
        <v>12.75</v>
      </c>
      <c r="N1997" t="str">
        <f t="shared" si="188"/>
        <v>May</v>
      </c>
      <c r="O1997" t="str">
        <f t="shared" si="189"/>
        <v>Friday</v>
      </c>
      <c r="P1997">
        <f t="shared" si="186"/>
        <v>14</v>
      </c>
      <c r="Q1997" s="2">
        <f t="shared" si="190"/>
        <v>5</v>
      </c>
      <c r="R1997" s="2">
        <f t="shared" si="191"/>
        <v>5</v>
      </c>
      <c r="S1997">
        <f>SUMIF(Table1[product_category],"Bakery",Table1[Total_bill])</f>
        <v>2951.25</v>
      </c>
    </row>
    <row r="1998" spans="1:19" x14ac:dyDescent="0.3">
      <c r="A1998" s="2">
        <v>11997</v>
      </c>
      <c r="B1998" s="4">
        <v>47628</v>
      </c>
      <c r="C1998" t="s">
        <v>2117</v>
      </c>
      <c r="D1998" t="s">
        <v>25</v>
      </c>
      <c r="E1998" t="s">
        <v>26</v>
      </c>
      <c r="F1998" t="s">
        <v>225</v>
      </c>
      <c r="G1998">
        <v>2</v>
      </c>
      <c r="H1998" s="5">
        <v>3.25</v>
      </c>
      <c r="I1998" t="s">
        <v>21</v>
      </c>
      <c r="J1998" t="s">
        <v>81</v>
      </c>
      <c r="K1998" t="s">
        <v>82</v>
      </c>
      <c r="L1998" t="s">
        <v>2125</v>
      </c>
      <c r="M1998" s="5">
        <f t="shared" si="187"/>
        <v>6.5</v>
      </c>
      <c r="N1998" t="str">
        <f t="shared" si="188"/>
        <v>May</v>
      </c>
      <c r="O1998" t="str">
        <f t="shared" si="189"/>
        <v>Saturday</v>
      </c>
      <c r="P1998">
        <f t="shared" si="186"/>
        <v>20</v>
      </c>
      <c r="Q1998" s="2">
        <f t="shared" si="190"/>
        <v>6</v>
      </c>
      <c r="R1998" s="2">
        <f t="shared" si="191"/>
        <v>5</v>
      </c>
      <c r="S1998">
        <f>SUMIF(Table1[product_category],"Bakery",Table1[Total_bill])</f>
        <v>2951.25</v>
      </c>
    </row>
    <row r="1999" spans="1:19" x14ac:dyDescent="0.3">
      <c r="A1999" s="2">
        <v>11998</v>
      </c>
      <c r="B1999" s="4">
        <v>47629</v>
      </c>
      <c r="C1999" t="s">
        <v>2118</v>
      </c>
      <c r="D1999" t="s">
        <v>18</v>
      </c>
      <c r="E1999" t="s">
        <v>19</v>
      </c>
      <c r="F1999" t="s">
        <v>229</v>
      </c>
      <c r="G1999">
        <v>3</v>
      </c>
      <c r="H1999" s="5">
        <v>4.75</v>
      </c>
      <c r="I1999" t="s">
        <v>32</v>
      </c>
      <c r="J1999" t="s">
        <v>122</v>
      </c>
      <c r="K1999" t="s">
        <v>122</v>
      </c>
      <c r="L1999" t="s">
        <v>2123</v>
      </c>
      <c r="M1999" s="5">
        <f t="shared" si="187"/>
        <v>14.25</v>
      </c>
      <c r="N1999" t="str">
        <f t="shared" si="188"/>
        <v>May</v>
      </c>
      <c r="O1999" t="str">
        <f t="shared" si="189"/>
        <v>Sunday</v>
      </c>
      <c r="P1999">
        <f t="shared" si="186"/>
        <v>7</v>
      </c>
      <c r="Q1999" s="2">
        <f t="shared" si="190"/>
        <v>7</v>
      </c>
      <c r="R1999" s="2">
        <f t="shared" si="191"/>
        <v>5</v>
      </c>
      <c r="S1999">
        <f>SUMIF(Table1[product_category],"Bakery",Table1[Total_bill])</f>
        <v>2951.25</v>
      </c>
    </row>
    <row r="2000" spans="1:19" x14ac:dyDescent="0.3">
      <c r="A2000" s="2">
        <v>11999</v>
      </c>
      <c r="B2000" s="4">
        <v>47630</v>
      </c>
      <c r="C2000" t="s">
        <v>2119</v>
      </c>
      <c r="D2000" t="s">
        <v>40</v>
      </c>
      <c r="E2000" t="s">
        <v>41</v>
      </c>
      <c r="F2000" t="s">
        <v>231</v>
      </c>
      <c r="G2000">
        <v>3</v>
      </c>
      <c r="H2000" s="5">
        <v>8</v>
      </c>
      <c r="I2000" t="s">
        <v>28</v>
      </c>
      <c r="J2000" t="s">
        <v>28</v>
      </c>
      <c r="K2000" t="s">
        <v>76</v>
      </c>
      <c r="L2000" t="s">
        <v>2125</v>
      </c>
      <c r="M2000" s="5">
        <f t="shared" si="187"/>
        <v>24</v>
      </c>
      <c r="N2000" t="str">
        <f t="shared" si="188"/>
        <v>May</v>
      </c>
      <c r="O2000" t="str">
        <f t="shared" si="189"/>
        <v>Monday</v>
      </c>
      <c r="P2000">
        <f t="shared" si="186"/>
        <v>6</v>
      </c>
      <c r="Q2000" s="2">
        <f t="shared" si="190"/>
        <v>1</v>
      </c>
      <c r="R2000" s="2">
        <f t="shared" si="191"/>
        <v>5</v>
      </c>
      <c r="S2000">
        <f>SUMIF(Table1[product_category],"Bakery",Table1[Total_bill])</f>
        <v>2951.25</v>
      </c>
    </row>
    <row r="2001" spans="1:19" x14ac:dyDescent="0.3">
      <c r="A2001" s="2">
        <v>12000</v>
      </c>
      <c r="B2001" s="4">
        <v>47631</v>
      </c>
      <c r="C2001" t="s">
        <v>2120</v>
      </c>
      <c r="D2001" t="s">
        <v>40</v>
      </c>
      <c r="E2001" t="s">
        <v>41</v>
      </c>
      <c r="F2001" t="s">
        <v>233</v>
      </c>
      <c r="G2001">
        <v>4</v>
      </c>
      <c r="H2001" s="5">
        <v>13</v>
      </c>
      <c r="I2001" t="s">
        <v>98</v>
      </c>
      <c r="J2001" t="s">
        <v>98</v>
      </c>
      <c r="K2001" t="s">
        <v>95</v>
      </c>
      <c r="L2001" t="s">
        <v>2125</v>
      </c>
      <c r="M2001" s="5">
        <f t="shared" si="187"/>
        <v>52</v>
      </c>
      <c r="N2001" t="str">
        <f t="shared" si="188"/>
        <v>May</v>
      </c>
      <c r="O2001" t="str">
        <f t="shared" si="189"/>
        <v>Tuesday</v>
      </c>
      <c r="P2001">
        <f t="shared" si="186"/>
        <v>9</v>
      </c>
      <c r="Q2001" s="2">
        <f t="shared" si="190"/>
        <v>2</v>
      </c>
      <c r="R2001" s="2">
        <f t="shared" si="191"/>
        <v>5</v>
      </c>
      <c r="S2001">
        <f>SUMIF(Table1[product_category],"Bakery",Table1[Total_bill])</f>
        <v>2951.25</v>
      </c>
    </row>
  </sheetData>
  <phoneticPr fontId="2" type="noConversion"/>
  <conditionalFormatting sqref="M2:M2001">
    <cfRule type="cellIs" dxfId="1" priority="1" operator="greaterThan">
      <formula>20</formula>
    </cfRule>
  </conditionalFormatting>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Pivot_Table</vt:lpstr>
      <vt:lpstr>Sales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Pranav Gurav</cp:lastModifiedBy>
  <dcterms:created xsi:type="dcterms:W3CDTF">2026-06-14T19:34:52Z</dcterms:created>
  <dcterms:modified xsi:type="dcterms:W3CDTF">2026-06-15T10:18:31Z</dcterms:modified>
</cp:coreProperties>
</file>